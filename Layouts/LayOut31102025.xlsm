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1059258\OneDrive - Onuris Tenant\Documentos\Clientes\SAZ BIPA\2025\"/>
    </mc:Choice>
  </mc:AlternateContent>
  <xr:revisionPtr revIDLastSave="0" documentId="13_ncr:1_{CBE1AC03-878F-4F3C-A527-93310FC613E6}" xr6:coauthVersionLast="47" xr6:coauthVersionMax="47" xr10:uidLastSave="{00000000-0000-0000-0000-000000000000}"/>
  <bookViews>
    <workbookView xWindow="-120" yWindow="-120" windowWidth="19440" windowHeight="14880" tabRatio="641" xr2:uid="{00000000-000D-0000-FFFF-FFFF00000000}"/>
  </bookViews>
  <sheets>
    <sheet name="Lay Out" sheetId="4" r:id="rId1"/>
    <sheet name="Subcuentas" sheetId="269" state="hidden" r:id="rId2"/>
    <sheet name="Hoja1" sheetId="1580" state="hidden" r:id="rId3"/>
    <sheet name="Posición del mes anterior" sheetId="1687" r:id="rId4"/>
    <sheet name="Movimientos" sheetId="1688" r:id="rId5"/>
    <sheet name="Posición" sheetId="1690" r:id="rId6"/>
    <sheet name="Estrategias" sheetId="1305" r:id="rId7"/>
  </sheets>
  <functionGroups builtInGroupCount="19"/>
  <definedNames>
    <definedName name="_xlnm.Print_Area" localSheetId="2">Hoja1!$A$1:$R$58</definedName>
    <definedName name="_xlnm.Print_Area" localSheetId="4">Movimientos!$A$1:$R$321</definedName>
    <definedName name="_xlnm.Print_Area" localSheetId="5">Posición!$A$1:$R$63</definedName>
    <definedName name="_xlnm.Print_Area" localSheetId="3">'Posición del mes anterior'!$A$1:$R$62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5" i="1687" l="1"/>
  <c r="T35" i="1687"/>
  <c r="P44" i="1687"/>
  <c r="P43" i="1687"/>
  <c r="P42" i="1687"/>
  <c r="P41" i="1687"/>
  <c r="P40" i="1687"/>
  <c r="P39" i="1687"/>
  <c r="P38" i="1687"/>
  <c r="P37" i="1687"/>
  <c r="P36" i="1687"/>
  <c r="P35" i="1687"/>
  <c r="P34" i="1687"/>
  <c r="P33" i="1687"/>
  <c r="P32" i="1687"/>
  <c r="P31" i="1687"/>
  <c r="P30" i="1687"/>
  <c r="P29" i="1687"/>
  <c r="P28" i="1687"/>
  <c r="P27" i="1687"/>
  <c r="P26" i="1687"/>
  <c r="P25" i="1687"/>
  <c r="P24" i="1687"/>
  <c r="P23" i="1687"/>
  <c r="P22" i="1687"/>
  <c r="P21" i="1687"/>
  <c r="P20" i="1687"/>
  <c r="P19" i="1687"/>
  <c r="P18" i="1687"/>
  <c r="P17" i="1687"/>
  <c r="P16" i="1687"/>
  <c r="P15" i="1687"/>
  <c r="P14" i="1687"/>
  <c r="P13" i="1687"/>
  <c r="P12" i="1687"/>
  <c r="P11" i="1687"/>
  <c r="P10" i="1687"/>
  <c r="P9" i="1687"/>
  <c r="B15" i="4" l="1"/>
  <c r="E15" i="4" s="1"/>
  <c r="F15" i="4" s="1"/>
  <c r="G15" i="4" s="1"/>
  <c r="H15" i="4" s="1"/>
  <c r="I15" i="4" s="1"/>
  <c r="J15" i="4" s="1"/>
  <c r="K15" i="4" s="1"/>
</calcChain>
</file>

<file path=xl/sharedStrings.xml><?xml version="1.0" encoding="utf-8"?>
<sst xmlns="http://schemas.openxmlformats.org/spreadsheetml/2006/main" count="2379" uniqueCount="169">
  <si>
    <t>Seguros Azteca Vida</t>
  </si>
  <si>
    <t>Nombre del archivo:</t>
  </si>
  <si>
    <t>Notas y Aclaraciones</t>
  </si>
  <si>
    <t>PRODUCTO</t>
  </si>
  <si>
    <t>POLIZA</t>
  </si>
  <si>
    <t>SUBRAMO</t>
  </si>
  <si>
    <r>
      <rPr>
        <b/>
        <sz val="11"/>
        <color theme="1"/>
        <rFont val="Calibri"/>
        <family val="2"/>
        <scheme val="minor"/>
      </rPr>
      <t>BERV_SAAAASS_subramo_cvedeproducto_E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(base de emisión reservas vida (BERV) +"_"+"S"+ año + semana (dos dígitos)+subramo (tres dígitos) +"_"+ producto (tres dígitos)+"E" emisión )</t>
    </r>
  </si>
  <si>
    <t>FEC_REPORTE</t>
  </si>
  <si>
    <t>INTERESES GENERADOS</t>
  </si>
  <si>
    <t>COSTO COBERTURA FALLECIMIENTO</t>
  </si>
  <si>
    <t>COSTOS O COMISIONES POR MANEJO DEL FONDO</t>
  </si>
  <si>
    <t>El campo póliza debe ser consistentes con el documento (certificado/consentimiento) que se entrega al asegurado. Se envía ejemplo de Vidamax (Grupo) y Vidacard (Individual) en la pestaña Pantallas</t>
  </si>
  <si>
    <t>Contrato:</t>
  </si>
  <si>
    <t>Cliente:</t>
  </si>
  <si>
    <t>Divisa:</t>
  </si>
  <si>
    <t>MXP</t>
  </si>
  <si>
    <t>Promotor:</t>
  </si>
  <si>
    <t>Emisora</t>
  </si>
  <si>
    <t>Serie</t>
  </si>
  <si>
    <t>Plazo</t>
  </si>
  <si>
    <t>Precio</t>
  </si>
  <si>
    <t xml:space="preserve">   </t>
  </si>
  <si>
    <t>No. Cliente:</t>
  </si>
  <si>
    <t>Fecha:</t>
  </si>
  <si>
    <t>Liquidación:</t>
  </si>
  <si>
    <t>Producto:</t>
  </si>
  <si>
    <t>Ef. Disponible</t>
  </si>
  <si>
    <t>Regional:</t>
  </si>
  <si>
    <t>Mexico</t>
  </si>
  <si>
    <t>Sucursal:</t>
  </si>
  <si>
    <t>Corporativo</t>
  </si>
  <si>
    <t>Posición</t>
  </si>
  <si>
    <t>Cupón</t>
  </si>
  <si>
    <t>Tasa</t>
  </si>
  <si>
    <t>Días</t>
  </si>
  <si>
    <t>Títulos</t>
  </si>
  <si>
    <t>Importe Bruto</t>
  </si>
  <si>
    <t>Precio Neto</t>
  </si>
  <si>
    <t>Importe Neto</t>
  </si>
  <si>
    <t>Precio de</t>
  </si>
  <si>
    <t>Valor de</t>
  </si>
  <si>
    <t>Plus/Minus</t>
  </si>
  <si>
    <t>% de</t>
  </si>
  <si>
    <t>x Ven</t>
  </si>
  <si>
    <t>Mercado</t>
  </si>
  <si>
    <t>Mercado Neto</t>
  </si>
  <si>
    <t>+ Int. Dev.</t>
  </si>
  <si>
    <t>%</t>
  </si>
  <si>
    <t>Cartera</t>
  </si>
  <si>
    <t>Mdo.Dinero</t>
  </si>
  <si>
    <t>Total</t>
  </si>
  <si>
    <t>Dinero x Inv.</t>
  </si>
  <si>
    <t>Ef. Retenido</t>
  </si>
  <si>
    <t>Valor del Portafolio</t>
  </si>
  <si>
    <t>Sdo. Disp. para Inv.*</t>
  </si>
  <si>
    <t>Sdo. Pend. MC</t>
  </si>
  <si>
    <t>Depositos efectuados</t>
  </si>
  <si>
    <t>Utilidad o pérdida</t>
  </si>
  <si>
    <t>Retiros Efectuados</t>
  </si>
  <si>
    <t>RETIROS</t>
  </si>
  <si>
    <t>VALOR DE FONDO T-1 (MES ANTERIOR)</t>
  </si>
  <si>
    <t>APORTACIONES DEL PERIODO (MES)</t>
  </si>
  <si>
    <t>VALOR DE FONDO T (MES ACTUAL)</t>
  </si>
  <si>
    <t>R</t>
  </si>
  <si>
    <t>TP</t>
  </si>
  <si>
    <t>Fecha</t>
  </si>
  <si>
    <t>Folio</t>
  </si>
  <si>
    <t>Concepto</t>
  </si>
  <si>
    <t>Tasa /</t>
  </si>
  <si>
    <t>Número</t>
  </si>
  <si>
    <t>Monto Bruto</t>
  </si>
  <si>
    <t>% Comision</t>
  </si>
  <si>
    <t>IVA/ISR</t>
  </si>
  <si>
    <t>+/-</t>
  </si>
  <si>
    <t>Monto Neto</t>
  </si>
  <si>
    <t>Saldo</t>
  </si>
  <si>
    <t>Operacion</t>
  </si>
  <si>
    <t>Liquidación</t>
  </si>
  <si>
    <t>Premio</t>
  </si>
  <si>
    <t>Titulos</t>
  </si>
  <si>
    <t xml:space="preserve">  </t>
  </si>
  <si>
    <t xml:space="preserve">  +</t>
  </si>
  <si>
    <t>CO</t>
  </si>
  <si>
    <t>VEN.COMPRA REPORTO</t>
  </si>
  <si>
    <t>SALDO INICIAL</t>
  </si>
  <si>
    <t>VIIN000000000001</t>
  </si>
  <si>
    <t>VIIN000000000003</t>
  </si>
  <si>
    <t>Subcuentas</t>
  </si>
  <si>
    <t># Subcuentas</t>
  </si>
  <si>
    <t>A</t>
  </si>
  <si>
    <t>NEMAK</t>
  </si>
  <si>
    <t>TPLAYCB</t>
  </si>
  <si>
    <t>AMX</t>
  </si>
  <si>
    <t>ALSEA</t>
  </si>
  <si>
    <t>*</t>
  </si>
  <si>
    <t>ARA</t>
  </si>
  <si>
    <t>AUTLAN</t>
  </si>
  <si>
    <t>B</t>
  </si>
  <si>
    <t>BOLSA</t>
  </si>
  <si>
    <t>CEMEX</t>
  </si>
  <si>
    <t>CPO</t>
  </si>
  <si>
    <t>FEMSA</t>
  </si>
  <si>
    <t>UBD</t>
  </si>
  <si>
    <t>GFNORTE</t>
  </si>
  <si>
    <t>O</t>
  </si>
  <si>
    <t>GICSA</t>
  </si>
  <si>
    <t>GMEXICO</t>
  </si>
  <si>
    <t>KOF</t>
  </si>
  <si>
    <t>UBL</t>
  </si>
  <si>
    <t>MEGA</t>
  </si>
  <si>
    <t>PINFRA</t>
  </si>
  <si>
    <t>TERRA</t>
  </si>
  <si>
    <t>TLEVISA</t>
  </si>
  <si>
    <t>TRAXION</t>
  </si>
  <si>
    <t>VASCONI</t>
  </si>
  <si>
    <t>VESTA</t>
  </si>
  <si>
    <t>Mdo.Capitales</t>
  </si>
  <si>
    <t>D</t>
  </si>
  <si>
    <t xml:space="preserve">Mes: </t>
  </si>
  <si>
    <t>LASITE</t>
  </si>
  <si>
    <t>B-1</t>
  </si>
  <si>
    <t>VIIN000000000006</t>
  </si>
  <si>
    <t>VIIN000000000007</t>
  </si>
  <si>
    <t>SEGUROS AZTECA</t>
  </si>
  <si>
    <t>INICIO CPA REPORTO</t>
  </si>
  <si>
    <t xml:space="preserve">  -</t>
  </si>
  <si>
    <t>EMISORA</t>
  </si>
  <si>
    <t>ESTRATEGIA</t>
  </si>
  <si>
    <t>BÁSICO</t>
  </si>
  <si>
    <t>SERIE</t>
  </si>
  <si>
    <t>Estrategia</t>
  </si>
  <si>
    <t>SHY</t>
  </si>
  <si>
    <t>CETESI</t>
  </si>
  <si>
    <t>ALPEK</t>
  </si>
  <si>
    <t>DANHOS</t>
  </si>
  <si>
    <t>FCFE</t>
  </si>
  <si>
    <t>UPS</t>
  </si>
  <si>
    <t>INCOME</t>
  </si>
  <si>
    <t>Mercado de Capitales</t>
  </si>
  <si>
    <t>SC</t>
  </si>
  <si>
    <t>BPAG91</t>
  </si>
  <si>
    <t>FUNO</t>
  </si>
  <si>
    <t>GUBER EE.UU.</t>
  </si>
  <si>
    <t>Miguel Angel Tebar Pedroza</t>
  </si>
  <si>
    <t>PFE</t>
  </si>
  <si>
    <t>T</t>
  </si>
  <si>
    <t>FIHO</t>
  </si>
  <si>
    <t>SPG</t>
  </si>
  <si>
    <t>PAGO ENTRAD DIVID. EFTVO</t>
  </si>
  <si>
    <t>SHV</t>
  </si>
  <si>
    <t>PE&amp;OLES</t>
  </si>
  <si>
    <t>HYG</t>
  </si>
  <si>
    <t>SPHY</t>
  </si>
  <si>
    <t>CUOTA DE ADM Y CUST E IVA</t>
  </si>
  <si>
    <t xml:space="preserve"> </t>
  </si>
  <si>
    <t>UNH</t>
  </si>
  <si>
    <t>FX (MES ANTERIOR)</t>
  </si>
  <si>
    <t>FX (MES)</t>
  </si>
  <si>
    <t>MONEDA</t>
  </si>
  <si>
    <t>USD</t>
  </si>
  <si>
    <t>Origen</t>
  </si>
  <si>
    <t>MX</t>
  </si>
  <si>
    <t>US</t>
  </si>
  <si>
    <t>Octubre</t>
  </si>
  <si>
    <t>COMPRA CAPITALES</t>
  </si>
  <si>
    <t>COMISION</t>
  </si>
  <si>
    <t>VENTA CAPITALES</t>
  </si>
  <si>
    <t>RETIRO</t>
  </si>
  <si>
    <t>31/10/2025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</si>
</sst>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000_ ;\-#,##0.000000\ "/>
    <numFmt numFmtId="165" formatCode="###,###,##0.00_ ;\-###,###,##0.00\ "/>
    <numFmt numFmtId="166" formatCode="&quot;$&quot;#,##0.00"/>
    <numFmt numFmtId="167" formatCode="&quot;$&quot;#,##0.000000"/>
    <numFmt numFmtId="168" formatCode="&quot;$&quot;#,##0.0000"/>
    <numFmt numFmtId="169" formatCode="&quot;$&quot;#,##0.00_);[Red]\(&quot;$&quot;#,##0.00\)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206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indexed="54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7"/>
      <color rgb="FF06B617"/>
      <name val="Calibri"/>
      <family val="2"/>
      <scheme val="minor"/>
    </font>
    <font>
      <b/>
      <sz val="7"/>
      <color rgb="FFFFFFFF"/>
      <name val="Calibri"/>
      <family val="2"/>
      <scheme val="minor"/>
    </font>
    <font>
      <sz val="7"/>
      <color rgb="FF06B617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rgb="FFFF212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color rgb="FFFF2121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9BCD2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60497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9BCD2"/>
      </left>
      <right/>
      <top/>
      <bottom/>
      <diagonal/>
    </border>
    <border>
      <left/>
      <right style="thin">
        <color rgb="FFC9BCD2"/>
      </right>
      <top/>
      <bottom/>
      <diagonal/>
    </border>
    <border>
      <left style="thin">
        <color rgb="FFC9BCD2"/>
      </left>
      <right/>
      <top/>
      <bottom style="thin">
        <color rgb="FFC9BCD2"/>
      </bottom>
      <diagonal/>
    </border>
    <border>
      <left/>
      <right/>
      <top/>
      <bottom style="thin">
        <color rgb="FFC9BCD2"/>
      </bottom>
      <diagonal/>
    </border>
    <border>
      <left/>
      <right style="thin">
        <color rgb="FFC9BCD2"/>
      </right>
      <top/>
      <bottom style="thin">
        <color rgb="FFC9BCD2"/>
      </bottom>
      <diagonal/>
    </border>
  </borders>
  <cellStyleXfs count="15">
    <xf numFmtId="0" fontId="0" fillId="0" borderId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</cellStyleXfs>
  <cellXfs count="123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9" fillId="0" borderId="0" xfId="0" applyFont="1"/>
    <xf numFmtId="0" fontId="7" fillId="3" borderId="1" xfId="0" applyFont="1" applyFill="1" applyBorder="1" applyAlignment="1">
      <alignment horizontal="center" vertical="center" wrapText="1"/>
    </xf>
    <xf numFmtId="0" fontId="13" fillId="0" borderId="0" xfId="0" applyFont="1"/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11" fillId="4" borderId="2" xfId="0" applyFont="1" applyFill="1" applyBorder="1" applyAlignment="1">
      <alignment horizontal="center"/>
    </xf>
    <xf numFmtId="0" fontId="11" fillId="4" borderId="0" xfId="0" applyFont="1" applyFill="1" applyAlignment="1">
      <alignment horizontal="center"/>
    </xf>
    <xf numFmtId="0" fontId="11" fillId="4" borderId="3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16" fillId="0" borderId="0" xfId="0" applyFont="1"/>
    <xf numFmtId="0" fontId="15" fillId="5" borderId="0" xfId="0" applyFont="1" applyFill="1"/>
    <xf numFmtId="0" fontId="15" fillId="5" borderId="0" xfId="0" applyFont="1" applyFill="1" applyAlignment="1">
      <alignment horizontal="center"/>
    </xf>
    <xf numFmtId="0" fontId="16" fillId="5" borderId="0" xfId="0" applyFont="1" applyFill="1"/>
    <xf numFmtId="0" fontId="17" fillId="6" borderId="0" xfId="0" applyFont="1" applyFill="1"/>
    <xf numFmtId="0" fontId="17" fillId="6" borderId="0" xfId="0" applyFont="1" applyFill="1" applyAlignment="1">
      <alignment horizontal="center"/>
    </xf>
    <xf numFmtId="0" fontId="16" fillId="6" borderId="0" xfId="0" applyFont="1" applyFill="1"/>
    <xf numFmtId="0" fontId="6" fillId="7" borderId="0" xfId="0" applyFont="1" applyFill="1" applyAlignment="1">
      <alignment horizontal="center"/>
    </xf>
    <xf numFmtId="0" fontId="0" fillId="8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7" fillId="9" borderId="1" xfId="0" applyFont="1" applyFill="1" applyBorder="1" applyAlignment="1">
      <alignment horizontal="center" vertical="center" wrapText="1"/>
    </xf>
    <xf numFmtId="3" fontId="12" fillId="0" borderId="0" xfId="0" applyNumberFormat="1" applyFont="1" applyAlignment="1">
      <alignment horizontal="center"/>
    </xf>
    <xf numFmtId="0" fontId="18" fillId="0" borderId="0" xfId="0" applyFont="1"/>
    <xf numFmtId="0" fontId="20" fillId="0" borderId="0" xfId="0" applyFont="1" applyAlignment="1">
      <alignment horizontal="center"/>
    </xf>
    <xf numFmtId="0" fontId="19" fillId="0" borderId="0" xfId="0" applyFont="1"/>
    <xf numFmtId="0" fontId="20" fillId="0" borderId="0" xfId="0" applyFont="1"/>
    <xf numFmtId="8" fontId="15" fillId="5" borderId="0" xfId="0" applyNumberFormat="1" applyFont="1" applyFill="1"/>
    <xf numFmtId="8" fontId="15" fillId="0" borderId="0" xfId="0" applyNumberFormat="1" applyFont="1"/>
    <xf numFmtId="8" fontId="17" fillId="6" borderId="0" xfId="0" applyNumberFormat="1" applyFont="1" applyFill="1"/>
    <xf numFmtId="8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12" fillId="0" borderId="0" xfId="0" applyFont="1"/>
    <xf numFmtId="49" fontId="0" fillId="0" borderId="0" xfId="0" applyNumberFormat="1"/>
    <xf numFmtId="49" fontId="6" fillId="0" borderId="0" xfId="0" applyNumberFormat="1" applyFont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10" fontId="21" fillId="0" borderId="0" xfId="0" applyNumberFormat="1" applyFont="1"/>
    <xf numFmtId="10" fontId="18" fillId="0" borderId="0" xfId="0" applyNumberFormat="1" applyFont="1"/>
    <xf numFmtId="10" fontId="12" fillId="0" borderId="0" xfId="0" applyNumberFormat="1" applyFont="1" applyAlignment="1">
      <alignment horizontal="center"/>
    </xf>
    <xf numFmtId="4" fontId="12" fillId="0" borderId="0" xfId="0" applyNumberFormat="1" applyFont="1"/>
    <xf numFmtId="10" fontId="15" fillId="5" borderId="0" xfId="0" applyNumberFormat="1" applyFont="1" applyFill="1" applyAlignment="1">
      <alignment horizontal="center"/>
    </xf>
    <xf numFmtId="8" fontId="12" fillId="0" borderId="0" xfId="0" applyNumberFormat="1" applyFont="1"/>
    <xf numFmtId="8" fontId="21" fillId="0" borderId="0" xfId="0" applyNumberFormat="1" applyFont="1"/>
    <xf numFmtId="8" fontId="18" fillId="0" borderId="0" xfId="0" applyNumberFormat="1" applyFont="1"/>
    <xf numFmtId="44" fontId="0" fillId="0" borderId="1" xfId="0" applyNumberFormat="1" applyBorder="1" applyAlignment="1">
      <alignment horizontal="center" vertical="center"/>
    </xf>
    <xf numFmtId="7" fontId="0" fillId="0" borderId="1" xfId="0" applyNumberFormat="1" applyBorder="1" applyAlignment="1">
      <alignment horizontal="center" vertical="center"/>
    </xf>
    <xf numFmtId="165" fontId="12" fillId="0" borderId="0" xfId="0" applyNumberFormat="1" applyFont="1"/>
    <xf numFmtId="14" fontId="12" fillId="0" borderId="0" xfId="0" applyNumberFormat="1" applyFont="1"/>
    <xf numFmtId="164" fontId="12" fillId="0" borderId="0" xfId="0" applyNumberFormat="1" applyFont="1"/>
    <xf numFmtId="4" fontId="0" fillId="0" borderId="0" xfId="0" applyNumberFormat="1"/>
    <xf numFmtId="166" fontId="12" fillId="0" borderId="0" xfId="0" applyNumberFormat="1" applyFont="1"/>
    <xf numFmtId="0" fontId="0" fillId="0" borderId="2" xfId="0" applyBorder="1"/>
    <xf numFmtId="0" fontId="0" fillId="0" borderId="3" xfId="0" applyBorder="1"/>
    <xf numFmtId="0" fontId="12" fillId="0" borderId="2" xfId="0" applyFont="1" applyBorder="1"/>
    <xf numFmtId="0" fontId="13" fillId="0" borderId="2" xfId="0" applyFont="1" applyBorder="1"/>
    <xf numFmtId="10" fontId="12" fillId="0" borderId="3" xfId="0" applyNumberFormat="1" applyFont="1" applyBorder="1" applyAlignment="1">
      <alignment horizontal="center"/>
    </xf>
    <xf numFmtId="0" fontId="19" fillId="0" borderId="2" xfId="0" applyFont="1" applyBorder="1"/>
    <xf numFmtId="0" fontId="12" fillId="0" borderId="3" xfId="0" applyFont="1" applyBorder="1"/>
    <xf numFmtId="4" fontId="12" fillId="0" borderId="3" xfId="0" applyNumberFormat="1" applyFont="1" applyBorder="1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8" fontId="24" fillId="5" borderId="0" xfId="0" applyNumberFormat="1" applyFont="1" applyFill="1"/>
    <xf numFmtId="10" fontId="24" fillId="5" borderId="0" xfId="0" applyNumberFormat="1" applyFont="1" applyFill="1"/>
    <xf numFmtId="0" fontId="12" fillId="0" borderId="5" xfId="0" applyFont="1" applyBorder="1"/>
    <xf numFmtId="4" fontId="12" fillId="0" borderId="5" xfId="0" applyNumberFormat="1" applyFont="1" applyBorder="1"/>
    <xf numFmtId="0" fontId="12" fillId="0" borderId="4" xfId="0" applyFont="1" applyBorder="1"/>
    <xf numFmtId="0" fontId="24" fillId="6" borderId="0" xfId="0" applyFont="1" applyFill="1"/>
    <xf numFmtId="0" fontId="12" fillId="0" borderId="5" xfId="0" applyFont="1" applyBorder="1" applyAlignment="1">
      <alignment horizontal="center"/>
    </xf>
    <xf numFmtId="8" fontId="12" fillId="0" borderId="5" xfId="0" applyNumberFormat="1" applyFont="1" applyBorder="1"/>
    <xf numFmtId="10" fontId="12" fillId="0" borderId="6" xfId="0" applyNumberFormat="1" applyFont="1" applyBorder="1" applyAlignment="1">
      <alignment horizontal="center"/>
    </xf>
    <xf numFmtId="8" fontId="18" fillId="0" borderId="5" xfId="0" applyNumberFormat="1" applyFont="1" applyBorder="1"/>
    <xf numFmtId="10" fontId="18" fillId="0" borderId="5" xfId="0" applyNumberFormat="1" applyFont="1" applyBorder="1"/>
    <xf numFmtId="166" fontId="12" fillId="0" borderId="5" xfId="0" applyNumberFormat="1" applyFont="1" applyBorder="1"/>
    <xf numFmtId="10" fontId="0" fillId="0" borderId="0" xfId="0" applyNumberFormat="1"/>
    <xf numFmtId="167" fontId="12" fillId="0" borderId="0" xfId="0" applyNumberFormat="1" applyFont="1"/>
    <xf numFmtId="168" fontId="12" fillId="0" borderId="0" xfId="0" applyNumberFormat="1" applyFont="1"/>
    <xf numFmtId="8" fontId="16" fillId="5" borderId="0" xfId="0" applyNumberFormat="1" applyFont="1" applyFill="1"/>
    <xf numFmtId="10" fontId="16" fillId="5" borderId="0" xfId="0" applyNumberFormat="1" applyFont="1" applyFill="1"/>
    <xf numFmtId="14" fontId="12" fillId="0" borderId="5" xfId="0" applyNumberFormat="1" applyFont="1" applyBorder="1"/>
    <xf numFmtId="165" fontId="12" fillId="0" borderId="5" xfId="0" applyNumberFormat="1" applyFont="1" applyBorder="1"/>
    <xf numFmtId="4" fontId="12" fillId="0" borderId="6" xfId="0" applyNumberFormat="1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5" fillId="5" borderId="2" xfId="0" applyFont="1" applyFill="1" applyBorder="1"/>
    <xf numFmtId="10" fontId="15" fillId="5" borderId="3" xfId="0" applyNumberFormat="1" applyFont="1" applyFill="1" applyBorder="1" applyAlignment="1">
      <alignment horizontal="center"/>
    </xf>
    <xf numFmtId="0" fontId="15" fillId="0" borderId="2" xfId="0" applyFont="1" applyBorder="1"/>
    <xf numFmtId="10" fontId="15" fillId="0" borderId="3" xfId="0" applyNumberFormat="1" applyFont="1" applyBorder="1" applyAlignment="1">
      <alignment horizontal="center"/>
    </xf>
    <xf numFmtId="169" fontId="12" fillId="0" borderId="0" xfId="0" applyNumberFormat="1" applyFont="1"/>
    <xf numFmtId="164" fontId="12" fillId="0" borderId="5" xfId="0" applyNumberFormat="1" applyFont="1" applyBorder="1"/>
    <xf numFmtId="0" fontId="15" fillId="0" borderId="4" xfId="0" applyFont="1" applyBorder="1"/>
    <xf numFmtId="0" fontId="15" fillId="0" borderId="5" xfId="0" applyFont="1" applyBorder="1"/>
    <xf numFmtId="0" fontId="15" fillId="0" borderId="5" xfId="0" applyFont="1" applyBorder="1" applyAlignment="1">
      <alignment horizontal="center"/>
    </xf>
    <xf numFmtId="0" fontId="16" fillId="0" borderId="5" xfId="0" applyFont="1" applyBorder="1"/>
    <xf numFmtId="0" fontId="15" fillId="0" borderId="6" xfId="0" applyFont="1" applyBorder="1" applyAlignment="1">
      <alignment horizontal="center"/>
    </xf>
    <xf numFmtId="169" fontId="21" fillId="0" borderId="0" xfId="0" applyNumberFormat="1" applyFont="1"/>
    <xf numFmtId="169" fontId="18" fillId="0" borderId="0" xfId="0" applyNumberFormat="1" applyFont="1"/>
    <xf numFmtId="3" fontId="0" fillId="0" borderId="0" xfId="0" applyNumberFormat="1"/>
    <xf numFmtId="0" fontId="0" fillId="0" borderId="1" xfId="0" applyBorder="1"/>
    <xf numFmtId="10" fontId="12" fillId="0" borderId="0" xfId="0" applyNumberFormat="1" applyFont="1"/>
    <xf numFmtId="10" fontId="12" fillId="0" borderId="5" xfId="0" applyNumberFormat="1" applyFont="1" applyBorder="1"/>
    <xf numFmtId="0" fontId="12" fillId="0" borderId="6" xfId="0" applyFont="1" applyBorder="1"/>
    <xf numFmtId="0" fontId="3" fillId="2" borderId="0" xfId="0" applyFont="1" applyFill="1" applyAlignment="1">
      <alignment horizontal="center" vertical="center" wrapText="1"/>
    </xf>
    <xf numFmtId="0" fontId="12" fillId="0" borderId="0" xfId="0" applyFont="1" applyBorder="1"/>
    <xf numFmtId="0" fontId="13" fillId="0" borderId="0" xfId="0" applyFont="1" applyBorder="1"/>
    <xf numFmtId="0" fontId="0" fillId="0" borderId="0" xfId="0" applyBorder="1"/>
    <xf numFmtId="0" fontId="11" fillId="4" borderId="0" xfId="0" applyFont="1" applyFill="1" applyBorder="1" applyAlignment="1">
      <alignment horizontal="center"/>
    </xf>
    <xf numFmtId="0" fontId="15" fillId="5" borderId="0" xfId="0" applyFont="1" applyFill="1" applyBorder="1"/>
    <xf numFmtId="0" fontId="15" fillId="0" borderId="0" xfId="0" applyFont="1" applyBorder="1"/>
  </cellXfs>
  <cellStyles count="15">
    <cellStyle name="Millares 2" xfId="1" xr:uid="{00000000-0005-0000-0000-000000000000}"/>
    <cellStyle name="Millares 3" xfId="3" xr:uid="{00000000-0005-0000-0000-000001000000}"/>
    <cellStyle name="Millares 4" xfId="5" xr:uid="{00000000-0005-0000-0000-000002000000}"/>
    <cellStyle name="Millares 5" xfId="7" xr:uid="{00000000-0005-0000-0000-000003000000}"/>
    <cellStyle name="Millares 6" xfId="9" xr:uid="{00000000-0005-0000-0000-000004000000}"/>
    <cellStyle name="Millares 7" xfId="11" xr:uid="{00000000-0005-0000-0000-000005000000}"/>
    <cellStyle name="Millares 8" xfId="13" xr:uid="{00000000-0005-0000-0000-000006000000}"/>
    <cellStyle name="Moneda 2" xfId="2" xr:uid="{00000000-0005-0000-0000-000007000000}"/>
    <cellStyle name="Moneda 3" xfId="4" xr:uid="{00000000-0005-0000-0000-000008000000}"/>
    <cellStyle name="Moneda 4" xfId="6" xr:uid="{00000000-0005-0000-0000-000009000000}"/>
    <cellStyle name="Moneda 5" xfId="8" xr:uid="{00000000-0005-0000-0000-00000A000000}"/>
    <cellStyle name="Moneda 6" xfId="10" xr:uid="{00000000-0005-0000-0000-00000B000000}"/>
    <cellStyle name="Moneda 7" xfId="12" xr:uid="{00000000-0005-0000-0000-00000C000000}"/>
    <cellStyle name="Moneda 8" xfId="14" xr:uid="{00000000-0005-0000-0000-00000D000000}"/>
    <cellStyle name="Normal" xfId="0" builtinId="0"/>
  </cellStyles>
  <dxfs count="0"/>
  <tableStyles count="0" defaultTableStyle="TableStyleMedium9" defaultPivotStyle="PivotStyleLight16"/>
  <colors>
    <mruColors>
      <color rgb="FFD2D2D2"/>
      <color rgb="FFC9BC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\\10.118.63.96\PSTR_reporteriapcb\ProgramasTAS\TAS\Imagenes\EncabezadoPosicionGlobal.jpg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file:///\\10.118.63.96\PSTR_reporteriapcb\ProgramasTAS\TAS\Imagenes\EncabezadoMovimientosCliente.jpg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\\10.118.63.96\PSTR_reporteriapcb\ProgramasTAS\TAS\Imagenes\EncabezadoPosicionGlobal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11</xdr:row>
          <xdr:rowOff>161925</xdr:rowOff>
        </xdr:from>
        <xdr:to>
          <xdr:col>1</xdr:col>
          <xdr:colOff>47625</xdr:colOff>
          <xdr:row>13</xdr:row>
          <xdr:rowOff>19050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Llenar Lay Out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538734</xdr:colOff>
      <xdr:row>2</xdr:row>
      <xdr:rowOff>35814</xdr:rowOff>
    </xdr:to>
    <xdr:pic>
      <xdr:nvPicPr>
        <xdr:cNvPr id="2" name="1 Imagen" descr="EncabezadoPosicionGlobal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723900</xdr:colOff>
          <xdr:row>0</xdr:row>
          <xdr:rowOff>123825</xdr:rowOff>
        </xdr:from>
        <xdr:to>
          <xdr:col>20</xdr:col>
          <xdr:colOff>466725</xdr:colOff>
          <xdr:row>0</xdr:row>
          <xdr:rowOff>504825</xdr:rowOff>
        </xdr:to>
        <xdr:sp macro="" textlink="">
          <xdr:nvSpPr>
            <xdr:cNvPr id="1083393" name="Button 1" hidden="1">
              <a:extLst>
                <a:ext uri="{63B3BB69-23CF-44E3-9099-C40C66FF867C}">
                  <a14:compatExt spid="_x0000_s1083393"/>
                </a:ext>
                <a:ext uri="{FF2B5EF4-FFF2-40B4-BE49-F238E27FC236}">
                  <a16:creationId xmlns:a16="http://schemas.microsoft.com/office/drawing/2014/main" id="{00000000-0008-0000-0200-0000018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519684</xdr:colOff>
      <xdr:row>2</xdr:row>
      <xdr:rowOff>35814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75E9771-CC70-449A-8E24-0D1A2C92E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666750</xdr:colOff>
          <xdr:row>1</xdr:row>
          <xdr:rowOff>38100</xdr:rowOff>
        </xdr:from>
        <xdr:to>
          <xdr:col>20</xdr:col>
          <xdr:colOff>409575</xdr:colOff>
          <xdr:row>3</xdr:row>
          <xdr:rowOff>38100</xdr:rowOff>
        </xdr:to>
        <xdr:sp macro="" textlink="">
          <xdr:nvSpPr>
            <xdr:cNvPr id="1250306" name="Button 2" hidden="1">
              <a:extLst>
                <a:ext uri="{63B3BB69-23CF-44E3-9099-C40C66FF867C}">
                  <a14:compatExt spid="_x0000_s1250306"/>
                </a:ext>
                <a:ext uri="{FF2B5EF4-FFF2-40B4-BE49-F238E27FC236}">
                  <a16:creationId xmlns:a16="http://schemas.microsoft.com/office/drawing/2014/main" id="{00000000-0008-0000-0400-0000021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666750</xdr:colOff>
          <xdr:row>3</xdr:row>
          <xdr:rowOff>171450</xdr:rowOff>
        </xdr:from>
        <xdr:to>
          <xdr:col>20</xdr:col>
          <xdr:colOff>409575</xdr:colOff>
          <xdr:row>5</xdr:row>
          <xdr:rowOff>171450</xdr:rowOff>
        </xdr:to>
        <xdr:sp macro="" textlink="">
          <xdr:nvSpPr>
            <xdr:cNvPr id="1250307" name="Button 3" hidden="1">
              <a:extLst>
                <a:ext uri="{63B3BB69-23CF-44E3-9099-C40C66FF867C}">
                  <a14:compatExt spid="_x0000_s1250307"/>
                </a:ext>
                <a:ext uri="{FF2B5EF4-FFF2-40B4-BE49-F238E27FC236}">
                  <a16:creationId xmlns:a16="http://schemas.microsoft.com/office/drawing/2014/main" id="{00000000-0008-0000-0400-0000031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Estrategia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666750</xdr:colOff>
          <xdr:row>1</xdr:row>
          <xdr:rowOff>38100</xdr:rowOff>
        </xdr:from>
        <xdr:to>
          <xdr:col>20</xdr:col>
          <xdr:colOff>409575</xdr:colOff>
          <xdr:row>3</xdr:row>
          <xdr:rowOff>38100</xdr:rowOff>
        </xdr:to>
        <xdr:sp macro="" textlink="">
          <xdr:nvSpPr>
            <xdr:cNvPr id="1250308" name="Button 4" hidden="1">
              <a:extLst>
                <a:ext uri="{63B3BB69-23CF-44E3-9099-C40C66FF867C}">
                  <a14:compatExt spid="_x0000_s1250308"/>
                </a:ext>
                <a:ext uri="{FF2B5EF4-FFF2-40B4-BE49-F238E27FC236}">
                  <a16:creationId xmlns:a16="http://schemas.microsoft.com/office/drawing/2014/main" id="{181C7CB7-B37B-85EB-8B3F-EBA99CCAAF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20411</xdr:colOff>
      <xdr:row>1</xdr:row>
      <xdr:rowOff>179471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F4FE1ED-F050-421F-97E5-EBDAC6C20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8907236" cy="7700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0</xdr:row>
          <xdr:rowOff>381000</xdr:rowOff>
        </xdr:from>
        <xdr:to>
          <xdr:col>20</xdr:col>
          <xdr:colOff>123825</xdr:colOff>
          <xdr:row>1</xdr:row>
          <xdr:rowOff>180975</xdr:rowOff>
        </xdr:to>
        <xdr:sp macro="" textlink="">
          <xdr:nvSpPr>
            <xdr:cNvPr id="1253377" name="Button 1" hidden="1">
              <a:extLst>
                <a:ext uri="{63B3BB69-23CF-44E3-9099-C40C66FF867C}">
                  <a14:compatExt spid="_x0000_s1253377"/>
                </a:ext>
                <a:ext uri="{FF2B5EF4-FFF2-40B4-BE49-F238E27FC236}">
                  <a16:creationId xmlns:a16="http://schemas.microsoft.com/office/drawing/2014/main" id="{00000000-0008-0000-0500-0000012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Corregir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180975</xdr:colOff>
          <xdr:row>0</xdr:row>
          <xdr:rowOff>381000</xdr:rowOff>
        </xdr:from>
        <xdr:to>
          <xdr:col>21</xdr:col>
          <xdr:colOff>638175</xdr:colOff>
          <xdr:row>1</xdr:row>
          <xdr:rowOff>180975</xdr:rowOff>
        </xdr:to>
        <xdr:sp macro="" textlink="">
          <xdr:nvSpPr>
            <xdr:cNvPr id="1253378" name="Button 2" hidden="1">
              <a:extLst>
                <a:ext uri="{63B3BB69-23CF-44E3-9099-C40C66FF867C}">
                  <a14:compatExt spid="_x0000_s1253378"/>
                </a:ext>
                <a:ext uri="{FF2B5EF4-FFF2-40B4-BE49-F238E27FC236}">
                  <a16:creationId xmlns:a16="http://schemas.microsoft.com/office/drawing/2014/main" id="{00000000-0008-0000-0500-0000022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2</xdr:row>
          <xdr:rowOff>104775</xdr:rowOff>
        </xdr:from>
        <xdr:to>
          <xdr:col>20</xdr:col>
          <xdr:colOff>123825</xdr:colOff>
          <xdr:row>4</xdr:row>
          <xdr:rowOff>114300</xdr:rowOff>
        </xdr:to>
        <xdr:sp macro="" textlink="">
          <xdr:nvSpPr>
            <xdr:cNvPr id="1253379" name="Button 3" hidden="1">
              <a:extLst>
                <a:ext uri="{63B3BB69-23CF-44E3-9099-C40C66FF867C}">
                  <a14:compatExt spid="_x0000_s1253379"/>
                </a:ext>
                <a:ext uri="{FF2B5EF4-FFF2-40B4-BE49-F238E27FC236}">
                  <a16:creationId xmlns:a16="http://schemas.microsoft.com/office/drawing/2014/main" id="{00000000-0008-0000-0500-0000032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180975</xdr:colOff>
          <xdr:row>2</xdr:row>
          <xdr:rowOff>104775</xdr:rowOff>
        </xdr:from>
        <xdr:to>
          <xdr:col>22</xdr:col>
          <xdr:colOff>228600</xdr:colOff>
          <xdr:row>4</xdr:row>
          <xdr:rowOff>114300</xdr:rowOff>
        </xdr:to>
        <xdr:sp macro="" textlink="">
          <xdr:nvSpPr>
            <xdr:cNvPr id="1253380" name="Button 4" hidden="1">
              <a:extLst>
                <a:ext uri="{63B3BB69-23CF-44E3-9099-C40C66FF867C}">
                  <a14:compatExt spid="_x0000_s1253380"/>
                </a:ext>
                <a:ext uri="{FF2B5EF4-FFF2-40B4-BE49-F238E27FC236}">
                  <a16:creationId xmlns:a16="http://schemas.microsoft.com/office/drawing/2014/main" id="{00000000-0008-0000-0500-0000042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491109</xdr:colOff>
      <xdr:row>2</xdr:row>
      <xdr:rowOff>35814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E9D2386-F772-48D1-B0B8-D769741143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638175</xdr:colOff>
          <xdr:row>0</xdr:row>
          <xdr:rowOff>123825</xdr:rowOff>
        </xdr:from>
        <xdr:to>
          <xdr:col>20</xdr:col>
          <xdr:colOff>381000</xdr:colOff>
          <xdr:row>0</xdr:row>
          <xdr:rowOff>504825</xdr:rowOff>
        </xdr:to>
        <xdr:sp macro="" textlink="">
          <xdr:nvSpPr>
            <xdr:cNvPr id="1257473" name="Button 1" hidden="1">
              <a:extLst>
                <a:ext uri="{63B3BB69-23CF-44E3-9099-C40C66FF867C}">
                  <a14:compatExt spid="_x0000_s1257473"/>
                </a:ext>
                <a:ext uri="{FF2B5EF4-FFF2-40B4-BE49-F238E27FC236}">
                  <a16:creationId xmlns:a16="http://schemas.microsoft.com/office/drawing/2014/main" id="{B90A63C7-33ED-07B4-6ED4-A0B8FB0475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Posición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638175</xdr:colOff>
          <xdr:row>1</xdr:row>
          <xdr:rowOff>38100</xdr:rowOff>
        </xdr:from>
        <xdr:to>
          <xdr:col>20</xdr:col>
          <xdr:colOff>381000</xdr:colOff>
          <xdr:row>3</xdr:row>
          <xdr:rowOff>38100</xdr:rowOff>
        </xdr:to>
        <xdr:sp macro="" textlink="">
          <xdr:nvSpPr>
            <xdr:cNvPr id="1257474" name="Button 2" hidden="1">
              <a:extLst>
                <a:ext uri="{63B3BB69-23CF-44E3-9099-C40C66FF867C}">
                  <a14:compatExt spid="_x0000_s1257474"/>
                </a:ext>
                <a:ext uri="{FF2B5EF4-FFF2-40B4-BE49-F238E27FC236}">
                  <a16:creationId xmlns:a16="http://schemas.microsoft.com/office/drawing/2014/main" id="{DEF130FC-88A6-D03C-6203-15B0A77F68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638175</xdr:colOff>
          <xdr:row>3</xdr:row>
          <xdr:rowOff>171450</xdr:rowOff>
        </xdr:from>
        <xdr:to>
          <xdr:col>20</xdr:col>
          <xdr:colOff>381000</xdr:colOff>
          <xdr:row>5</xdr:row>
          <xdr:rowOff>171450</xdr:rowOff>
        </xdr:to>
        <xdr:sp macro="" textlink="">
          <xdr:nvSpPr>
            <xdr:cNvPr id="1257475" name="Button 3" hidden="1">
              <a:extLst>
                <a:ext uri="{63B3BB69-23CF-44E3-9099-C40C66FF867C}">
                  <a14:compatExt spid="_x0000_s1257475"/>
                </a:ext>
                <a:ext uri="{FF2B5EF4-FFF2-40B4-BE49-F238E27FC236}">
                  <a16:creationId xmlns:a16="http://schemas.microsoft.com/office/drawing/2014/main" id="{28D71D87-3FC9-D053-5481-23E3B35DE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Estrategia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N25"/>
  <sheetViews>
    <sheetView showGridLines="0" tabSelected="1" topLeftCell="A9" zoomScale="85" zoomScaleNormal="85" workbookViewId="0">
      <selection activeCell="A17" sqref="A17"/>
    </sheetView>
  </sheetViews>
  <sheetFormatPr baseColWidth="10" defaultRowHeight="15" x14ac:dyDescent="0.25"/>
  <cols>
    <col min="1" max="1" width="19.28515625" customWidth="1"/>
    <col min="2" max="2" width="17.28515625" customWidth="1"/>
    <col min="3" max="3" width="19.140625" bestFit="1" customWidth="1"/>
    <col min="4" max="4" width="13" style="45" bestFit="1" customWidth="1"/>
    <col min="5" max="5" width="20.85546875" style="2" bestFit="1" customWidth="1"/>
    <col min="6" max="6" width="21.7109375" style="2" bestFit="1" customWidth="1"/>
    <col min="7" max="7" width="21.140625" style="2" bestFit="1" customWidth="1"/>
    <col min="8" max="8" width="22.7109375" style="2" customWidth="1"/>
    <col min="9" max="9" width="18.42578125" style="2" bestFit="1" customWidth="1"/>
    <col min="10" max="10" width="21.28515625" style="2" customWidth="1"/>
    <col min="11" max="11" width="28" style="2" customWidth="1"/>
    <col min="12" max="12" width="17.42578125" bestFit="1" customWidth="1"/>
    <col min="13" max="13" width="16.42578125" bestFit="1" customWidth="1"/>
    <col min="14" max="14" width="15.140625" bestFit="1" customWidth="1"/>
    <col min="15" max="16" width="18.28515625" bestFit="1" customWidth="1"/>
    <col min="17" max="17" width="28.42578125" bestFit="1" customWidth="1"/>
  </cols>
  <sheetData>
    <row r="1" spans="1:14" ht="21" x14ac:dyDescent="0.35">
      <c r="A1" s="1" t="s">
        <v>0</v>
      </c>
    </row>
    <row r="2" spans="1:14" ht="21" x14ac:dyDescent="0.35">
      <c r="A2" s="1"/>
    </row>
    <row r="3" spans="1:14" x14ac:dyDescent="0.25">
      <c r="A3" t="s">
        <v>1</v>
      </c>
      <c r="E3"/>
      <c r="F3"/>
      <c r="G3"/>
      <c r="H3"/>
      <c r="I3"/>
      <c r="J3"/>
      <c r="K3"/>
    </row>
    <row r="4" spans="1:14" x14ac:dyDescent="0.25">
      <c r="B4" t="s">
        <v>6</v>
      </c>
      <c r="E4"/>
      <c r="F4"/>
      <c r="G4"/>
      <c r="H4"/>
      <c r="I4"/>
      <c r="J4"/>
      <c r="K4"/>
    </row>
    <row r="5" spans="1:14" x14ac:dyDescent="0.25">
      <c r="E5"/>
      <c r="F5"/>
      <c r="G5"/>
      <c r="H5"/>
      <c r="I5"/>
      <c r="J5"/>
      <c r="K5"/>
    </row>
    <row r="6" spans="1:14" x14ac:dyDescent="0.25">
      <c r="A6" s="116" t="s">
        <v>2</v>
      </c>
      <c r="B6" s="3"/>
      <c r="E6"/>
      <c r="F6"/>
      <c r="G6"/>
      <c r="H6"/>
      <c r="I6"/>
      <c r="J6"/>
      <c r="K6"/>
    </row>
    <row r="7" spans="1:14" x14ac:dyDescent="0.25">
      <c r="A7" s="116"/>
      <c r="B7" s="3" t="s">
        <v>11</v>
      </c>
      <c r="E7"/>
      <c r="F7"/>
      <c r="G7"/>
      <c r="H7"/>
      <c r="I7"/>
      <c r="J7"/>
      <c r="K7"/>
    </row>
    <row r="8" spans="1:14" x14ac:dyDescent="0.25">
      <c r="E8"/>
      <c r="F8"/>
      <c r="G8"/>
      <c r="H8"/>
      <c r="I8"/>
      <c r="J8"/>
      <c r="K8"/>
    </row>
    <row r="9" spans="1:14" ht="21" x14ac:dyDescent="0.35">
      <c r="A9" s="1"/>
    </row>
    <row r="10" spans="1:14" ht="21" x14ac:dyDescent="0.35">
      <c r="A10" s="1"/>
    </row>
    <row r="11" spans="1:14" x14ac:dyDescent="0.25">
      <c r="A11" s="4"/>
    </row>
    <row r="12" spans="1:14" ht="21" x14ac:dyDescent="0.35">
      <c r="A12" s="1"/>
    </row>
    <row r="13" spans="1:14" ht="21" x14ac:dyDescent="0.35">
      <c r="A13" s="1"/>
    </row>
    <row r="15" spans="1:14" s="7" customFormat="1" ht="18.75" x14ac:dyDescent="0.3">
      <c r="A15" s="30">
        <v>1</v>
      </c>
      <c r="B15" s="5">
        <f>A15+1</f>
        <v>2</v>
      </c>
      <c r="C15" s="30">
        <v>3</v>
      </c>
      <c r="D15" s="46">
        <v>4</v>
      </c>
      <c r="E15" s="6">
        <f t="shared" ref="E15:K15" si="0">D15+1</f>
        <v>5</v>
      </c>
      <c r="F15" s="6">
        <f t="shared" si="0"/>
        <v>6</v>
      </c>
      <c r="G15" s="6">
        <f t="shared" si="0"/>
        <v>7</v>
      </c>
      <c r="H15" s="32">
        <f t="shared" si="0"/>
        <v>8</v>
      </c>
      <c r="I15" s="6">
        <f t="shared" si="0"/>
        <v>9</v>
      </c>
      <c r="J15" s="32">
        <f t="shared" si="0"/>
        <v>10</v>
      </c>
      <c r="K15" s="6">
        <f t="shared" si="0"/>
        <v>11</v>
      </c>
    </row>
    <row r="16" spans="1:14" ht="45" x14ac:dyDescent="0.25">
      <c r="A16" s="13" t="s">
        <v>3</v>
      </c>
      <c r="B16" s="13" t="s">
        <v>4</v>
      </c>
      <c r="C16" s="13" t="s">
        <v>5</v>
      </c>
      <c r="D16" s="47" t="s">
        <v>7</v>
      </c>
      <c r="E16" s="33" t="s">
        <v>60</v>
      </c>
      <c r="F16" s="33" t="s">
        <v>61</v>
      </c>
      <c r="G16" s="33" t="s">
        <v>8</v>
      </c>
      <c r="H16" s="33" t="s">
        <v>9</v>
      </c>
      <c r="I16" s="33" t="s">
        <v>59</v>
      </c>
      <c r="J16" s="33" t="s">
        <v>10</v>
      </c>
      <c r="K16" s="13" t="s">
        <v>62</v>
      </c>
      <c r="L16" s="33" t="s">
        <v>156</v>
      </c>
      <c r="M16" s="33" t="s">
        <v>157</v>
      </c>
      <c r="N16" s="33" t="s">
        <v>158</v>
      </c>
    </row>
    <row r="17" spans="1:14" x14ac:dyDescent="0.25">
      <c r="A17" s="8"/>
      <c r="B17" s="9" t="s">
        <v>85</v>
      </c>
      <c r="C17" s="10"/>
      <c r="D17" s="48" t="s">
        <v>168</v>
      </c>
      <c r="E17" s="57">
        <v>16129691.73</v>
      </c>
      <c r="F17" s="43">
        <v>0</v>
      </c>
      <c r="G17" s="42">
        <v>108655.53</v>
      </c>
      <c r="H17" s="11"/>
      <c r="I17" s="58">
        <v>0</v>
      </c>
      <c r="J17" s="58">
        <v>52830.119608000001</v>
      </c>
      <c r="K17" s="57">
        <v>16185517.140000001</v>
      </c>
      <c r="L17" s="112">
        <v>18.3123</v>
      </c>
      <c r="M17" s="112">
        <v>18.55</v>
      </c>
      <c r="N17" s="9" t="s">
        <v>159</v>
      </c>
    </row>
    <row r="18" spans="1:14" x14ac:dyDescent="0.25">
      <c r="A18" s="8"/>
      <c r="B18" s="9" t="s">
        <v>86</v>
      </c>
      <c r="C18" s="10"/>
      <c r="D18" s="48" t="s">
        <v>168</v>
      </c>
      <c r="E18" s="57">
        <v>60995.88</v>
      </c>
      <c r="F18" s="43">
        <v>0</v>
      </c>
      <c r="G18" s="58">
        <v>365.1</v>
      </c>
      <c r="H18" s="11"/>
      <c r="I18" s="58">
        <v>0</v>
      </c>
      <c r="J18" s="58">
        <v>193.16</v>
      </c>
      <c r="K18" s="57">
        <v>61167.82</v>
      </c>
      <c r="L18" s="112">
        <v>18.3123</v>
      </c>
      <c r="M18" s="112">
        <v>18.55</v>
      </c>
      <c r="N18" s="9" t="s">
        <v>159</v>
      </c>
    </row>
    <row r="19" spans="1:14" x14ac:dyDescent="0.25">
      <c r="A19" s="8"/>
      <c r="B19" s="9" t="s">
        <v>121</v>
      </c>
      <c r="C19" s="10"/>
      <c r="D19" s="48" t="s">
        <v>168</v>
      </c>
      <c r="E19" s="57">
        <v>13631978.189999999</v>
      </c>
      <c r="F19" s="43">
        <v>0</v>
      </c>
      <c r="G19" s="42">
        <v>58567.81</v>
      </c>
      <c r="H19" s="11"/>
      <c r="I19" s="58">
        <v>185.29</v>
      </c>
      <c r="J19" s="42">
        <v>43927.011522000001</v>
      </c>
      <c r="K19" s="57">
        <v>13646433.699999999</v>
      </c>
      <c r="L19" s="112">
        <v>18.3123</v>
      </c>
      <c r="M19" s="112">
        <v>18.55</v>
      </c>
      <c r="N19" s="9" t="s">
        <v>159</v>
      </c>
    </row>
    <row r="20" spans="1:14" x14ac:dyDescent="0.25">
      <c r="D20"/>
      <c r="E20"/>
      <c r="F20"/>
      <c r="G20"/>
      <c r="H20"/>
      <c r="I20"/>
      <c r="J20"/>
      <c r="K20"/>
    </row>
    <row r="21" spans="1:14" x14ac:dyDescent="0.25">
      <c r="D21"/>
      <c r="E21"/>
      <c r="F21"/>
      <c r="G21"/>
      <c r="H21"/>
      <c r="I21"/>
      <c r="J21"/>
      <c r="K21"/>
    </row>
    <row r="22" spans="1:14" s="7" customFormat="1" x14ac:dyDescent="0.25">
      <c r="A22"/>
      <c r="B22"/>
      <c r="C22"/>
      <c r="D22"/>
      <c r="E22"/>
      <c r="F22"/>
      <c r="G22"/>
      <c r="H22"/>
      <c r="I22"/>
      <c r="J22"/>
      <c r="K22"/>
    </row>
    <row r="23" spans="1:14" x14ac:dyDescent="0.25">
      <c r="A23" s="4"/>
      <c r="F23" s="31" t="s">
        <v>56</v>
      </c>
      <c r="G23" s="31" t="s">
        <v>57</v>
      </c>
      <c r="I23" s="31" t="s">
        <v>58</v>
      </c>
    </row>
    <row r="24" spans="1:14" x14ac:dyDescent="0.25">
      <c r="A24" s="12"/>
    </row>
    <row r="25" spans="1:14" x14ac:dyDescent="0.25">
      <c r="A25" s="12"/>
    </row>
  </sheetData>
  <mergeCells count="1">
    <mergeCell ref="A6:A7"/>
  </mergeCells>
  <pageMargins left="0.70866141732283472" right="0.70866141732283472" top="0.74803149606299213" bottom="0.74803149606299213" header="0.31496062992125984" footer="0.31496062992125984"/>
  <pageSetup scale="54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_xludf.LayOut">
                <anchor moveWithCells="1">
                  <from>
                    <xdr:col>0</xdr:col>
                    <xdr:colOff>171450</xdr:colOff>
                    <xdr:row>11</xdr:row>
                    <xdr:rowOff>161925</xdr:rowOff>
                  </from>
                  <to>
                    <xdr:col>1</xdr:col>
                    <xdr:colOff>47625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R29"/>
  <sheetViews>
    <sheetView workbookViewId="0">
      <selection activeCell="A4" sqref="A4"/>
    </sheetView>
  </sheetViews>
  <sheetFormatPr baseColWidth="10" defaultRowHeight="15" x14ac:dyDescent="0.25"/>
  <cols>
    <col min="1" max="1" width="17" bestFit="1" customWidth="1"/>
    <col min="2" max="2" width="12.42578125" bestFit="1" customWidth="1"/>
  </cols>
  <sheetData>
    <row r="1" spans="1:2" x14ac:dyDescent="0.25">
      <c r="A1" t="s">
        <v>87</v>
      </c>
      <c r="B1" t="s">
        <v>88</v>
      </c>
    </row>
    <row r="2" spans="1:2" x14ac:dyDescent="0.25">
      <c r="A2" t="s">
        <v>85</v>
      </c>
      <c r="B2">
        <v>3</v>
      </c>
    </row>
    <row r="3" spans="1:2" x14ac:dyDescent="0.25">
      <c r="A3" t="s">
        <v>86</v>
      </c>
      <c r="B3" t="s">
        <v>121</v>
      </c>
    </row>
    <row r="4" spans="1:2" x14ac:dyDescent="0.25">
      <c r="A4" t="s">
        <v>121</v>
      </c>
      <c r="B4" s="62"/>
    </row>
    <row r="5" spans="1:2" x14ac:dyDescent="0.25">
      <c r="A5" t="s">
        <v>122</v>
      </c>
      <c r="B5" t="b">
        <v>0</v>
      </c>
    </row>
    <row r="6" spans="1:2" x14ac:dyDescent="0.25">
      <c r="A6" t="s">
        <v>121</v>
      </c>
      <c r="B6" t="b">
        <v>1</v>
      </c>
    </row>
    <row r="7" spans="1:2" x14ac:dyDescent="0.25">
      <c r="A7" t="s">
        <v>122</v>
      </c>
      <c r="B7" t="b">
        <v>0</v>
      </c>
    </row>
    <row r="8" spans="1:2" x14ac:dyDescent="0.25">
      <c r="B8">
        <v>105</v>
      </c>
    </row>
    <row r="9" spans="1:2" x14ac:dyDescent="0.25">
      <c r="B9">
        <v>100.504007986145</v>
      </c>
    </row>
    <row r="10" spans="1:2" x14ac:dyDescent="0.25">
      <c r="B10">
        <v>89.65</v>
      </c>
    </row>
    <row r="21" spans="2:18" x14ac:dyDescent="0.25">
      <c r="R21">
        <v>0</v>
      </c>
    </row>
    <row r="27" spans="2:18" x14ac:dyDescent="0.25">
      <c r="B27" t="s">
        <v>85</v>
      </c>
    </row>
    <row r="28" spans="2:18" x14ac:dyDescent="0.25">
      <c r="B28" t="s">
        <v>86</v>
      </c>
    </row>
    <row r="29" spans="2:18" x14ac:dyDescent="0.25">
      <c r="B29" t="s">
        <v>121</v>
      </c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580AE-4288-4AF9-BB03-A8F57E5A086B}">
  <sheetPr codeName="Hoja2"/>
  <dimension ref="A1:S58"/>
  <sheetViews>
    <sheetView workbookViewId="0">
      <selection activeCell="A49" sqref="A49:R49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2" width="11.7109375" customWidth="1"/>
    <col min="13" max="13" width="11.85546875" bestFit="1" customWidth="1"/>
    <col min="14" max="14" width="10.7109375" customWidth="1"/>
    <col min="15" max="15" width="12.140625" bestFit="1" customWidth="1"/>
    <col min="16" max="16" width="9.140625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4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4"/>
      <c r="C4" s="15"/>
      <c r="F4" s="14"/>
      <c r="G4" s="15"/>
      <c r="I4" s="14" t="s">
        <v>14</v>
      </c>
      <c r="J4" s="15" t="s">
        <v>15</v>
      </c>
      <c r="K4" s="14" t="s">
        <v>23</v>
      </c>
      <c r="L4" s="16">
        <v>45355</v>
      </c>
      <c r="N4" s="14" t="s">
        <v>24</v>
      </c>
      <c r="O4" s="16">
        <v>45355</v>
      </c>
      <c r="R4" s="65"/>
    </row>
    <row r="5" spans="1:19" x14ac:dyDescent="0.25">
      <c r="A5" s="67" t="s">
        <v>25</v>
      </c>
      <c r="B5" s="14"/>
      <c r="C5" s="15" t="s">
        <v>138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R6" s="65"/>
    </row>
    <row r="7" spans="1:19" x14ac:dyDescent="0.25">
      <c r="A7" s="17" t="s">
        <v>31</v>
      </c>
      <c r="B7" s="18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</row>
    <row r="8" spans="1:19" x14ac:dyDescent="0.25">
      <c r="A8" s="17"/>
      <c r="B8" s="18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</row>
    <row r="9" spans="1:19" x14ac:dyDescent="0.25">
      <c r="A9" s="66" t="s">
        <v>82</v>
      </c>
      <c r="B9" s="44" t="s">
        <v>85</v>
      </c>
      <c r="C9" s="44" t="s">
        <v>133</v>
      </c>
      <c r="D9" s="44" t="s">
        <v>89</v>
      </c>
      <c r="E9" s="44">
        <v>15</v>
      </c>
      <c r="F9" s="20">
        <v>0</v>
      </c>
      <c r="G9" s="20">
        <v>0</v>
      </c>
      <c r="H9" s="20">
        <v>0</v>
      </c>
      <c r="I9" s="34">
        <v>8333</v>
      </c>
      <c r="J9" s="63">
        <v>11.396630999999999</v>
      </c>
      <c r="K9" s="52">
        <v>92610.49</v>
      </c>
      <c r="L9" s="63">
        <v>11.408529</v>
      </c>
      <c r="M9" s="52">
        <v>92707.17</v>
      </c>
      <c r="N9" s="63">
        <v>11.64</v>
      </c>
      <c r="O9" s="54">
        <v>94466.14</v>
      </c>
      <c r="P9" s="56">
        <v>2266.2199999999998</v>
      </c>
      <c r="Q9" s="50">
        <v>1.9199999999999998E-2</v>
      </c>
      <c r="R9" s="68">
        <v>3.4540605198273449E-3</v>
      </c>
    </row>
    <row r="10" spans="1:19" x14ac:dyDescent="0.25">
      <c r="A10" s="66" t="s">
        <v>82</v>
      </c>
      <c r="B10" s="44" t="s">
        <v>121</v>
      </c>
      <c r="C10" s="44" t="s">
        <v>133</v>
      </c>
      <c r="D10" s="44" t="s">
        <v>89</v>
      </c>
      <c r="E10" s="44">
        <v>15</v>
      </c>
      <c r="F10" s="20">
        <v>0</v>
      </c>
      <c r="G10" s="20">
        <v>0</v>
      </c>
      <c r="H10" s="20">
        <v>0</v>
      </c>
      <c r="I10" s="34">
        <v>2000</v>
      </c>
      <c r="J10" s="63">
        <v>11.396630999999999</v>
      </c>
      <c r="K10" s="52">
        <v>22227.4</v>
      </c>
      <c r="L10" s="63">
        <v>11.408529</v>
      </c>
      <c r="M10" s="52">
        <v>22250.61</v>
      </c>
      <c r="N10" s="63">
        <v>11.64</v>
      </c>
      <c r="O10" s="54">
        <v>22672.78</v>
      </c>
      <c r="P10" s="56">
        <v>2266.2199999999998</v>
      </c>
      <c r="Q10" s="50">
        <v>1.9199999999999998E-2</v>
      </c>
      <c r="R10" s="68">
        <v>8.2900766637369774E-4</v>
      </c>
    </row>
    <row r="11" spans="1:19" x14ac:dyDescent="0.25">
      <c r="A11" s="66" t="s">
        <v>82</v>
      </c>
      <c r="B11" s="44" t="s">
        <v>86</v>
      </c>
      <c r="C11" s="44" t="s">
        <v>93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20">
        <v>26</v>
      </c>
      <c r="J11" s="63">
        <v>43.46</v>
      </c>
      <c r="K11" s="52">
        <v>1101.9100000000001</v>
      </c>
      <c r="L11" s="63">
        <v>43.505384999999997</v>
      </c>
      <c r="M11" s="52">
        <v>1103.06</v>
      </c>
      <c r="N11" s="63">
        <v>66.709999999999994</v>
      </c>
      <c r="O11" s="54">
        <v>1689.22</v>
      </c>
      <c r="P11" s="56">
        <v>601.51</v>
      </c>
      <c r="Q11" s="50">
        <v>0.53180000000000005</v>
      </c>
      <c r="R11" s="68">
        <v>6.1764650395398265E-5</v>
      </c>
    </row>
    <row r="12" spans="1:19" x14ac:dyDescent="0.25">
      <c r="A12" s="66" t="s">
        <v>82</v>
      </c>
      <c r="B12" s="44" t="s">
        <v>86</v>
      </c>
      <c r="C12" s="44" t="s">
        <v>92</v>
      </c>
      <c r="D12" s="44" t="s">
        <v>97</v>
      </c>
      <c r="E12" s="44">
        <v>61</v>
      </c>
      <c r="F12" s="20">
        <v>0</v>
      </c>
      <c r="G12" s="20">
        <v>0</v>
      </c>
      <c r="H12" s="20">
        <v>0</v>
      </c>
      <c r="I12" s="20">
        <v>12</v>
      </c>
      <c r="J12" s="63">
        <v>19.539574999999999</v>
      </c>
      <c r="K12" s="54">
        <v>228.65</v>
      </c>
      <c r="L12" s="63">
        <v>19.539574999999999</v>
      </c>
      <c r="M12" s="54">
        <v>228.65</v>
      </c>
      <c r="N12" s="63">
        <v>16.13</v>
      </c>
      <c r="O12" s="54">
        <v>188.51</v>
      </c>
      <c r="P12" s="55">
        <v>-41.12</v>
      </c>
      <c r="Q12" s="49">
        <v>-0.1754</v>
      </c>
      <c r="R12" s="68">
        <v>6.8926807911559925E-6</v>
      </c>
    </row>
    <row r="13" spans="1:19" x14ac:dyDescent="0.25">
      <c r="A13" s="66" t="s">
        <v>82</v>
      </c>
      <c r="B13" s="44" t="s">
        <v>121</v>
      </c>
      <c r="C13" s="44" t="s">
        <v>95</v>
      </c>
      <c r="D13" s="44" t="s">
        <v>94</v>
      </c>
      <c r="E13" s="44">
        <v>0</v>
      </c>
      <c r="F13" s="20">
        <v>0</v>
      </c>
      <c r="G13" s="20">
        <v>0</v>
      </c>
      <c r="H13" s="20">
        <v>0</v>
      </c>
      <c r="I13" s="34">
        <v>71864</v>
      </c>
      <c r="J13" s="63">
        <v>3.445719</v>
      </c>
      <c r="K13" s="52">
        <v>241475.77</v>
      </c>
      <c r="L13" s="63">
        <v>3.4493170000000002</v>
      </c>
      <c r="M13" s="52">
        <v>241727.92</v>
      </c>
      <c r="N13" s="63">
        <v>3.36</v>
      </c>
      <c r="O13" s="54">
        <v>235164.88</v>
      </c>
      <c r="P13" s="55">
        <v>-5742.54</v>
      </c>
      <c r="Q13" s="49">
        <v>-2.69E-2</v>
      </c>
      <c r="R13" s="68">
        <v>8.5985701083788873E-3</v>
      </c>
      <c r="S13">
        <v>61864</v>
      </c>
    </row>
    <row r="14" spans="1:19" x14ac:dyDescent="0.25">
      <c r="A14" s="66" t="s">
        <v>82</v>
      </c>
      <c r="B14" s="44" t="s">
        <v>86</v>
      </c>
      <c r="C14" s="44" t="s">
        <v>96</v>
      </c>
      <c r="D14" s="44" t="s">
        <v>97</v>
      </c>
      <c r="E14" s="44">
        <v>0</v>
      </c>
      <c r="F14" s="20">
        <v>0</v>
      </c>
      <c r="G14" s="20">
        <v>0</v>
      </c>
      <c r="H14" s="20">
        <v>0</v>
      </c>
      <c r="I14" s="20">
        <v>23</v>
      </c>
      <c r="J14" s="63">
        <v>15.37</v>
      </c>
      <c r="K14" s="54">
        <v>344.73</v>
      </c>
      <c r="L14" s="63">
        <v>15.386087</v>
      </c>
      <c r="M14" s="54">
        <v>345.09</v>
      </c>
      <c r="N14" s="63">
        <v>9.89</v>
      </c>
      <c r="O14" s="54">
        <v>221.54</v>
      </c>
      <c r="P14" s="55">
        <v>-126.65</v>
      </c>
      <c r="Q14" s="49">
        <v>-0.3579</v>
      </c>
      <c r="R14" s="68">
        <v>8.1003899128571357E-6</v>
      </c>
    </row>
    <row r="15" spans="1:19" x14ac:dyDescent="0.25">
      <c r="A15" s="66" t="s">
        <v>82</v>
      </c>
      <c r="B15" s="44" t="s">
        <v>86</v>
      </c>
      <c r="C15" s="44" t="s">
        <v>98</v>
      </c>
      <c r="D15" s="44" t="s">
        <v>89</v>
      </c>
      <c r="E15" s="44">
        <v>0</v>
      </c>
      <c r="F15" s="20">
        <v>0</v>
      </c>
      <c r="G15" s="20">
        <v>0</v>
      </c>
      <c r="H15" s="20">
        <v>0</v>
      </c>
      <c r="I15" s="20">
        <v>5</v>
      </c>
      <c r="J15" s="63">
        <v>36.979999999999997</v>
      </c>
      <c r="K15" s="54">
        <v>180.31</v>
      </c>
      <c r="L15" s="63">
        <v>37.020000000000003</v>
      </c>
      <c r="M15" s="54">
        <v>180.5</v>
      </c>
      <c r="N15" s="63">
        <v>36.799999999999997</v>
      </c>
      <c r="O15" s="54">
        <v>179.2</v>
      </c>
      <c r="P15" s="55">
        <v>-1.29</v>
      </c>
      <c r="Q15" s="49">
        <v>-7.0000000000000001E-3</v>
      </c>
      <c r="R15" s="68">
        <v>6.5522698943035057E-6</v>
      </c>
    </row>
    <row r="16" spans="1:19" x14ac:dyDescent="0.25">
      <c r="A16" s="66" t="s">
        <v>82</v>
      </c>
      <c r="B16" s="44" t="s">
        <v>86</v>
      </c>
      <c r="C16" s="44" t="s">
        <v>99</v>
      </c>
      <c r="D16" s="44" t="s">
        <v>100</v>
      </c>
      <c r="E16" s="44">
        <v>0</v>
      </c>
      <c r="F16" s="20">
        <v>0</v>
      </c>
      <c r="G16" s="20">
        <v>0</v>
      </c>
      <c r="H16" s="20">
        <v>0</v>
      </c>
      <c r="I16" s="20">
        <v>46</v>
      </c>
      <c r="J16" s="63">
        <v>8.67</v>
      </c>
      <c r="K16" s="54">
        <v>388.92</v>
      </c>
      <c r="L16" s="63">
        <v>8.6791300000000007</v>
      </c>
      <c r="M16" s="54">
        <v>389.33</v>
      </c>
      <c r="N16" s="63">
        <v>13.23</v>
      </c>
      <c r="O16" s="54">
        <v>592.71</v>
      </c>
      <c r="P16" s="56">
        <v>208.7</v>
      </c>
      <c r="Q16" s="50">
        <v>0.52280000000000004</v>
      </c>
      <c r="R16" s="68">
        <v>2.1671852059445487E-5</v>
      </c>
    </row>
    <row r="17" spans="1:19" x14ac:dyDescent="0.25">
      <c r="A17" s="66" t="s">
        <v>82</v>
      </c>
      <c r="B17" s="44" t="s">
        <v>85</v>
      </c>
      <c r="C17" s="44" t="s">
        <v>134</v>
      </c>
      <c r="D17" s="44">
        <v>13</v>
      </c>
      <c r="E17" s="44">
        <v>0</v>
      </c>
      <c r="F17" s="20">
        <v>0</v>
      </c>
      <c r="G17" s="20">
        <v>0</v>
      </c>
      <c r="H17" s="20">
        <v>0</v>
      </c>
      <c r="I17" s="34">
        <v>4761</v>
      </c>
      <c r="J17" s="63">
        <v>20.855626999999998</v>
      </c>
      <c r="K17" s="52">
        <v>96828.62</v>
      </c>
      <c r="L17" s="63">
        <v>20.877400999999999</v>
      </c>
      <c r="M17" s="52">
        <v>96929.72</v>
      </c>
      <c r="N17" s="63">
        <v>20.399999999999999</v>
      </c>
      <c r="O17" s="54">
        <v>94591.07</v>
      </c>
      <c r="P17" s="55">
        <v>-3371.7</v>
      </c>
      <c r="Q17" s="49">
        <v>-2.3900000000000001E-2</v>
      </c>
      <c r="R17" s="68">
        <v>3.4586284611102429E-3</v>
      </c>
    </row>
    <row r="18" spans="1:19" x14ac:dyDescent="0.25">
      <c r="A18" s="66" t="s">
        <v>82</v>
      </c>
      <c r="B18" s="44" t="s">
        <v>121</v>
      </c>
      <c r="C18" s="44" t="s">
        <v>134</v>
      </c>
      <c r="D18" s="44">
        <v>13</v>
      </c>
      <c r="E18" s="44">
        <v>0</v>
      </c>
      <c r="F18" s="20">
        <v>0</v>
      </c>
      <c r="G18" s="20">
        <v>0</v>
      </c>
      <c r="H18" s="20">
        <v>0</v>
      </c>
      <c r="I18" s="34">
        <v>2000</v>
      </c>
      <c r="J18" s="63">
        <v>20.855626999999998</v>
      </c>
      <c r="K18" s="52">
        <v>40675.75</v>
      </c>
      <c r="L18" s="63">
        <v>20.877400999999999</v>
      </c>
      <c r="M18" s="52">
        <v>40718.21</v>
      </c>
      <c r="N18" s="63">
        <v>20.399999999999999</v>
      </c>
      <c r="O18" s="54">
        <v>39735.800000000003</v>
      </c>
      <c r="P18" s="55">
        <v>-3371.7</v>
      </c>
      <c r="Q18" s="49">
        <v>-2.3900000000000001E-2</v>
      </c>
      <c r="R18" s="68">
        <v>1.4529000338508106E-3</v>
      </c>
    </row>
    <row r="19" spans="1:19" x14ac:dyDescent="0.25">
      <c r="A19" s="66" t="s">
        <v>82</v>
      </c>
      <c r="B19" s="44" t="s">
        <v>85</v>
      </c>
      <c r="C19" s="44" t="s">
        <v>135</v>
      </c>
      <c r="D19" s="44">
        <v>18</v>
      </c>
      <c r="E19" s="44">
        <v>0</v>
      </c>
      <c r="F19" s="20">
        <v>0</v>
      </c>
      <c r="G19" s="20">
        <v>0</v>
      </c>
      <c r="H19" s="20">
        <v>0</v>
      </c>
      <c r="I19" s="34">
        <v>2230</v>
      </c>
      <c r="J19" s="63">
        <v>26.904828999999999</v>
      </c>
      <c r="K19" s="52">
        <v>58508.29</v>
      </c>
      <c r="L19" s="63">
        <v>26.932918000000001</v>
      </c>
      <c r="M19" s="52">
        <v>58569.38</v>
      </c>
      <c r="N19" s="63">
        <v>27.2</v>
      </c>
      <c r="O19" s="54">
        <v>59073.89</v>
      </c>
      <c r="P19" s="56">
        <v>1062.6300000000001</v>
      </c>
      <c r="Q19" s="50">
        <v>8.8999999999999999E-3</v>
      </c>
      <c r="R19" s="68">
        <v>2.1599780747008756E-3</v>
      </c>
    </row>
    <row r="20" spans="1:19" x14ac:dyDescent="0.25">
      <c r="A20" s="66" t="s">
        <v>82</v>
      </c>
      <c r="B20" s="44" t="s">
        <v>121</v>
      </c>
      <c r="C20" s="44" t="s">
        <v>135</v>
      </c>
      <c r="D20" s="44">
        <v>18</v>
      </c>
      <c r="E20" s="44">
        <v>0</v>
      </c>
      <c r="F20" s="20">
        <v>0</v>
      </c>
      <c r="G20" s="20">
        <v>0</v>
      </c>
      <c r="H20" s="20">
        <v>0</v>
      </c>
      <c r="I20" s="34">
        <v>2222</v>
      </c>
      <c r="J20" s="63">
        <v>26.904828999999999</v>
      </c>
      <c r="K20" s="52">
        <v>58298.400000000001</v>
      </c>
      <c r="L20" s="63">
        <v>26.932918000000001</v>
      </c>
      <c r="M20" s="52">
        <v>58359.26</v>
      </c>
      <c r="N20" s="63">
        <v>27.2</v>
      </c>
      <c r="O20" s="54">
        <v>58861.97</v>
      </c>
      <c r="P20" s="56">
        <v>1062.6300000000001</v>
      </c>
      <c r="Q20" s="50">
        <v>8.8999999999999999E-3</v>
      </c>
      <c r="R20" s="68">
        <v>2.1522294305267643E-3</v>
      </c>
    </row>
    <row r="21" spans="1:19" x14ac:dyDescent="0.25">
      <c r="A21" s="66" t="s">
        <v>82</v>
      </c>
      <c r="B21" s="44" t="s">
        <v>86</v>
      </c>
      <c r="C21" s="44" t="s">
        <v>101</v>
      </c>
      <c r="D21" s="44" t="s">
        <v>102</v>
      </c>
      <c r="E21" s="44">
        <v>5</v>
      </c>
      <c r="F21" s="20">
        <v>0</v>
      </c>
      <c r="G21" s="20">
        <v>0</v>
      </c>
      <c r="H21" s="20">
        <v>0</v>
      </c>
      <c r="I21" s="20">
        <v>5</v>
      </c>
      <c r="J21" s="63">
        <v>207.51</v>
      </c>
      <c r="K21" s="52">
        <v>1011.79</v>
      </c>
      <c r="L21" s="63">
        <v>207.72664</v>
      </c>
      <c r="M21" s="52">
        <v>1012.85</v>
      </c>
      <c r="N21" s="63">
        <v>210.08</v>
      </c>
      <c r="O21" s="54">
        <v>1023</v>
      </c>
      <c r="P21" s="56">
        <v>864.28</v>
      </c>
      <c r="Q21" s="50">
        <v>1.03E-2</v>
      </c>
      <c r="R21" s="68">
        <v>3.7404978247056287E-5</v>
      </c>
      <c r="S21">
        <v>405</v>
      </c>
    </row>
    <row r="22" spans="1:19" x14ac:dyDescent="0.25">
      <c r="A22" s="66" t="s">
        <v>82</v>
      </c>
      <c r="B22" s="44" t="s">
        <v>121</v>
      </c>
      <c r="C22" s="44" t="s">
        <v>101</v>
      </c>
      <c r="D22" s="44" t="s">
        <v>102</v>
      </c>
      <c r="E22" s="44">
        <v>5</v>
      </c>
      <c r="F22" s="20">
        <v>0</v>
      </c>
      <c r="G22" s="20">
        <v>0</v>
      </c>
      <c r="H22" s="20">
        <v>0</v>
      </c>
      <c r="I22" s="20">
        <v>800</v>
      </c>
      <c r="J22" s="63">
        <v>207.51</v>
      </c>
      <c r="K22" s="52">
        <v>161886.76</v>
      </c>
      <c r="L22" s="63">
        <v>207.72664</v>
      </c>
      <c r="M22" s="52">
        <v>162055.76999999999</v>
      </c>
      <c r="N22" s="63">
        <v>210.08</v>
      </c>
      <c r="O22" s="54">
        <v>163680.32999999999</v>
      </c>
      <c r="P22" s="56">
        <v>864.28</v>
      </c>
      <c r="Q22" s="50">
        <v>1.03E-2</v>
      </c>
      <c r="R22" s="68">
        <v>5.9848085856510202E-3</v>
      </c>
    </row>
    <row r="23" spans="1:19" x14ac:dyDescent="0.25">
      <c r="A23" s="66" t="s">
        <v>82</v>
      </c>
      <c r="B23" s="44" t="s">
        <v>86</v>
      </c>
      <c r="C23" s="44" t="s">
        <v>103</v>
      </c>
      <c r="D23" s="44" t="s">
        <v>104</v>
      </c>
      <c r="E23" s="44">
        <v>8</v>
      </c>
      <c r="F23" s="20">
        <v>0</v>
      </c>
      <c r="G23" s="20">
        <v>0</v>
      </c>
      <c r="H23" s="20">
        <v>0</v>
      </c>
      <c r="I23" s="20">
        <v>5</v>
      </c>
      <c r="J23" s="63">
        <v>124.54</v>
      </c>
      <c r="K23" s="54">
        <v>607.24</v>
      </c>
      <c r="L23" s="63">
        <v>124.67</v>
      </c>
      <c r="M23" s="54">
        <v>607.87</v>
      </c>
      <c r="N23" s="63">
        <v>179.06</v>
      </c>
      <c r="O23" s="54">
        <v>871.95</v>
      </c>
      <c r="P23" s="56">
        <v>271.02</v>
      </c>
      <c r="Q23" s="50">
        <v>0.43480000000000002</v>
      </c>
      <c r="R23" s="68">
        <v>3.1881985124653695E-5</v>
      </c>
    </row>
    <row r="24" spans="1:19" x14ac:dyDescent="0.25">
      <c r="A24" s="66" t="s">
        <v>82</v>
      </c>
      <c r="B24" s="44" t="s">
        <v>86</v>
      </c>
      <c r="C24" s="44" t="s">
        <v>105</v>
      </c>
      <c r="D24" s="44" t="s">
        <v>97</v>
      </c>
      <c r="E24" s="44">
        <v>1</v>
      </c>
      <c r="F24" s="20">
        <v>0</v>
      </c>
      <c r="G24" s="20">
        <v>0</v>
      </c>
      <c r="H24" s="20">
        <v>0</v>
      </c>
      <c r="I24" s="20">
        <v>159</v>
      </c>
      <c r="J24" s="63">
        <v>2.84</v>
      </c>
      <c r="K24" s="54">
        <v>440.35</v>
      </c>
      <c r="L24" s="63">
        <v>2.842956</v>
      </c>
      <c r="M24" s="54">
        <v>440.81</v>
      </c>
      <c r="N24" s="63">
        <v>2.23</v>
      </c>
      <c r="O24" s="54">
        <v>345.32</v>
      </c>
      <c r="P24" s="55">
        <v>-97.83</v>
      </c>
      <c r="Q24" s="49">
        <v>-0.21640000000000001</v>
      </c>
      <c r="R24" s="68">
        <v>1.2626282588732626E-5</v>
      </c>
    </row>
    <row r="25" spans="1:19" x14ac:dyDescent="0.25">
      <c r="A25" s="66" t="s">
        <v>82</v>
      </c>
      <c r="B25" s="44" t="s">
        <v>86</v>
      </c>
      <c r="C25" s="44" t="s">
        <v>106</v>
      </c>
      <c r="D25" s="44" t="s">
        <v>97</v>
      </c>
      <c r="E25" s="44">
        <v>83</v>
      </c>
      <c r="F25" s="20">
        <v>0</v>
      </c>
      <c r="G25" s="20">
        <v>0</v>
      </c>
      <c r="H25" s="20">
        <v>0</v>
      </c>
      <c r="I25" s="20">
        <v>8</v>
      </c>
      <c r="J25" s="63">
        <v>100.05</v>
      </c>
      <c r="K25" s="54">
        <v>780.53</v>
      </c>
      <c r="L25" s="63">
        <v>100.155</v>
      </c>
      <c r="M25" s="54">
        <v>781.35</v>
      </c>
      <c r="N25" s="63">
        <v>84.2</v>
      </c>
      <c r="O25" s="54">
        <v>656.03</v>
      </c>
      <c r="P25" s="55">
        <v>-128.34</v>
      </c>
      <c r="Q25" s="49">
        <v>-0.16020000000000001</v>
      </c>
      <c r="R25" s="68">
        <v>2.3987084926115673E-5</v>
      </c>
    </row>
    <row r="26" spans="1:19" x14ac:dyDescent="0.25">
      <c r="A26" s="66" t="s">
        <v>82</v>
      </c>
      <c r="B26" s="44" t="s">
        <v>86</v>
      </c>
      <c r="C26" s="44" t="s">
        <v>107</v>
      </c>
      <c r="D26" s="44" t="s">
        <v>108</v>
      </c>
      <c r="E26" s="44">
        <v>5</v>
      </c>
      <c r="F26" s="20">
        <v>0</v>
      </c>
      <c r="G26" s="20">
        <v>0</v>
      </c>
      <c r="H26" s="20">
        <v>0</v>
      </c>
      <c r="I26" s="20">
        <v>2</v>
      </c>
      <c r="J26" s="63">
        <v>113.64</v>
      </c>
      <c r="K26" s="54">
        <v>221.64</v>
      </c>
      <c r="L26" s="63">
        <v>113.755</v>
      </c>
      <c r="M26" s="54">
        <v>221.86</v>
      </c>
      <c r="N26" s="63">
        <v>162.13999999999999</v>
      </c>
      <c r="O26" s="54">
        <v>315.82</v>
      </c>
      <c r="P26" s="56">
        <v>96.43</v>
      </c>
      <c r="Q26" s="50">
        <v>0.4239</v>
      </c>
      <c r="R26" s="68">
        <v>1.1547644408587797E-5</v>
      </c>
    </row>
    <row r="27" spans="1:19" x14ac:dyDescent="0.25">
      <c r="A27" s="66" t="s">
        <v>82</v>
      </c>
      <c r="B27" s="44" t="s">
        <v>86</v>
      </c>
      <c r="C27" s="44" t="s">
        <v>119</v>
      </c>
      <c r="D27" s="44" t="s">
        <v>120</v>
      </c>
      <c r="E27" s="44">
        <v>1</v>
      </c>
      <c r="F27" s="20">
        <v>0</v>
      </c>
      <c r="G27" s="20">
        <v>0</v>
      </c>
      <c r="H27" s="20">
        <v>0</v>
      </c>
      <c r="I27" s="20">
        <v>1</v>
      </c>
      <c r="J27" s="63">
        <v>14.305099</v>
      </c>
      <c r="K27" s="54">
        <v>13.95</v>
      </c>
      <c r="L27" s="63">
        <v>14.305099</v>
      </c>
      <c r="M27" s="54">
        <v>13.95</v>
      </c>
      <c r="N27" s="63">
        <v>5.83</v>
      </c>
      <c r="O27" s="54">
        <v>5.67</v>
      </c>
      <c r="P27" s="55">
        <v>-8.48</v>
      </c>
      <c r="Q27" s="49">
        <v>-0.59289999999999998</v>
      </c>
      <c r="R27" s="68">
        <v>2.0731791462444686E-7</v>
      </c>
    </row>
    <row r="28" spans="1:19" x14ac:dyDescent="0.25">
      <c r="A28" s="66" t="s">
        <v>82</v>
      </c>
      <c r="B28" s="44" t="s">
        <v>86</v>
      </c>
      <c r="C28" s="44" t="s">
        <v>109</v>
      </c>
      <c r="D28" s="44" t="s">
        <v>100</v>
      </c>
      <c r="E28" s="44">
        <v>0</v>
      </c>
      <c r="F28" s="20">
        <v>0</v>
      </c>
      <c r="G28" s="20">
        <v>0</v>
      </c>
      <c r="H28" s="20">
        <v>0</v>
      </c>
      <c r="I28" s="20">
        <v>5</v>
      </c>
      <c r="J28" s="63">
        <v>53.62</v>
      </c>
      <c r="K28" s="54">
        <v>261.44</v>
      </c>
      <c r="L28" s="63">
        <v>53.676000000000002</v>
      </c>
      <c r="M28" s="54">
        <v>261.72000000000003</v>
      </c>
      <c r="N28" s="63">
        <v>47.22</v>
      </c>
      <c r="O28" s="54">
        <v>229.94</v>
      </c>
      <c r="P28" s="55">
        <v>-32.53</v>
      </c>
      <c r="Q28" s="49">
        <v>-0.1212</v>
      </c>
      <c r="R28" s="68">
        <v>8.4075275641526125E-6</v>
      </c>
    </row>
    <row r="29" spans="1:19" x14ac:dyDescent="0.25">
      <c r="A29" s="66" t="s">
        <v>82</v>
      </c>
      <c r="B29" s="44" t="s">
        <v>86</v>
      </c>
      <c r="C29" s="44" t="s">
        <v>90</v>
      </c>
      <c r="D29" s="44" t="s">
        <v>89</v>
      </c>
      <c r="E29" s="44">
        <v>19</v>
      </c>
      <c r="F29" s="20">
        <v>0</v>
      </c>
      <c r="G29" s="20">
        <v>0</v>
      </c>
      <c r="H29" s="20">
        <v>0</v>
      </c>
      <c r="I29" s="20">
        <v>195</v>
      </c>
      <c r="J29" s="63">
        <v>4.38</v>
      </c>
      <c r="K29" s="54">
        <v>832.9</v>
      </c>
      <c r="L29" s="63">
        <v>4.3845640000000001</v>
      </c>
      <c r="M29" s="54">
        <v>833.76</v>
      </c>
      <c r="N29" s="63">
        <v>3.43</v>
      </c>
      <c r="O29" s="54">
        <v>651.41</v>
      </c>
      <c r="P29" s="55">
        <v>-186.84</v>
      </c>
      <c r="Q29" s="49">
        <v>-0.2185</v>
      </c>
      <c r="R29" s="68">
        <v>2.3818159217903162E-5</v>
      </c>
    </row>
    <row r="30" spans="1:19" x14ac:dyDescent="0.25">
      <c r="A30" s="66" t="s">
        <v>82</v>
      </c>
      <c r="B30" s="44" t="s">
        <v>86</v>
      </c>
      <c r="C30" s="44" t="s">
        <v>110</v>
      </c>
      <c r="D30" s="44" t="s">
        <v>94</v>
      </c>
      <c r="E30" s="44">
        <v>13</v>
      </c>
      <c r="F30" s="20">
        <v>0</v>
      </c>
      <c r="G30" s="20">
        <v>0</v>
      </c>
      <c r="H30" s="20">
        <v>0</v>
      </c>
      <c r="I30" s="20">
        <v>2</v>
      </c>
      <c r="J30" s="63">
        <v>142.6</v>
      </c>
      <c r="K30" s="54">
        <v>278.12</v>
      </c>
      <c r="L30" s="63">
        <v>142.75</v>
      </c>
      <c r="M30" s="54">
        <v>278.41000000000003</v>
      </c>
      <c r="N30" s="63">
        <v>177.56</v>
      </c>
      <c r="O30" s="54">
        <v>345.86</v>
      </c>
      <c r="P30" s="56">
        <v>69.25</v>
      </c>
      <c r="Q30" s="50">
        <v>0.24260000000000001</v>
      </c>
      <c r="R30" s="68">
        <v>1.2646027152030192E-5</v>
      </c>
    </row>
    <row r="31" spans="1:19" x14ac:dyDescent="0.25">
      <c r="A31" s="66" t="s">
        <v>82</v>
      </c>
      <c r="B31" s="44" t="s">
        <v>86</v>
      </c>
      <c r="C31" s="44" t="s">
        <v>63</v>
      </c>
      <c r="D31" s="44" t="s">
        <v>89</v>
      </c>
      <c r="E31" s="44">
        <v>5</v>
      </c>
      <c r="F31" s="20">
        <v>0</v>
      </c>
      <c r="G31" s="20">
        <v>0</v>
      </c>
      <c r="H31" s="20">
        <v>0</v>
      </c>
      <c r="I31" s="20">
        <v>7</v>
      </c>
      <c r="J31" s="63">
        <v>115.851428</v>
      </c>
      <c r="K31" s="54">
        <v>790.83</v>
      </c>
      <c r="L31" s="63">
        <v>115.972857</v>
      </c>
      <c r="M31" s="54">
        <v>791.66</v>
      </c>
      <c r="N31" s="63">
        <v>160.47999999999999</v>
      </c>
      <c r="O31" s="54">
        <v>1094.06</v>
      </c>
      <c r="P31" s="56">
        <v>310.38</v>
      </c>
      <c r="Q31" s="50">
        <v>0.38229999999999997</v>
      </c>
      <c r="R31" s="68">
        <v>4.0003216520991589E-5</v>
      </c>
    </row>
    <row r="32" spans="1:19" x14ac:dyDescent="0.25">
      <c r="A32" s="66" t="s">
        <v>139</v>
      </c>
      <c r="B32" s="44" t="s">
        <v>85</v>
      </c>
      <c r="C32" s="44" t="s">
        <v>131</v>
      </c>
      <c r="D32" s="44" t="s">
        <v>94</v>
      </c>
      <c r="E32" s="44">
        <v>0</v>
      </c>
      <c r="F32" s="20">
        <v>0</v>
      </c>
      <c r="G32" s="20">
        <v>0</v>
      </c>
      <c r="H32" s="20">
        <v>0</v>
      </c>
      <c r="I32" s="34">
        <v>2770</v>
      </c>
      <c r="J32" s="63">
        <v>1396.3</v>
      </c>
      <c r="K32" s="52">
        <v>3771731.96</v>
      </c>
      <c r="L32" s="63">
        <v>1397.7577369999999</v>
      </c>
      <c r="M32" s="52">
        <v>3775669.6</v>
      </c>
      <c r="N32" s="63">
        <v>1382.85</v>
      </c>
      <c r="O32" s="54">
        <v>3730582.51</v>
      </c>
      <c r="P32" s="55">
        <v>-45293.47</v>
      </c>
      <c r="Q32" s="49">
        <v>-1.17E-2</v>
      </c>
      <c r="R32" s="68">
        <v>0.13640504167683151</v>
      </c>
    </row>
    <row r="33" spans="1:18" x14ac:dyDescent="0.25">
      <c r="A33" s="66" t="s">
        <v>82</v>
      </c>
      <c r="B33" s="44" t="s">
        <v>86</v>
      </c>
      <c r="C33" s="44" t="s">
        <v>111</v>
      </c>
      <c r="D33" s="44">
        <v>13</v>
      </c>
      <c r="E33" s="44">
        <v>0</v>
      </c>
      <c r="F33" s="20">
        <v>0</v>
      </c>
      <c r="G33" s="20">
        <v>0</v>
      </c>
      <c r="H33" s="20">
        <v>0</v>
      </c>
      <c r="I33" s="20">
        <v>14</v>
      </c>
      <c r="J33" s="63">
        <v>28.52</v>
      </c>
      <c r="K33" s="54">
        <v>389.37</v>
      </c>
      <c r="L33" s="63">
        <v>28.55</v>
      </c>
      <c r="M33" s="54">
        <v>389.78</v>
      </c>
      <c r="N33" s="63">
        <v>40.25</v>
      </c>
      <c r="O33" s="54">
        <v>548.79999999999995</v>
      </c>
      <c r="P33" s="56">
        <v>163.21</v>
      </c>
      <c r="Q33" s="50">
        <v>0.4083</v>
      </c>
      <c r="R33" s="68">
        <v>2.0066326551304485E-5</v>
      </c>
    </row>
    <row r="34" spans="1:18" x14ac:dyDescent="0.25">
      <c r="A34" s="66" t="s">
        <v>82</v>
      </c>
      <c r="B34" s="44" t="s">
        <v>86</v>
      </c>
      <c r="C34" s="44" t="s">
        <v>112</v>
      </c>
      <c r="D34" s="44" t="s">
        <v>100</v>
      </c>
      <c r="E34" s="44">
        <v>0</v>
      </c>
      <c r="F34" s="20">
        <v>0</v>
      </c>
      <c r="G34" s="20">
        <v>0</v>
      </c>
      <c r="H34" s="20">
        <v>0</v>
      </c>
      <c r="I34" s="20">
        <v>10</v>
      </c>
      <c r="J34" s="63">
        <v>36.726467</v>
      </c>
      <c r="K34" s="54">
        <v>358.14</v>
      </c>
      <c r="L34" s="63">
        <v>36.726467</v>
      </c>
      <c r="M34" s="54">
        <v>358.14</v>
      </c>
      <c r="N34" s="63">
        <v>10.07</v>
      </c>
      <c r="O34" s="54">
        <v>98.07</v>
      </c>
      <c r="P34" s="55">
        <v>-266.67</v>
      </c>
      <c r="Q34" s="49">
        <v>-0.72609999999999997</v>
      </c>
      <c r="R34" s="68">
        <v>3.5858320788746917E-6</v>
      </c>
    </row>
    <row r="35" spans="1:18" x14ac:dyDescent="0.25">
      <c r="A35" s="66" t="s">
        <v>82</v>
      </c>
      <c r="B35" s="44" t="s">
        <v>86</v>
      </c>
      <c r="C35" s="44" t="s">
        <v>113</v>
      </c>
      <c r="D35" s="44" t="s">
        <v>89</v>
      </c>
      <c r="E35" s="44">
        <v>1</v>
      </c>
      <c r="F35" s="20">
        <v>0</v>
      </c>
      <c r="G35" s="20">
        <v>0</v>
      </c>
      <c r="H35" s="20">
        <v>0</v>
      </c>
      <c r="I35" s="20">
        <v>6</v>
      </c>
      <c r="J35" s="63">
        <v>30.4</v>
      </c>
      <c r="K35" s="54">
        <v>177.87</v>
      </c>
      <c r="L35" s="63">
        <v>30.431667000000001</v>
      </c>
      <c r="M35" s="54">
        <v>178.06</v>
      </c>
      <c r="N35" s="63">
        <v>31.68</v>
      </c>
      <c r="O35" s="54">
        <v>185.12</v>
      </c>
      <c r="P35" s="56">
        <v>7.29</v>
      </c>
      <c r="Q35" s="50">
        <v>3.9899999999999998E-2</v>
      </c>
      <c r="R35" s="68">
        <v>6.7687288104546036E-6</v>
      </c>
    </row>
    <row r="36" spans="1:18" x14ac:dyDescent="0.25">
      <c r="A36" s="79" t="s">
        <v>139</v>
      </c>
      <c r="B36" s="77" t="s">
        <v>85</v>
      </c>
      <c r="C36" s="77" t="s">
        <v>136</v>
      </c>
      <c r="D36" s="77" t="s">
        <v>94</v>
      </c>
      <c r="E36" s="77">
        <v>0</v>
      </c>
      <c r="F36" s="81">
        <v>0</v>
      </c>
      <c r="G36" s="81">
        <v>0</v>
      </c>
      <c r="H36" s="81">
        <v>0</v>
      </c>
      <c r="I36" s="81">
        <v>25</v>
      </c>
      <c r="J36" s="86">
        <v>2480.5</v>
      </c>
      <c r="K36" s="78">
        <v>60473.01</v>
      </c>
      <c r="L36" s="86">
        <v>2483.0896419999999</v>
      </c>
      <c r="M36" s="78">
        <v>60536.14</v>
      </c>
      <c r="N36" s="86">
        <v>2524</v>
      </c>
      <c r="O36" s="82">
        <v>61454.14</v>
      </c>
      <c r="P36" s="84">
        <v>956.88</v>
      </c>
      <c r="Q36" s="85">
        <v>1.54E-2</v>
      </c>
      <c r="R36" s="83">
        <v>2.2470095502361209E-3</v>
      </c>
    </row>
    <row r="37" spans="1:18" x14ac:dyDescent="0.25">
      <c r="A37" s="44" t="s">
        <v>82</v>
      </c>
      <c r="B37" s="44" t="s">
        <v>86</v>
      </c>
      <c r="C37" s="44" t="s">
        <v>114</v>
      </c>
      <c r="D37" s="44" t="s">
        <v>94</v>
      </c>
      <c r="E37" s="44">
        <v>14</v>
      </c>
      <c r="F37" s="20">
        <v>0</v>
      </c>
      <c r="G37" s="20">
        <v>0</v>
      </c>
      <c r="H37" s="20">
        <v>0</v>
      </c>
      <c r="I37" s="20">
        <v>11</v>
      </c>
      <c r="J37" s="63">
        <v>22.8</v>
      </c>
      <c r="K37" s="54">
        <v>244.57</v>
      </c>
      <c r="L37" s="63">
        <v>22.824545000000001</v>
      </c>
      <c r="M37" s="54">
        <v>244.84</v>
      </c>
      <c r="N37" s="63">
        <v>3.05</v>
      </c>
      <c r="O37" s="54">
        <v>32.67</v>
      </c>
      <c r="P37" s="55">
        <v>-217.56</v>
      </c>
      <c r="Q37" s="49">
        <v>-0.86650000000000005</v>
      </c>
      <c r="R37" s="51">
        <v>1.1945460795027652E-6</v>
      </c>
    </row>
    <row r="38" spans="1:18" x14ac:dyDescent="0.25">
      <c r="A38" s="44" t="s">
        <v>82</v>
      </c>
      <c r="B38" s="44" t="s">
        <v>86</v>
      </c>
      <c r="C38" s="44" t="s">
        <v>115</v>
      </c>
      <c r="D38" s="44" t="s">
        <v>94</v>
      </c>
      <c r="E38" s="44">
        <v>0</v>
      </c>
      <c r="F38" s="20">
        <v>0</v>
      </c>
      <c r="G38" s="20">
        <v>0</v>
      </c>
      <c r="H38" s="20">
        <v>0</v>
      </c>
      <c r="I38" s="20">
        <v>17</v>
      </c>
      <c r="J38" s="63">
        <v>38.020000000000003</v>
      </c>
      <c r="K38" s="54">
        <v>630.29</v>
      </c>
      <c r="L38" s="63">
        <v>38.059412000000002</v>
      </c>
      <c r="M38" s="54">
        <v>630.95000000000005</v>
      </c>
      <c r="N38" s="63">
        <v>61.6</v>
      </c>
      <c r="O38" s="54">
        <v>1019.89</v>
      </c>
      <c r="P38" s="56">
        <v>399.1</v>
      </c>
      <c r="Q38" s="50">
        <v>0.61680000000000001</v>
      </c>
      <c r="R38" s="51">
        <v>3.7291264188064748E-5</v>
      </c>
    </row>
    <row r="39" spans="1:18" x14ac:dyDescent="0.25">
      <c r="A39" s="24"/>
      <c r="B39" s="24"/>
      <c r="C39" s="24" t="s">
        <v>116</v>
      </c>
      <c r="D39" s="24" t="s">
        <v>50</v>
      </c>
      <c r="E39" s="24"/>
      <c r="F39" s="25"/>
      <c r="G39" s="25"/>
      <c r="H39" s="25"/>
      <c r="I39" s="25"/>
      <c r="J39" s="24"/>
      <c r="K39" s="39">
        <v>4614000.01</v>
      </c>
      <c r="L39" s="24"/>
      <c r="M39" s="39">
        <v>4618816.41</v>
      </c>
      <c r="N39" s="24"/>
      <c r="O39" s="39">
        <v>4570578.3</v>
      </c>
      <c r="P39" s="75">
        <v>-48238.11</v>
      </c>
      <c r="Q39" s="76">
        <v>-1.04E-2</v>
      </c>
      <c r="R39" s="53">
        <v>0.16711865287191349</v>
      </c>
    </row>
    <row r="40" spans="1:18" x14ac:dyDescent="0.25">
      <c r="R40" s="87"/>
    </row>
    <row r="41" spans="1:18" x14ac:dyDescent="0.25">
      <c r="A41" s="44" t="s">
        <v>117</v>
      </c>
      <c r="B41" s="44" t="s">
        <v>86</v>
      </c>
      <c r="C41" s="44" t="s">
        <v>91</v>
      </c>
      <c r="D41" s="44">
        <v>20</v>
      </c>
      <c r="E41" s="44" t="s">
        <v>21</v>
      </c>
      <c r="F41" s="20">
        <v>985</v>
      </c>
      <c r="G41" s="20">
        <v>0</v>
      </c>
      <c r="H41" s="20">
        <v>344</v>
      </c>
      <c r="I41" s="20">
        <v>129</v>
      </c>
      <c r="J41" s="63">
        <v>64.738501999999997</v>
      </c>
      <c r="K41" s="52">
        <v>8351.27</v>
      </c>
      <c r="L41" s="63">
        <v>64.784448999999995</v>
      </c>
      <c r="M41" s="52">
        <v>8357.19</v>
      </c>
      <c r="N41" s="63">
        <v>64.486866000000006</v>
      </c>
      <c r="O41" s="54">
        <v>8318.81</v>
      </c>
      <c r="P41" s="55">
        <v>-38.39</v>
      </c>
      <c r="Q41" s="49">
        <v>-4.5999999999999999E-3</v>
      </c>
      <c r="R41" s="51">
        <v>3.0416901963968161E-4</v>
      </c>
    </row>
    <row r="42" spans="1:18" x14ac:dyDescent="0.25">
      <c r="A42" s="44" t="s">
        <v>117</v>
      </c>
      <c r="B42" s="44" t="s">
        <v>85</v>
      </c>
      <c r="C42" s="44" t="s">
        <v>132</v>
      </c>
      <c r="D42" s="44">
        <v>251030</v>
      </c>
      <c r="E42" s="44" t="s">
        <v>21</v>
      </c>
      <c r="F42" s="20">
        <v>679</v>
      </c>
      <c r="G42" s="20">
        <v>0</v>
      </c>
      <c r="H42" s="20">
        <v>605</v>
      </c>
      <c r="I42" s="34">
        <v>466790</v>
      </c>
      <c r="J42" s="63">
        <v>8.2874079999999992</v>
      </c>
      <c r="K42" s="52">
        <v>3868479.2</v>
      </c>
      <c r="L42" s="63">
        <v>8.4740520000000004</v>
      </c>
      <c r="M42" s="52">
        <v>3955602.75</v>
      </c>
      <c r="N42" s="63">
        <v>8.4573750000000008</v>
      </c>
      <c r="O42" s="54">
        <v>3947818.07</v>
      </c>
      <c r="P42" s="55">
        <v>-7784.79</v>
      </c>
      <c r="Q42" s="49">
        <v>-2E-3</v>
      </c>
      <c r="R42" s="51">
        <v>0.14434804401924314</v>
      </c>
    </row>
    <row r="43" spans="1:18" x14ac:dyDescent="0.25">
      <c r="A43" s="44" t="s">
        <v>63</v>
      </c>
      <c r="B43" s="44" t="s">
        <v>85</v>
      </c>
      <c r="C43" s="44" t="s">
        <v>140</v>
      </c>
      <c r="D43" s="44">
        <v>280907</v>
      </c>
      <c r="E43" s="44" t="s">
        <v>21</v>
      </c>
      <c r="F43" s="20">
        <v>1</v>
      </c>
      <c r="G43" s="20">
        <v>10.7</v>
      </c>
      <c r="H43" s="20">
        <v>1</v>
      </c>
      <c r="I43" s="34">
        <v>68270</v>
      </c>
      <c r="J43" s="63">
        <v>101.88015799999999</v>
      </c>
      <c r="K43" s="52">
        <v>6955358.4299999997</v>
      </c>
      <c r="L43" s="63">
        <v>101.88015900000001</v>
      </c>
      <c r="M43" s="52">
        <v>6955358.4800000004</v>
      </c>
      <c r="N43" s="63">
        <v>101.88015900000001</v>
      </c>
      <c r="O43" s="54">
        <v>6955358.4299999997</v>
      </c>
      <c r="P43" s="55">
        <v>0</v>
      </c>
      <c r="Q43" s="35"/>
      <c r="R43" s="51">
        <v>0.25431576810814227</v>
      </c>
    </row>
    <row r="44" spans="1:18" x14ac:dyDescent="0.25">
      <c r="A44" s="44" t="s">
        <v>63</v>
      </c>
      <c r="B44" s="44" t="s">
        <v>86</v>
      </c>
      <c r="C44" s="44" t="s">
        <v>140</v>
      </c>
      <c r="D44" s="44">
        <v>280907</v>
      </c>
      <c r="E44" s="44" t="s">
        <v>21</v>
      </c>
      <c r="F44" s="20">
        <v>1</v>
      </c>
      <c r="G44" s="20">
        <v>10.7</v>
      </c>
      <c r="H44" s="20">
        <v>1</v>
      </c>
      <c r="I44" s="34">
        <v>369</v>
      </c>
      <c r="J44" s="63">
        <v>101.88015799999999</v>
      </c>
      <c r="K44" s="52">
        <v>37593.78</v>
      </c>
      <c r="L44" s="63">
        <v>101.88015900000001</v>
      </c>
      <c r="M44" s="52">
        <v>37593.78</v>
      </c>
      <c r="N44" s="63">
        <v>101.88015900000001</v>
      </c>
      <c r="O44" s="54">
        <v>37593.78</v>
      </c>
      <c r="P44" s="55">
        <v>0</v>
      </c>
      <c r="Q44" s="35"/>
      <c r="R44" s="51">
        <v>1.3745792014903417E-3</v>
      </c>
    </row>
    <row r="45" spans="1:18" x14ac:dyDescent="0.25">
      <c r="A45" s="44" t="s">
        <v>63</v>
      </c>
      <c r="B45" s="44" t="s">
        <v>121</v>
      </c>
      <c r="C45" s="44" t="s">
        <v>140</v>
      </c>
      <c r="D45" s="44">
        <v>280907</v>
      </c>
      <c r="E45" s="44" t="s">
        <v>21</v>
      </c>
      <c r="F45" s="20">
        <v>1</v>
      </c>
      <c r="G45" s="20">
        <v>10.7</v>
      </c>
      <c r="H45" s="20">
        <v>1</v>
      </c>
      <c r="I45" s="34">
        <v>116113</v>
      </c>
      <c r="J45" s="63">
        <v>101.88015799999999</v>
      </c>
      <c r="K45" s="52">
        <v>11829610.859999999</v>
      </c>
      <c r="L45" s="63">
        <v>101.88015900000001</v>
      </c>
      <c r="M45" s="52">
        <v>11829610.949999999</v>
      </c>
      <c r="N45" s="63">
        <v>101.88015900000001</v>
      </c>
      <c r="O45" s="54">
        <v>11829610.869999999</v>
      </c>
      <c r="P45" s="55">
        <v>0</v>
      </c>
      <c r="Q45" s="35"/>
      <c r="R45" s="51">
        <v>0.43253796408943357</v>
      </c>
    </row>
    <row r="46" spans="1:18" x14ac:dyDescent="0.25">
      <c r="A46" s="24"/>
      <c r="B46" s="24"/>
      <c r="C46" s="24" t="s">
        <v>49</v>
      </c>
      <c r="D46" s="24" t="s">
        <v>50</v>
      </c>
      <c r="E46" s="24"/>
      <c r="F46" s="25"/>
      <c r="G46" s="25"/>
      <c r="H46" s="25"/>
      <c r="I46" s="25"/>
      <c r="J46" s="24"/>
      <c r="K46" s="39">
        <v>22699393.539999999</v>
      </c>
      <c r="L46" s="24"/>
      <c r="M46" s="39">
        <v>22786523.149999999</v>
      </c>
      <c r="N46" s="24"/>
      <c r="O46" s="39">
        <v>22778699.969999999</v>
      </c>
      <c r="P46" s="75">
        <v>-7823.18</v>
      </c>
      <c r="Q46" s="76">
        <v>-2.9999999999999997E-4</v>
      </c>
      <c r="R46" s="53">
        <v>0.83288099999999998</v>
      </c>
    </row>
    <row r="48" spans="1:18" x14ac:dyDescent="0.25">
      <c r="A48" s="21"/>
      <c r="B48" s="21" t="s">
        <v>85</v>
      </c>
      <c r="C48" s="21" t="s">
        <v>51</v>
      </c>
      <c r="D48" s="21" t="s">
        <v>50</v>
      </c>
      <c r="E48" s="21"/>
      <c r="F48" s="22"/>
      <c r="G48" s="22"/>
      <c r="H48" s="22"/>
      <c r="I48" s="22"/>
      <c r="J48" s="21"/>
      <c r="K48" s="21"/>
      <c r="L48" s="21"/>
      <c r="M48" s="21"/>
      <c r="N48" s="21"/>
      <c r="O48" s="40">
        <v>-4.47</v>
      </c>
      <c r="P48" s="23"/>
      <c r="Q48" s="23"/>
      <c r="R48" s="22"/>
    </row>
    <row r="49" spans="1:18" x14ac:dyDescent="0.25">
      <c r="A49" s="21"/>
      <c r="B49" s="21" t="s">
        <v>86</v>
      </c>
      <c r="C49" s="21" t="s">
        <v>51</v>
      </c>
      <c r="D49" s="21" t="s">
        <v>50</v>
      </c>
      <c r="E49" s="21"/>
      <c r="F49" s="22"/>
      <c r="G49" s="22"/>
      <c r="H49" s="22"/>
      <c r="I49" s="22"/>
      <c r="J49" s="21"/>
      <c r="K49" s="21"/>
      <c r="L49" s="21"/>
      <c r="M49" s="21"/>
      <c r="N49" s="21"/>
      <c r="O49" s="40">
        <v>38.71</v>
      </c>
      <c r="P49" s="23"/>
      <c r="Q49" s="23"/>
      <c r="R49" s="22"/>
    </row>
    <row r="50" spans="1:18" x14ac:dyDescent="0.25">
      <c r="A50" s="21"/>
      <c r="B50" s="21" t="s">
        <v>121</v>
      </c>
      <c r="C50" s="21" t="s">
        <v>51</v>
      </c>
      <c r="D50" s="21" t="s">
        <v>50</v>
      </c>
      <c r="E50" s="21"/>
      <c r="F50" s="22"/>
      <c r="G50" s="22"/>
      <c r="H50" s="22"/>
      <c r="I50" s="22"/>
      <c r="J50" s="21"/>
      <c r="K50" s="21"/>
      <c r="L50" s="21"/>
      <c r="M50" s="21"/>
      <c r="N50" s="21"/>
      <c r="O50" s="40">
        <v>-11.75</v>
      </c>
      <c r="P50" s="23"/>
      <c r="Q50" s="23"/>
      <c r="R50" s="22"/>
    </row>
    <row r="52" spans="1:18" x14ac:dyDescent="0.25">
      <c r="A52" s="24"/>
      <c r="B52" s="24"/>
      <c r="C52" s="24" t="s">
        <v>52</v>
      </c>
      <c r="D52" s="24" t="s">
        <v>50</v>
      </c>
      <c r="E52" s="24"/>
      <c r="F52" s="25"/>
      <c r="G52" s="25"/>
      <c r="H52" s="25"/>
      <c r="I52" s="25"/>
      <c r="J52" s="24"/>
      <c r="K52" s="24"/>
      <c r="L52" s="24"/>
      <c r="M52" s="24"/>
      <c r="N52" s="24"/>
      <c r="O52" s="39">
        <v>0</v>
      </c>
      <c r="P52" s="26"/>
      <c r="Q52" s="26"/>
      <c r="R52" s="25"/>
    </row>
    <row r="54" spans="1:18" x14ac:dyDescent="0.25">
      <c r="A54" s="27"/>
      <c r="B54" s="27"/>
      <c r="C54" s="27" t="s">
        <v>53</v>
      </c>
      <c r="D54" s="27"/>
      <c r="E54" s="27"/>
      <c r="F54" s="28"/>
      <c r="G54" s="28"/>
      <c r="H54" s="28"/>
      <c r="I54" s="28"/>
      <c r="J54" s="27"/>
      <c r="K54" s="27"/>
      <c r="L54" s="27"/>
      <c r="M54" s="27"/>
      <c r="N54" s="27"/>
      <c r="O54" s="41">
        <v>27349300.760000002</v>
      </c>
      <c r="P54" s="80"/>
      <c r="Q54" s="29"/>
      <c r="R54" s="28"/>
    </row>
    <row r="56" spans="1:18" x14ac:dyDescent="0.25">
      <c r="A56" s="21"/>
      <c r="B56" s="21"/>
      <c r="C56" s="21" t="s">
        <v>26</v>
      </c>
      <c r="D56" s="21"/>
      <c r="E56" s="21"/>
      <c r="F56" s="22"/>
      <c r="G56" s="22"/>
      <c r="H56" s="22"/>
      <c r="I56" s="22"/>
      <c r="J56" s="21"/>
      <c r="K56" s="21"/>
      <c r="L56" s="21"/>
      <c r="M56" s="21"/>
      <c r="N56" s="21"/>
      <c r="O56" s="40">
        <v>22.49</v>
      </c>
      <c r="P56" s="23"/>
      <c r="Q56" s="23"/>
      <c r="R56" s="22"/>
    </row>
    <row r="57" spans="1:18" x14ac:dyDescent="0.25">
      <c r="A57" s="21"/>
      <c r="B57" s="21"/>
      <c r="C57" s="21" t="s">
        <v>54</v>
      </c>
      <c r="D57" s="21"/>
      <c r="E57" s="21"/>
      <c r="F57" s="22"/>
      <c r="G57" s="22"/>
      <c r="H57" s="22"/>
      <c r="I57" s="22"/>
      <c r="J57" s="21"/>
      <c r="K57" s="21"/>
      <c r="L57" s="21"/>
      <c r="M57" s="21"/>
      <c r="N57" s="21"/>
      <c r="O57" s="40">
        <v>18822585.579999998</v>
      </c>
      <c r="P57" s="23"/>
      <c r="Q57" s="23"/>
      <c r="R57" s="22"/>
    </row>
    <row r="58" spans="1:18" x14ac:dyDescent="0.25">
      <c r="A58" s="21"/>
      <c r="B58" s="21"/>
      <c r="C58" s="21" t="s">
        <v>55</v>
      </c>
      <c r="D58" s="21"/>
      <c r="E58" s="21"/>
      <c r="F58" s="22"/>
      <c r="G58" s="22"/>
      <c r="H58" s="22"/>
      <c r="I58" s="22"/>
      <c r="J58" s="21"/>
      <c r="K58" s="21"/>
      <c r="L58" s="21"/>
      <c r="M58" s="21"/>
      <c r="N58" s="21"/>
      <c r="O58" s="40">
        <v>0</v>
      </c>
      <c r="P58" s="23"/>
      <c r="Q58" s="23"/>
      <c r="R58" s="22"/>
    </row>
  </sheetData>
  <pageMargins left="0.25" right="0.25" top="0.75" bottom="0.75" header="0.29999999999861121" footer="0.29999999999861121"/>
  <pageSetup paperSize="9"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3393" r:id="rId4" name="Button 1">
              <controlPr defaultSize="0" print="0" autoFill="0" autoPict="0">
                <anchor moveWithCells="1" sizeWithCells="1">
                  <from>
                    <xdr:col>18</xdr:col>
                    <xdr:colOff>723900</xdr:colOff>
                    <xdr:row>0</xdr:row>
                    <xdr:rowOff>123825</xdr:rowOff>
                  </from>
                  <to>
                    <xdr:col>20</xdr:col>
                    <xdr:colOff>466725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5D964-EF06-4379-8B2C-9523971B729E}">
  <dimension ref="A1:U62"/>
  <sheetViews>
    <sheetView topLeftCell="B13" workbookViewId="0">
      <selection activeCell="A9" sqref="A9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2" width="11.7109375" customWidth="1"/>
    <col min="13" max="13" width="12.140625" bestFit="1" customWidth="1"/>
    <col min="14" max="14" width="10.7109375" customWidth="1"/>
    <col min="15" max="15" width="12.140625" bestFit="1" customWidth="1"/>
    <col min="16" max="16" width="9.7109375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4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4"/>
      <c r="C4" s="15" t="s">
        <v>143</v>
      </c>
      <c r="F4" s="14"/>
      <c r="G4" s="15"/>
      <c r="I4" s="14" t="s">
        <v>14</v>
      </c>
      <c r="J4" s="15" t="s">
        <v>15</v>
      </c>
      <c r="K4" s="14" t="s">
        <v>23</v>
      </c>
      <c r="L4" s="16">
        <v>45930</v>
      </c>
      <c r="N4" s="14" t="s">
        <v>24</v>
      </c>
      <c r="O4" s="16">
        <v>45930</v>
      </c>
      <c r="R4" s="65"/>
    </row>
    <row r="5" spans="1:19" x14ac:dyDescent="0.25">
      <c r="A5" s="67" t="s">
        <v>25</v>
      </c>
      <c r="B5" s="14"/>
      <c r="C5" s="15" t="s">
        <v>138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R6" s="65"/>
    </row>
    <row r="7" spans="1:19" x14ac:dyDescent="0.25">
      <c r="A7" s="17" t="s">
        <v>31</v>
      </c>
      <c r="B7" s="18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  <c r="S7" s="18" t="s">
        <v>130</v>
      </c>
    </row>
    <row r="8" spans="1:19" x14ac:dyDescent="0.25">
      <c r="A8" s="17"/>
      <c r="B8" s="18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  <c r="S8" s="73"/>
    </row>
    <row r="9" spans="1:19" x14ac:dyDescent="0.25">
      <c r="A9" s="66" t="s">
        <v>82</v>
      </c>
      <c r="B9" s="44" t="s">
        <v>85</v>
      </c>
      <c r="C9" s="44" t="s">
        <v>133</v>
      </c>
      <c r="D9" s="44" t="s">
        <v>89</v>
      </c>
      <c r="E9" s="44">
        <v>17</v>
      </c>
      <c r="F9" s="20">
        <v>0</v>
      </c>
      <c r="G9" s="20">
        <v>0</v>
      </c>
      <c r="H9" s="20">
        <v>0</v>
      </c>
      <c r="I9" s="34">
        <v>8333</v>
      </c>
      <c r="J9" s="88">
        <v>11.396630999999999</v>
      </c>
      <c r="K9" s="52">
        <v>94968.13</v>
      </c>
      <c r="L9" s="88">
        <v>11.408529</v>
      </c>
      <c r="M9" s="52">
        <v>95067.27</v>
      </c>
      <c r="N9" s="89">
        <v>9.94</v>
      </c>
      <c r="O9" s="102">
        <v>82743.55</v>
      </c>
      <c r="P9" s="109">
        <f>+O9-M9</f>
        <v>-12323.720000000001</v>
      </c>
      <c r="Q9" s="49">
        <v>-0.12959999999999999</v>
      </c>
      <c r="R9" s="68">
        <v>2.7745189039319615E-3</v>
      </c>
      <c r="S9" s="20" t="s">
        <v>161</v>
      </c>
    </row>
    <row r="10" spans="1:19" x14ac:dyDescent="0.25">
      <c r="A10" s="66" t="s">
        <v>82</v>
      </c>
      <c r="B10" s="44" t="s">
        <v>121</v>
      </c>
      <c r="C10" s="44" t="s">
        <v>133</v>
      </c>
      <c r="D10" s="44" t="s">
        <v>89</v>
      </c>
      <c r="E10" s="44">
        <v>17</v>
      </c>
      <c r="F10" s="20">
        <v>0</v>
      </c>
      <c r="G10" s="20">
        <v>0</v>
      </c>
      <c r="H10" s="20">
        <v>0</v>
      </c>
      <c r="I10" s="34">
        <v>2000</v>
      </c>
      <c r="J10" s="88">
        <v>11.396630999999999</v>
      </c>
      <c r="K10" s="52">
        <v>22793.26</v>
      </c>
      <c r="L10" s="88">
        <v>11.408529</v>
      </c>
      <c r="M10" s="52">
        <v>22817.06</v>
      </c>
      <c r="N10" s="89">
        <v>9.94</v>
      </c>
      <c r="O10" s="102">
        <v>19859.25</v>
      </c>
      <c r="P10" s="109">
        <f>+O10-M10</f>
        <v>-2957.8100000000013</v>
      </c>
      <c r="Q10" s="49">
        <v>-0.12959999999999999</v>
      </c>
      <c r="R10" s="68">
        <v>6.6591129511497644E-4</v>
      </c>
      <c r="S10" s="20" t="s">
        <v>161</v>
      </c>
    </row>
    <row r="11" spans="1:19" x14ac:dyDescent="0.25">
      <c r="A11" s="66" t="s">
        <v>82</v>
      </c>
      <c r="B11" s="44" t="s">
        <v>121</v>
      </c>
      <c r="C11" s="44" t="s">
        <v>95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34">
        <v>79337</v>
      </c>
      <c r="J11" s="88">
        <v>3.4064589999999999</v>
      </c>
      <c r="K11" s="52">
        <v>270258.24</v>
      </c>
      <c r="L11" s="88">
        <v>3.410015</v>
      </c>
      <c r="M11" s="52">
        <v>270540.36</v>
      </c>
      <c r="N11" s="89">
        <v>3.23</v>
      </c>
      <c r="O11" s="102">
        <v>255990.98</v>
      </c>
      <c r="P11" s="109">
        <f>+O11-M11</f>
        <v>-14549.379999999976</v>
      </c>
      <c r="Q11" s="49">
        <v>-5.3800000000000001E-2</v>
      </c>
      <c r="R11" s="68">
        <v>8.5837725508038833E-3</v>
      </c>
      <c r="S11" s="20" t="s">
        <v>161</v>
      </c>
    </row>
    <row r="12" spans="1:19" x14ac:dyDescent="0.25">
      <c r="A12" s="66" t="s">
        <v>82</v>
      </c>
      <c r="B12" s="44" t="s">
        <v>85</v>
      </c>
      <c r="C12" s="44" t="s">
        <v>95</v>
      </c>
      <c r="D12" s="44" t="s">
        <v>94</v>
      </c>
      <c r="E12" s="44">
        <v>0</v>
      </c>
      <c r="F12" s="20">
        <v>0</v>
      </c>
      <c r="G12" s="20">
        <v>0</v>
      </c>
      <c r="H12" s="20">
        <v>0</v>
      </c>
      <c r="I12" s="34">
        <v>19273</v>
      </c>
      <c r="J12" s="88">
        <v>3.4064589999999999</v>
      </c>
      <c r="K12" s="52">
        <v>65652.679999999993</v>
      </c>
      <c r="L12" s="88">
        <v>3.410015</v>
      </c>
      <c r="M12" s="52">
        <v>65721.22</v>
      </c>
      <c r="N12" s="89">
        <v>3.23</v>
      </c>
      <c r="O12" s="102">
        <v>62186.8</v>
      </c>
      <c r="P12" s="109">
        <f t="shared" ref="P12:P44" si="0">+O12-M12</f>
        <v>-3534.4199999999983</v>
      </c>
      <c r="Q12" s="49">
        <v>-5.3800000000000001E-2</v>
      </c>
      <c r="R12" s="68">
        <v>2.0852193575817825E-3</v>
      </c>
      <c r="S12" s="20" t="s">
        <v>161</v>
      </c>
    </row>
    <row r="13" spans="1:19" x14ac:dyDescent="0.25">
      <c r="A13" s="66" t="s">
        <v>82</v>
      </c>
      <c r="B13" s="44" t="s">
        <v>85</v>
      </c>
      <c r="C13" s="44" t="s">
        <v>98</v>
      </c>
      <c r="D13" s="44" t="s">
        <v>89</v>
      </c>
      <c r="E13" s="44">
        <v>0</v>
      </c>
      <c r="F13" s="20">
        <v>0</v>
      </c>
      <c r="G13" s="20">
        <v>0</v>
      </c>
      <c r="H13" s="20">
        <v>0</v>
      </c>
      <c r="I13" s="34">
        <v>8250</v>
      </c>
      <c r="J13" s="88">
        <v>35.516807</v>
      </c>
      <c r="K13" s="52">
        <v>293013.65999999997</v>
      </c>
      <c r="L13" s="88">
        <v>35.553887000000003</v>
      </c>
      <c r="M13" s="52">
        <v>293319.57</v>
      </c>
      <c r="N13" s="89">
        <v>38.270000000000003</v>
      </c>
      <c r="O13" s="102">
        <v>315397.88</v>
      </c>
      <c r="P13" s="110">
        <f t="shared" si="0"/>
        <v>22078.309999999998</v>
      </c>
      <c r="Q13" s="50">
        <v>7.5300000000000006E-2</v>
      </c>
      <c r="R13" s="68">
        <v>1.0575777572029051E-2</v>
      </c>
      <c r="S13" s="20" t="s">
        <v>161</v>
      </c>
    </row>
    <row r="14" spans="1:19" x14ac:dyDescent="0.25">
      <c r="A14" s="66" t="s">
        <v>82</v>
      </c>
      <c r="B14" s="44" t="s">
        <v>121</v>
      </c>
      <c r="C14" s="44" t="s">
        <v>98</v>
      </c>
      <c r="D14" s="44" t="s">
        <v>89</v>
      </c>
      <c r="E14" s="44">
        <v>0</v>
      </c>
      <c r="F14" s="20">
        <v>0</v>
      </c>
      <c r="G14" s="20">
        <v>0</v>
      </c>
      <c r="H14" s="20">
        <v>0</v>
      </c>
      <c r="I14" s="34">
        <v>8250</v>
      </c>
      <c r="J14" s="88">
        <v>35.516807</v>
      </c>
      <c r="K14" s="52">
        <v>293013.65999999997</v>
      </c>
      <c r="L14" s="88">
        <v>35.553887000000003</v>
      </c>
      <c r="M14" s="52">
        <v>293319.57</v>
      </c>
      <c r="N14" s="89">
        <v>38.270000000000003</v>
      </c>
      <c r="O14" s="102">
        <v>315397.88</v>
      </c>
      <c r="P14" s="110">
        <f t="shared" si="0"/>
        <v>22078.309999999998</v>
      </c>
      <c r="Q14" s="50">
        <v>7.5300000000000006E-2</v>
      </c>
      <c r="R14" s="68">
        <v>1.0575777572029051E-2</v>
      </c>
      <c r="S14" s="20" t="s">
        <v>161</v>
      </c>
    </row>
    <row r="15" spans="1:19" x14ac:dyDescent="0.25">
      <c r="A15" s="66" t="s">
        <v>82</v>
      </c>
      <c r="B15" s="44" t="s">
        <v>85</v>
      </c>
      <c r="C15" s="44" t="s">
        <v>134</v>
      </c>
      <c r="D15" s="44">
        <v>13</v>
      </c>
      <c r="E15" s="44">
        <v>0</v>
      </c>
      <c r="F15" s="20">
        <v>0</v>
      </c>
      <c r="G15" s="20">
        <v>0</v>
      </c>
      <c r="H15" s="20">
        <v>0</v>
      </c>
      <c r="I15" s="34">
        <v>4761</v>
      </c>
      <c r="J15" s="88">
        <v>20.855626999999998</v>
      </c>
      <c r="K15" s="52">
        <v>99293.64</v>
      </c>
      <c r="L15" s="88">
        <v>20.877400999999999</v>
      </c>
      <c r="M15" s="52">
        <v>99397.31</v>
      </c>
      <c r="N15" s="89">
        <v>28.2</v>
      </c>
      <c r="O15" s="102">
        <v>134120.04</v>
      </c>
      <c r="P15" s="110">
        <f t="shared" si="0"/>
        <v>34722.73000000001</v>
      </c>
      <c r="Q15" s="50">
        <v>0.3493</v>
      </c>
      <c r="R15" s="68">
        <v>4.4972518870185149E-3</v>
      </c>
      <c r="S15" s="20" t="s">
        <v>161</v>
      </c>
    </row>
    <row r="16" spans="1:19" x14ac:dyDescent="0.25">
      <c r="A16" s="66" t="s">
        <v>82</v>
      </c>
      <c r="B16" s="44" t="s">
        <v>121</v>
      </c>
      <c r="C16" s="44" t="s">
        <v>134</v>
      </c>
      <c r="D16" s="44">
        <v>13</v>
      </c>
      <c r="E16" s="44">
        <v>0</v>
      </c>
      <c r="F16" s="20">
        <v>0</v>
      </c>
      <c r="G16" s="20">
        <v>0</v>
      </c>
      <c r="H16" s="20">
        <v>0</v>
      </c>
      <c r="I16" s="34">
        <v>2000</v>
      </c>
      <c r="J16" s="88">
        <v>20.855626999999998</v>
      </c>
      <c r="K16" s="52">
        <v>41711.25</v>
      </c>
      <c r="L16" s="88">
        <v>20.877400999999999</v>
      </c>
      <c r="M16" s="52">
        <v>41754.800000000003</v>
      </c>
      <c r="N16" s="89">
        <v>28.2</v>
      </c>
      <c r="O16" s="102">
        <v>56341.120000000003</v>
      </c>
      <c r="P16" s="110">
        <f t="shared" si="0"/>
        <v>14586.32</v>
      </c>
      <c r="Q16" s="50">
        <v>0.3493</v>
      </c>
      <c r="R16" s="68">
        <v>1.8892046873587019E-3</v>
      </c>
      <c r="S16" s="20" t="s">
        <v>161</v>
      </c>
    </row>
    <row r="17" spans="1:19" x14ac:dyDescent="0.25">
      <c r="A17" s="66" t="s">
        <v>82</v>
      </c>
      <c r="B17" s="44" t="s">
        <v>85</v>
      </c>
      <c r="C17" s="44" t="s">
        <v>135</v>
      </c>
      <c r="D17" s="44">
        <v>18</v>
      </c>
      <c r="E17" s="44">
        <v>0</v>
      </c>
      <c r="F17" s="20">
        <v>0</v>
      </c>
      <c r="G17" s="20">
        <v>0</v>
      </c>
      <c r="H17" s="20">
        <v>0</v>
      </c>
      <c r="I17" s="34">
        <v>20847</v>
      </c>
      <c r="J17" s="88">
        <v>26.527425999999998</v>
      </c>
      <c r="K17" s="52">
        <v>553017.25</v>
      </c>
      <c r="L17" s="88">
        <v>26.555122000000001</v>
      </c>
      <c r="M17" s="52">
        <v>553594.63</v>
      </c>
      <c r="N17" s="89">
        <v>22.37</v>
      </c>
      <c r="O17" s="102">
        <v>465860.53</v>
      </c>
      <c r="P17" s="109">
        <f t="shared" si="0"/>
        <v>-87734.099999999977</v>
      </c>
      <c r="Q17" s="49">
        <v>-0.1585</v>
      </c>
      <c r="R17" s="68">
        <v>1.5621022388823813E-2</v>
      </c>
      <c r="S17" s="20" t="s">
        <v>161</v>
      </c>
    </row>
    <row r="18" spans="1:19" x14ac:dyDescent="0.25">
      <c r="A18" s="66" t="s">
        <v>82</v>
      </c>
      <c r="B18" s="44" t="s">
        <v>121</v>
      </c>
      <c r="C18" s="44" t="s">
        <v>135</v>
      </c>
      <c r="D18" s="44">
        <v>18</v>
      </c>
      <c r="E18" s="44">
        <v>0</v>
      </c>
      <c r="F18" s="20">
        <v>0</v>
      </c>
      <c r="G18" s="20">
        <v>0</v>
      </c>
      <c r="H18" s="20">
        <v>0</v>
      </c>
      <c r="I18" s="34">
        <v>20839</v>
      </c>
      <c r="J18" s="88">
        <v>26.527425999999998</v>
      </c>
      <c r="K18" s="52">
        <v>552805.03</v>
      </c>
      <c r="L18" s="88">
        <v>26.555122000000001</v>
      </c>
      <c r="M18" s="52">
        <v>553382.18999999994</v>
      </c>
      <c r="N18" s="89">
        <v>22.37</v>
      </c>
      <c r="O18" s="102">
        <v>465681.75</v>
      </c>
      <c r="P18" s="109">
        <f t="shared" si="0"/>
        <v>-87700.439999999944</v>
      </c>
      <c r="Q18" s="49">
        <v>-0.1585</v>
      </c>
      <c r="R18" s="68">
        <v>1.5615027619568143E-2</v>
      </c>
      <c r="S18" s="20" t="s">
        <v>161</v>
      </c>
    </row>
    <row r="19" spans="1:19" x14ac:dyDescent="0.25">
      <c r="A19" s="66" t="s">
        <v>82</v>
      </c>
      <c r="B19" s="44" t="s">
        <v>121</v>
      </c>
      <c r="C19" s="44" t="s">
        <v>101</v>
      </c>
      <c r="D19" s="44" t="s">
        <v>102</v>
      </c>
      <c r="E19" s="44">
        <v>16</v>
      </c>
      <c r="F19" s="20">
        <v>0</v>
      </c>
      <c r="G19" s="20">
        <v>0</v>
      </c>
      <c r="H19" s="20">
        <v>0</v>
      </c>
      <c r="I19" s="34">
        <v>2375</v>
      </c>
      <c r="J19" s="88">
        <v>191.134174</v>
      </c>
      <c r="K19" s="52">
        <v>453943.66</v>
      </c>
      <c r="L19" s="88">
        <v>191.333718</v>
      </c>
      <c r="M19" s="52">
        <v>454417.58</v>
      </c>
      <c r="N19" s="89">
        <v>180.59</v>
      </c>
      <c r="O19" s="102">
        <v>428453.47</v>
      </c>
      <c r="P19" s="109">
        <f t="shared" si="0"/>
        <v>-25964.110000000044</v>
      </c>
      <c r="Q19" s="49">
        <v>-5.7099999999999998E-2</v>
      </c>
      <c r="R19" s="68">
        <v>1.4366705948321597E-2</v>
      </c>
      <c r="S19" s="20" t="s">
        <v>161</v>
      </c>
    </row>
    <row r="20" spans="1:19" x14ac:dyDescent="0.25">
      <c r="A20" s="66" t="s">
        <v>82</v>
      </c>
      <c r="B20" s="44" t="s">
        <v>85</v>
      </c>
      <c r="C20" s="44" t="s">
        <v>101</v>
      </c>
      <c r="D20" s="44" t="s">
        <v>102</v>
      </c>
      <c r="E20" s="44">
        <v>16</v>
      </c>
      <c r="F20" s="20">
        <v>0</v>
      </c>
      <c r="G20" s="20">
        <v>0</v>
      </c>
      <c r="H20" s="20">
        <v>0</v>
      </c>
      <c r="I20" s="34">
        <v>2475</v>
      </c>
      <c r="J20" s="88">
        <v>191.134174</v>
      </c>
      <c r="K20" s="52">
        <v>473057.08</v>
      </c>
      <c r="L20" s="88">
        <v>191.333718</v>
      </c>
      <c r="M20" s="52">
        <v>473550.95</v>
      </c>
      <c r="N20" s="89">
        <v>180.59</v>
      </c>
      <c r="O20" s="102">
        <v>446493.62</v>
      </c>
      <c r="P20" s="109">
        <f t="shared" si="0"/>
        <v>-27057.330000000016</v>
      </c>
      <c r="Q20" s="49">
        <v>-5.7099999999999998E-2</v>
      </c>
      <c r="R20" s="68">
        <v>1.4971620013584305E-2</v>
      </c>
      <c r="S20" s="20" t="s">
        <v>161</v>
      </c>
    </row>
    <row r="21" spans="1:19" x14ac:dyDescent="0.25">
      <c r="A21" s="66" t="s">
        <v>82</v>
      </c>
      <c r="B21" s="44" t="s">
        <v>85</v>
      </c>
      <c r="C21" s="44" t="s">
        <v>146</v>
      </c>
      <c r="D21" s="44">
        <v>12</v>
      </c>
      <c r="E21" s="44">
        <v>0</v>
      </c>
      <c r="F21" s="20">
        <v>0</v>
      </c>
      <c r="G21" s="20">
        <v>0</v>
      </c>
      <c r="H21" s="20">
        <v>0</v>
      </c>
      <c r="I21" s="34">
        <v>25100</v>
      </c>
      <c r="J21" s="88">
        <v>9.6749559999999999</v>
      </c>
      <c r="K21" s="52">
        <v>242841.4</v>
      </c>
      <c r="L21" s="88">
        <v>9.6850570000000005</v>
      </c>
      <c r="M21" s="52">
        <v>243094.93</v>
      </c>
      <c r="N21" s="89">
        <v>8.39</v>
      </c>
      <c r="O21" s="102">
        <v>210369.14</v>
      </c>
      <c r="P21" s="109">
        <f t="shared" si="0"/>
        <v>-32725.789999999979</v>
      </c>
      <c r="Q21" s="49">
        <v>-0.1346</v>
      </c>
      <c r="R21" s="68">
        <v>7.0540018615820738E-3</v>
      </c>
      <c r="S21" s="20" t="s">
        <v>161</v>
      </c>
    </row>
    <row r="22" spans="1:19" x14ac:dyDescent="0.25">
      <c r="A22" s="66" t="s">
        <v>82</v>
      </c>
      <c r="B22" s="44" t="s">
        <v>121</v>
      </c>
      <c r="C22" s="44" t="s">
        <v>146</v>
      </c>
      <c r="D22" s="44">
        <v>12</v>
      </c>
      <c r="E22" s="44">
        <v>0</v>
      </c>
      <c r="F22" s="20">
        <v>0</v>
      </c>
      <c r="G22" s="20">
        <v>0</v>
      </c>
      <c r="H22" s="20">
        <v>0</v>
      </c>
      <c r="I22" s="34">
        <v>20700</v>
      </c>
      <c r="J22" s="88">
        <v>9.6749559999999999</v>
      </c>
      <c r="K22" s="52">
        <v>200271.59</v>
      </c>
      <c r="L22" s="88">
        <v>9.6850570000000005</v>
      </c>
      <c r="M22" s="52">
        <v>200480.68</v>
      </c>
      <c r="N22" s="89">
        <v>8.39</v>
      </c>
      <c r="O22" s="102">
        <v>173491.68</v>
      </c>
      <c r="P22" s="109">
        <f t="shared" si="0"/>
        <v>-26989</v>
      </c>
      <c r="Q22" s="49">
        <v>-0.1346</v>
      </c>
      <c r="R22" s="68">
        <v>5.8174437262471165E-3</v>
      </c>
      <c r="S22" s="20" t="s">
        <v>161</v>
      </c>
    </row>
    <row r="23" spans="1:19" x14ac:dyDescent="0.25">
      <c r="A23" s="66" t="s">
        <v>82</v>
      </c>
      <c r="B23" s="44" t="s">
        <v>121</v>
      </c>
      <c r="C23" s="44" t="s">
        <v>141</v>
      </c>
      <c r="D23" s="44">
        <v>11</v>
      </c>
      <c r="E23" s="44">
        <v>0</v>
      </c>
      <c r="F23" s="20">
        <v>0</v>
      </c>
      <c r="G23" s="20">
        <v>0</v>
      </c>
      <c r="H23" s="20">
        <v>0</v>
      </c>
      <c r="I23" s="34">
        <v>19338</v>
      </c>
      <c r="J23" s="88">
        <v>26.248591000000001</v>
      </c>
      <c r="K23" s="52">
        <v>507595.25</v>
      </c>
      <c r="L23" s="88">
        <v>26.275995000000002</v>
      </c>
      <c r="M23" s="52">
        <v>508125.19</v>
      </c>
      <c r="N23" s="89">
        <v>26.99</v>
      </c>
      <c r="O23" s="102">
        <v>521387.72</v>
      </c>
      <c r="P23" s="110">
        <f t="shared" si="0"/>
        <v>13262.52999999997</v>
      </c>
      <c r="Q23" s="50">
        <v>2.6100000000000002E-2</v>
      </c>
      <c r="R23" s="68">
        <v>1.7482934747397039E-2</v>
      </c>
      <c r="S23" s="20" t="s">
        <v>161</v>
      </c>
    </row>
    <row r="24" spans="1:19" x14ac:dyDescent="0.25">
      <c r="A24" s="66" t="s">
        <v>82</v>
      </c>
      <c r="B24" s="44" t="s">
        <v>85</v>
      </c>
      <c r="C24" s="44" t="s">
        <v>141</v>
      </c>
      <c r="D24" s="44">
        <v>11</v>
      </c>
      <c r="E24" s="44">
        <v>0</v>
      </c>
      <c r="F24" s="20">
        <v>0</v>
      </c>
      <c r="G24" s="20">
        <v>0</v>
      </c>
      <c r="H24" s="20">
        <v>0</v>
      </c>
      <c r="I24" s="34">
        <v>13298</v>
      </c>
      <c r="J24" s="88">
        <v>26.248591000000001</v>
      </c>
      <c r="K24" s="52">
        <v>349053.76</v>
      </c>
      <c r="L24" s="88">
        <v>26.275995000000002</v>
      </c>
      <c r="M24" s="52">
        <v>349418.18</v>
      </c>
      <c r="N24" s="89">
        <v>26.99</v>
      </c>
      <c r="O24" s="102">
        <v>358538.31</v>
      </c>
      <c r="P24" s="110">
        <f t="shared" si="0"/>
        <v>9120.1300000000047</v>
      </c>
      <c r="Q24" s="50">
        <v>2.6100000000000002E-2</v>
      </c>
      <c r="R24" s="68">
        <v>1.2022342755161191E-2</v>
      </c>
      <c r="S24" s="20" t="s">
        <v>161</v>
      </c>
    </row>
    <row r="25" spans="1:19" x14ac:dyDescent="0.25">
      <c r="A25" s="66" t="s">
        <v>82</v>
      </c>
      <c r="B25" s="44" t="s">
        <v>121</v>
      </c>
      <c r="C25" s="44" t="s">
        <v>103</v>
      </c>
      <c r="D25" s="44" t="s">
        <v>104</v>
      </c>
      <c r="E25" s="44">
        <v>2</v>
      </c>
      <c r="F25" s="20">
        <v>0</v>
      </c>
      <c r="G25" s="20">
        <v>0</v>
      </c>
      <c r="H25" s="20">
        <v>0</v>
      </c>
      <c r="I25" s="34">
        <v>520</v>
      </c>
      <c r="J25" s="88">
        <v>165.54432299999999</v>
      </c>
      <c r="K25" s="52">
        <v>86083.05</v>
      </c>
      <c r="L25" s="88">
        <v>165.717151</v>
      </c>
      <c r="M25" s="52">
        <v>86172.92</v>
      </c>
      <c r="N25" s="89">
        <v>184.48</v>
      </c>
      <c r="O25" s="102">
        <v>95829.45</v>
      </c>
      <c r="P25" s="110">
        <f t="shared" si="0"/>
        <v>9656.5299999999988</v>
      </c>
      <c r="Q25" s="50">
        <v>0.11210000000000001</v>
      </c>
      <c r="R25" s="68">
        <v>3.2133093223387526E-3</v>
      </c>
      <c r="S25" s="20" t="s">
        <v>161</v>
      </c>
    </row>
    <row r="26" spans="1:19" x14ac:dyDescent="0.25">
      <c r="A26" s="66" t="s">
        <v>82</v>
      </c>
      <c r="B26" s="44" t="s">
        <v>85</v>
      </c>
      <c r="C26" s="44" t="s">
        <v>103</v>
      </c>
      <c r="D26" s="44" t="s">
        <v>104</v>
      </c>
      <c r="E26" s="44">
        <v>2</v>
      </c>
      <c r="F26" s="20">
        <v>0</v>
      </c>
      <c r="G26" s="20">
        <v>0</v>
      </c>
      <c r="H26" s="20">
        <v>0</v>
      </c>
      <c r="I26" s="34">
        <v>620</v>
      </c>
      <c r="J26" s="88">
        <v>165.54432299999999</v>
      </c>
      <c r="K26" s="52">
        <v>102637.48</v>
      </c>
      <c r="L26" s="88">
        <v>165.717151</v>
      </c>
      <c r="M26" s="52">
        <v>102744.63</v>
      </c>
      <c r="N26" s="89">
        <v>184.48</v>
      </c>
      <c r="O26" s="102">
        <v>114258.19</v>
      </c>
      <c r="P26" s="110">
        <f t="shared" si="0"/>
        <v>11513.559999999998</v>
      </c>
      <c r="Q26" s="50">
        <v>0.11210000000000001</v>
      </c>
      <c r="R26" s="68">
        <v>3.8312534098917657E-3</v>
      </c>
      <c r="S26" s="20" t="s">
        <v>161</v>
      </c>
    </row>
    <row r="27" spans="1:19" x14ac:dyDescent="0.25">
      <c r="A27" s="66" t="s">
        <v>139</v>
      </c>
      <c r="B27" s="44" t="s">
        <v>85</v>
      </c>
      <c r="C27" s="44" t="s">
        <v>151</v>
      </c>
      <c r="D27" s="44" t="s">
        <v>94</v>
      </c>
      <c r="E27" s="44">
        <v>0</v>
      </c>
      <c r="F27" s="20">
        <v>0</v>
      </c>
      <c r="G27" s="20">
        <v>0</v>
      </c>
      <c r="H27" s="20">
        <v>0</v>
      </c>
      <c r="I27" s="20">
        <v>228</v>
      </c>
      <c r="J27" s="88">
        <v>1524.504651</v>
      </c>
      <c r="K27" s="52">
        <v>347587.06</v>
      </c>
      <c r="L27" s="88">
        <v>1526.0962340000001</v>
      </c>
      <c r="M27" s="52">
        <v>347949.94</v>
      </c>
      <c r="N27" s="89">
        <v>1488.5536979999999</v>
      </c>
      <c r="O27" s="102">
        <v>339035.92</v>
      </c>
      <c r="P27" s="109">
        <f t="shared" si="0"/>
        <v>-8914.0200000000186</v>
      </c>
      <c r="Q27" s="49">
        <v>-2.5600000000000001E-2</v>
      </c>
      <c r="R27" s="68">
        <v>1.1368397526477461E-2</v>
      </c>
      <c r="S27" s="20" t="s">
        <v>162</v>
      </c>
    </row>
    <row r="28" spans="1:19" x14ac:dyDescent="0.25">
      <c r="A28" s="66" t="s">
        <v>139</v>
      </c>
      <c r="B28" s="44" t="s">
        <v>121</v>
      </c>
      <c r="C28" s="44" t="s">
        <v>151</v>
      </c>
      <c r="D28" s="44" t="s">
        <v>94</v>
      </c>
      <c r="E28" s="44">
        <v>0</v>
      </c>
      <c r="F28" s="20">
        <v>0</v>
      </c>
      <c r="G28" s="20">
        <v>0</v>
      </c>
      <c r="H28" s="20">
        <v>0</v>
      </c>
      <c r="I28" s="20">
        <v>202</v>
      </c>
      <c r="J28" s="88">
        <v>1524.504651</v>
      </c>
      <c r="K28" s="52">
        <v>307949.94</v>
      </c>
      <c r="L28" s="88">
        <v>1526.0962340000001</v>
      </c>
      <c r="M28" s="52">
        <v>308271.44</v>
      </c>
      <c r="N28" s="89">
        <v>1488.5536979999999</v>
      </c>
      <c r="O28" s="102">
        <v>300373.92</v>
      </c>
      <c r="P28" s="109">
        <f t="shared" si="0"/>
        <v>-7897.5200000000186</v>
      </c>
      <c r="Q28" s="49">
        <v>-2.5600000000000001E-2</v>
      </c>
      <c r="R28" s="68">
        <v>1.0072001011415956E-2</v>
      </c>
      <c r="S28" s="20" t="s">
        <v>162</v>
      </c>
    </row>
    <row r="29" spans="1:19" x14ac:dyDescent="0.25">
      <c r="A29" s="66" t="s">
        <v>82</v>
      </c>
      <c r="B29" s="44" t="s">
        <v>121</v>
      </c>
      <c r="C29" s="44" t="s">
        <v>150</v>
      </c>
      <c r="D29" s="44" t="s">
        <v>94</v>
      </c>
      <c r="E29" s="44">
        <v>41</v>
      </c>
      <c r="F29" s="20">
        <v>0</v>
      </c>
      <c r="G29" s="20">
        <v>0</v>
      </c>
      <c r="H29" s="20">
        <v>0</v>
      </c>
      <c r="I29" s="34">
        <v>1000</v>
      </c>
      <c r="J29" s="88">
        <v>232.99238</v>
      </c>
      <c r="K29" s="52">
        <v>232992.38</v>
      </c>
      <c r="L29" s="88">
        <v>233.235624</v>
      </c>
      <c r="M29" s="52">
        <v>233235.62</v>
      </c>
      <c r="N29" s="89">
        <v>818.5</v>
      </c>
      <c r="O29" s="102">
        <v>817645.49</v>
      </c>
      <c r="P29" s="110">
        <f t="shared" si="0"/>
        <v>584409.87</v>
      </c>
      <c r="Q29" s="50">
        <v>2.5057</v>
      </c>
      <c r="R29" s="68">
        <v>2.7416914898136611E-2</v>
      </c>
      <c r="S29" s="20" t="s">
        <v>161</v>
      </c>
    </row>
    <row r="30" spans="1:19" x14ac:dyDescent="0.25">
      <c r="A30" s="66" t="s">
        <v>139</v>
      </c>
      <c r="B30" s="44" t="s">
        <v>85</v>
      </c>
      <c r="C30" s="44" t="s">
        <v>144</v>
      </c>
      <c r="D30" s="44" t="s">
        <v>94</v>
      </c>
      <c r="E30" s="44">
        <v>0</v>
      </c>
      <c r="F30" s="20">
        <v>0</v>
      </c>
      <c r="G30" s="20">
        <v>0</v>
      </c>
      <c r="H30" s="20">
        <v>0</v>
      </c>
      <c r="I30" s="34">
        <v>1250</v>
      </c>
      <c r="J30" s="88">
        <v>451.02480000000003</v>
      </c>
      <c r="K30" s="52">
        <v>563781</v>
      </c>
      <c r="L30" s="88">
        <v>451.49567000000002</v>
      </c>
      <c r="M30" s="52">
        <v>564369.59</v>
      </c>
      <c r="N30" s="89">
        <v>467.155416</v>
      </c>
      <c r="O30" s="102">
        <v>583334.63</v>
      </c>
      <c r="P30" s="110">
        <f t="shared" si="0"/>
        <v>18965.040000000037</v>
      </c>
      <c r="Q30" s="50">
        <v>3.3599999999999998E-2</v>
      </c>
      <c r="R30" s="68">
        <v>1.9560110223131064E-2</v>
      </c>
      <c r="S30" s="20" t="s">
        <v>162</v>
      </c>
    </row>
    <row r="31" spans="1:19" x14ac:dyDescent="0.25">
      <c r="A31" s="66" t="s">
        <v>139</v>
      </c>
      <c r="B31" s="44" t="s">
        <v>121</v>
      </c>
      <c r="C31" s="44" t="s">
        <v>144</v>
      </c>
      <c r="D31" s="44" t="s">
        <v>94</v>
      </c>
      <c r="E31" s="44">
        <v>0</v>
      </c>
      <c r="F31" s="20">
        <v>0</v>
      </c>
      <c r="G31" s="20">
        <v>0</v>
      </c>
      <c r="H31" s="20">
        <v>0</v>
      </c>
      <c r="I31" s="34">
        <v>1250</v>
      </c>
      <c r="J31" s="88">
        <v>451.02480000000003</v>
      </c>
      <c r="K31" s="52">
        <v>563781</v>
      </c>
      <c r="L31" s="88">
        <v>451.49567000000002</v>
      </c>
      <c r="M31" s="52">
        <v>564369.59</v>
      </c>
      <c r="N31" s="89">
        <v>467.155416</v>
      </c>
      <c r="O31" s="102">
        <v>583334.63</v>
      </c>
      <c r="P31" s="110">
        <f t="shared" si="0"/>
        <v>18965.040000000037</v>
      </c>
      <c r="Q31" s="50">
        <v>3.3599999999999998E-2</v>
      </c>
      <c r="R31" s="68">
        <v>1.9560110223131064E-2</v>
      </c>
      <c r="S31" s="20" t="s">
        <v>162</v>
      </c>
    </row>
    <row r="32" spans="1:19" x14ac:dyDescent="0.25">
      <c r="A32" s="66" t="s">
        <v>139</v>
      </c>
      <c r="B32" s="44" t="s">
        <v>85</v>
      </c>
      <c r="C32" s="44" t="s">
        <v>149</v>
      </c>
      <c r="D32" s="44" t="s">
        <v>94</v>
      </c>
      <c r="E32" s="44">
        <v>0</v>
      </c>
      <c r="F32" s="20">
        <v>0</v>
      </c>
      <c r="G32" s="20">
        <v>0</v>
      </c>
      <c r="H32" s="20">
        <v>0</v>
      </c>
      <c r="I32" s="34">
        <v>2650</v>
      </c>
      <c r="J32" s="88">
        <v>2147.2374970000001</v>
      </c>
      <c r="K32" s="52">
        <v>5690179.3899999997</v>
      </c>
      <c r="L32" s="88">
        <v>2149.4792130000001</v>
      </c>
      <c r="M32" s="52">
        <v>5696119.9100000001</v>
      </c>
      <c r="N32" s="89">
        <v>2025.745758</v>
      </c>
      <c r="O32" s="102">
        <v>5362621.83</v>
      </c>
      <c r="P32" s="109">
        <f t="shared" si="0"/>
        <v>-333498.08000000007</v>
      </c>
      <c r="Q32" s="49">
        <v>-5.8500000000000003E-2</v>
      </c>
      <c r="R32" s="68">
        <v>0.17981698442927829</v>
      </c>
      <c r="S32" s="20" t="s">
        <v>162</v>
      </c>
    </row>
    <row r="33" spans="1:21" x14ac:dyDescent="0.25">
      <c r="A33" s="66" t="s">
        <v>139</v>
      </c>
      <c r="B33" s="44" t="s">
        <v>121</v>
      </c>
      <c r="C33" s="44" t="s">
        <v>149</v>
      </c>
      <c r="D33" s="44" t="s">
        <v>94</v>
      </c>
      <c r="E33" s="44">
        <v>0</v>
      </c>
      <c r="F33" s="20">
        <v>0</v>
      </c>
      <c r="G33" s="20">
        <v>0</v>
      </c>
      <c r="H33" s="20">
        <v>0</v>
      </c>
      <c r="I33" s="34">
        <v>3265</v>
      </c>
      <c r="J33" s="88">
        <v>2147.2374970000001</v>
      </c>
      <c r="K33" s="52">
        <v>7010730.4500000002</v>
      </c>
      <c r="L33" s="88">
        <v>2149.4792130000001</v>
      </c>
      <c r="M33" s="52">
        <v>7018049.6399999997</v>
      </c>
      <c r="N33" s="89">
        <v>2025.745758</v>
      </c>
      <c r="O33" s="102">
        <v>6607154.8200000003</v>
      </c>
      <c r="P33" s="109">
        <f t="shared" si="0"/>
        <v>-410894.81999999937</v>
      </c>
      <c r="Q33" s="49">
        <v>-5.8500000000000003E-2</v>
      </c>
      <c r="R33" s="68">
        <v>0.22154809588536117</v>
      </c>
      <c r="S33" s="20" t="s">
        <v>162</v>
      </c>
    </row>
    <row r="34" spans="1:21" x14ac:dyDescent="0.25">
      <c r="A34" s="66" t="s">
        <v>139</v>
      </c>
      <c r="B34" s="44" t="s">
        <v>85</v>
      </c>
      <c r="C34" s="44" t="s">
        <v>131</v>
      </c>
      <c r="D34" s="44" t="s">
        <v>94</v>
      </c>
      <c r="E34" s="44">
        <v>0</v>
      </c>
      <c r="F34" s="20">
        <v>0</v>
      </c>
      <c r="G34" s="20">
        <v>0</v>
      </c>
      <c r="H34" s="20">
        <v>0</v>
      </c>
      <c r="I34" s="34">
        <v>3297</v>
      </c>
      <c r="J34" s="88">
        <v>1385.182047</v>
      </c>
      <c r="K34" s="52">
        <v>4566945.22</v>
      </c>
      <c r="L34" s="88">
        <v>1386.6281779999999</v>
      </c>
      <c r="M34" s="52">
        <v>4571713.0999999996</v>
      </c>
      <c r="N34" s="89">
        <v>1521.005232</v>
      </c>
      <c r="O34" s="102">
        <v>5009518.8499999996</v>
      </c>
      <c r="P34" s="110">
        <f t="shared" si="0"/>
        <v>437805.75</v>
      </c>
      <c r="Q34" s="50">
        <v>9.5799999999999996E-2</v>
      </c>
      <c r="R34" s="68">
        <v>0.16797689667567439</v>
      </c>
      <c r="S34" s="20" t="s">
        <v>162</v>
      </c>
    </row>
    <row r="35" spans="1:21" x14ac:dyDescent="0.25">
      <c r="A35" s="66" t="s">
        <v>139</v>
      </c>
      <c r="B35" s="44" t="s">
        <v>121</v>
      </c>
      <c r="C35" s="44" t="s">
        <v>131</v>
      </c>
      <c r="D35" s="44" t="s">
        <v>94</v>
      </c>
      <c r="E35" s="44">
        <v>0</v>
      </c>
      <c r="F35" s="20">
        <v>0</v>
      </c>
      <c r="G35" s="20">
        <v>0</v>
      </c>
      <c r="H35" s="20">
        <v>0</v>
      </c>
      <c r="I35" s="34">
        <v>527</v>
      </c>
      <c r="J35" s="88">
        <v>1385.182047</v>
      </c>
      <c r="K35" s="52">
        <v>729990.94</v>
      </c>
      <c r="L35" s="88">
        <v>1386.6281779999999</v>
      </c>
      <c r="M35" s="52">
        <v>730753.05</v>
      </c>
      <c r="N35" s="89">
        <v>1521.005232</v>
      </c>
      <c r="O35" s="102">
        <v>800732.92</v>
      </c>
      <c r="P35" s="110">
        <f t="shared" si="0"/>
        <v>69979.87</v>
      </c>
      <c r="Q35" s="50">
        <v>9.5799999999999996E-2</v>
      </c>
      <c r="R35" s="68">
        <v>2.6849810330118046E-2</v>
      </c>
      <c r="S35" s="20" t="s">
        <v>162</v>
      </c>
      <c r="T35" s="111">
        <f>+I34+I35</f>
        <v>3824</v>
      </c>
      <c r="U35">
        <f>+I34/T35</f>
        <v>0.86218619246861927</v>
      </c>
    </row>
    <row r="36" spans="1:21" x14ac:dyDescent="0.25">
      <c r="A36" s="66" t="s">
        <v>139</v>
      </c>
      <c r="B36" s="44" t="s">
        <v>85</v>
      </c>
      <c r="C36" s="44" t="s">
        <v>147</v>
      </c>
      <c r="D36" s="44" t="s">
        <v>94</v>
      </c>
      <c r="E36" s="44">
        <v>0</v>
      </c>
      <c r="F36" s="20">
        <v>0</v>
      </c>
      <c r="G36" s="20">
        <v>0</v>
      </c>
      <c r="H36" s="20">
        <v>0</v>
      </c>
      <c r="I36" s="20">
        <v>77</v>
      </c>
      <c r="J36" s="88">
        <v>2823</v>
      </c>
      <c r="K36" s="52">
        <v>217371</v>
      </c>
      <c r="L36" s="88">
        <v>2825.947212</v>
      </c>
      <c r="M36" s="52">
        <v>217597.94</v>
      </c>
      <c r="N36" s="89">
        <v>3440.7793139999999</v>
      </c>
      <c r="O36" s="102">
        <v>264663.40999999997</v>
      </c>
      <c r="P36" s="110">
        <f t="shared" si="0"/>
        <v>47065.469999999972</v>
      </c>
      <c r="Q36" s="50">
        <v>0.21629999999999999</v>
      </c>
      <c r="R36" s="68">
        <v>8.8745725101726392E-3</v>
      </c>
      <c r="S36" s="20" t="s">
        <v>162</v>
      </c>
    </row>
    <row r="37" spans="1:21" x14ac:dyDescent="0.25">
      <c r="A37" s="66" t="s">
        <v>139</v>
      </c>
      <c r="B37" s="44" t="s">
        <v>121</v>
      </c>
      <c r="C37" s="44" t="s">
        <v>147</v>
      </c>
      <c r="D37" s="44" t="s">
        <v>94</v>
      </c>
      <c r="E37" s="44">
        <v>0</v>
      </c>
      <c r="F37" s="20">
        <v>0</v>
      </c>
      <c r="G37" s="20">
        <v>0</v>
      </c>
      <c r="H37" s="20">
        <v>0</v>
      </c>
      <c r="I37" s="20">
        <v>63</v>
      </c>
      <c r="J37" s="88">
        <v>2823</v>
      </c>
      <c r="K37" s="52">
        <v>177849</v>
      </c>
      <c r="L37" s="88">
        <v>2825.947212</v>
      </c>
      <c r="M37" s="52">
        <v>178034.67</v>
      </c>
      <c r="N37" s="89">
        <v>3440.7793139999999</v>
      </c>
      <c r="O37" s="102">
        <v>216542.79</v>
      </c>
      <c r="P37" s="110">
        <f t="shared" si="0"/>
        <v>38508.119999999995</v>
      </c>
      <c r="Q37" s="50">
        <v>0.21629999999999999</v>
      </c>
      <c r="R37" s="68">
        <v>7.2610138719594328E-3</v>
      </c>
      <c r="S37" s="20" t="s">
        <v>162</v>
      </c>
    </row>
    <row r="38" spans="1:21" x14ac:dyDescent="0.25">
      <c r="A38" s="66" t="s">
        <v>139</v>
      </c>
      <c r="B38" s="44" t="s">
        <v>85</v>
      </c>
      <c r="C38" s="44" t="s">
        <v>152</v>
      </c>
      <c r="D38" s="44" t="s">
        <v>94</v>
      </c>
      <c r="E38" s="44">
        <v>0</v>
      </c>
      <c r="F38" s="20">
        <v>0</v>
      </c>
      <c r="G38" s="20">
        <v>0</v>
      </c>
      <c r="H38" s="20">
        <v>0</v>
      </c>
      <c r="I38" s="34">
        <v>742</v>
      </c>
      <c r="J38" s="88">
        <v>452.34992499999998</v>
      </c>
      <c r="K38" s="52">
        <v>335643.64</v>
      </c>
      <c r="L38" s="88">
        <v>452.82217900000001</v>
      </c>
      <c r="M38" s="52">
        <v>335994.06</v>
      </c>
      <c r="N38" s="89">
        <v>438.920748</v>
      </c>
      <c r="O38" s="102">
        <v>325339.18</v>
      </c>
      <c r="P38" s="109">
        <f t="shared" si="0"/>
        <v>-10654.880000000005</v>
      </c>
      <c r="Q38" s="49">
        <v>-3.1699999999999999E-2</v>
      </c>
      <c r="R38" s="68">
        <v>1.0909124700350941E-2</v>
      </c>
      <c r="S38" s="20" t="s">
        <v>162</v>
      </c>
    </row>
    <row r="39" spans="1:21" x14ac:dyDescent="0.25">
      <c r="A39" s="66" t="s">
        <v>139</v>
      </c>
      <c r="B39" s="44" t="s">
        <v>121</v>
      </c>
      <c r="C39" s="44" t="s">
        <v>152</v>
      </c>
      <c r="D39" s="44" t="s">
        <v>94</v>
      </c>
      <c r="E39" s="44">
        <v>0</v>
      </c>
      <c r="F39" s="20">
        <v>0</v>
      </c>
      <c r="G39" s="20">
        <v>0</v>
      </c>
      <c r="H39" s="20">
        <v>0</v>
      </c>
      <c r="I39" s="34">
        <v>602</v>
      </c>
      <c r="J39" s="88">
        <v>452.34992499999998</v>
      </c>
      <c r="K39" s="52">
        <v>272314.65000000002</v>
      </c>
      <c r="L39" s="88">
        <v>452.82217900000001</v>
      </c>
      <c r="M39" s="52">
        <v>272598.95</v>
      </c>
      <c r="N39" s="89">
        <v>438.920748</v>
      </c>
      <c r="O39" s="102">
        <v>263954.44</v>
      </c>
      <c r="P39" s="109">
        <f t="shared" si="0"/>
        <v>-8644.5100000000093</v>
      </c>
      <c r="Q39" s="49">
        <v>-3.1699999999999999E-2</v>
      </c>
      <c r="R39" s="68">
        <v>8.8507996521393472E-3</v>
      </c>
      <c r="S39" s="20" t="s">
        <v>162</v>
      </c>
    </row>
    <row r="40" spans="1:21" x14ac:dyDescent="0.25">
      <c r="A40" s="66" t="s">
        <v>139</v>
      </c>
      <c r="B40" s="44" t="s">
        <v>85</v>
      </c>
      <c r="C40" s="44" t="s">
        <v>145</v>
      </c>
      <c r="D40" s="44" t="s">
        <v>94</v>
      </c>
      <c r="E40" s="44">
        <v>0</v>
      </c>
      <c r="F40" s="20">
        <v>0</v>
      </c>
      <c r="G40" s="20">
        <v>0</v>
      </c>
      <c r="H40" s="20">
        <v>0</v>
      </c>
      <c r="I40" s="34">
        <v>550</v>
      </c>
      <c r="J40" s="88">
        <v>284.87090899999998</v>
      </c>
      <c r="K40" s="52">
        <v>156679</v>
      </c>
      <c r="L40" s="88">
        <v>285.16831400000001</v>
      </c>
      <c r="M40" s="52">
        <v>156842.57</v>
      </c>
      <c r="N40" s="89">
        <v>517.75780799999995</v>
      </c>
      <c r="O40" s="102">
        <v>284469.5</v>
      </c>
      <c r="P40" s="110">
        <f t="shared" si="0"/>
        <v>127626.93</v>
      </c>
      <c r="Q40" s="50">
        <v>0.81369999999999998</v>
      </c>
      <c r="R40" s="68">
        <v>9.5387012684622925E-3</v>
      </c>
      <c r="S40" s="20" t="s">
        <v>162</v>
      </c>
    </row>
    <row r="41" spans="1:21" x14ac:dyDescent="0.25">
      <c r="A41" s="66" t="s">
        <v>139</v>
      </c>
      <c r="B41" s="44" t="s">
        <v>121</v>
      </c>
      <c r="C41" s="44" t="s">
        <v>145</v>
      </c>
      <c r="D41" s="44" t="s">
        <v>94</v>
      </c>
      <c r="E41" s="44">
        <v>0</v>
      </c>
      <c r="F41" s="20">
        <v>0</v>
      </c>
      <c r="G41" s="20">
        <v>0</v>
      </c>
      <c r="H41" s="20">
        <v>0</v>
      </c>
      <c r="I41" s="34">
        <v>550</v>
      </c>
      <c r="J41" s="88">
        <v>284.87090899999998</v>
      </c>
      <c r="K41" s="52">
        <v>156679</v>
      </c>
      <c r="L41" s="88">
        <v>285.16831400000001</v>
      </c>
      <c r="M41" s="52">
        <v>156842.57</v>
      </c>
      <c r="N41" s="89">
        <v>517.75780799999995</v>
      </c>
      <c r="O41" s="102">
        <v>284469.5</v>
      </c>
      <c r="P41" s="110">
        <f t="shared" si="0"/>
        <v>127626.93</v>
      </c>
      <c r="Q41" s="50">
        <v>0.81369999999999998</v>
      </c>
      <c r="R41" s="68">
        <v>9.5387012684622925E-3</v>
      </c>
      <c r="S41" s="20" t="s">
        <v>162</v>
      </c>
    </row>
    <row r="42" spans="1:21" x14ac:dyDescent="0.25">
      <c r="A42" s="66" t="s">
        <v>139</v>
      </c>
      <c r="B42" s="44" t="s">
        <v>85</v>
      </c>
      <c r="C42" s="44" t="s">
        <v>155</v>
      </c>
      <c r="D42" s="44" t="s">
        <v>94</v>
      </c>
      <c r="E42" s="44">
        <v>0</v>
      </c>
      <c r="F42" s="20">
        <v>0</v>
      </c>
      <c r="G42" s="20">
        <v>0</v>
      </c>
      <c r="H42" s="20">
        <v>0</v>
      </c>
      <c r="I42" s="20">
        <v>35</v>
      </c>
      <c r="J42" s="88">
        <v>5688</v>
      </c>
      <c r="K42" s="52">
        <v>199080</v>
      </c>
      <c r="L42" s="88">
        <v>5693.9382720000003</v>
      </c>
      <c r="M42" s="52">
        <v>199287.84</v>
      </c>
      <c r="N42" s="89">
        <v>6330.7992599999998</v>
      </c>
      <c r="O42" s="102">
        <v>221346.65</v>
      </c>
      <c r="P42" s="110">
        <f t="shared" si="0"/>
        <v>22058.809999999998</v>
      </c>
      <c r="Q42" s="50">
        <v>0.11070000000000001</v>
      </c>
      <c r="R42" s="68">
        <v>7.4220947100651531E-3</v>
      </c>
      <c r="S42" s="20" t="s">
        <v>162</v>
      </c>
    </row>
    <row r="43" spans="1:21" x14ac:dyDescent="0.25">
      <c r="A43" s="66" t="s">
        <v>82</v>
      </c>
      <c r="B43" s="44" t="s">
        <v>121</v>
      </c>
      <c r="C43" s="44" t="s">
        <v>115</v>
      </c>
      <c r="D43" s="44" t="s">
        <v>94</v>
      </c>
      <c r="E43" s="44">
        <v>0</v>
      </c>
      <c r="F43" s="20">
        <v>0</v>
      </c>
      <c r="G43" s="20">
        <v>0</v>
      </c>
      <c r="H43" s="20">
        <v>0</v>
      </c>
      <c r="I43" s="34">
        <v>11000</v>
      </c>
      <c r="J43" s="88">
        <v>52.773944999999998</v>
      </c>
      <c r="K43" s="52">
        <v>580513.4</v>
      </c>
      <c r="L43" s="88">
        <v>52.829042000000001</v>
      </c>
      <c r="M43" s="52">
        <v>581119.46</v>
      </c>
      <c r="N43" s="89">
        <v>51.84</v>
      </c>
      <c r="O43" s="102">
        <v>569644.67000000004</v>
      </c>
      <c r="P43" s="109">
        <f t="shared" si="0"/>
        <v>-11474.789999999921</v>
      </c>
      <c r="Q43" s="49">
        <v>-1.9699999999999999E-2</v>
      </c>
      <c r="R43" s="68">
        <v>1.9101064740866012E-2</v>
      </c>
      <c r="S43" s="20" t="s">
        <v>161</v>
      </c>
    </row>
    <row r="44" spans="1:21" x14ac:dyDescent="0.25">
      <c r="A44" s="66" t="s">
        <v>82</v>
      </c>
      <c r="B44" s="44" t="s">
        <v>85</v>
      </c>
      <c r="C44" s="44" t="s">
        <v>115</v>
      </c>
      <c r="D44" s="44" t="s">
        <v>94</v>
      </c>
      <c r="E44" s="44">
        <v>0</v>
      </c>
      <c r="F44" s="20">
        <v>0</v>
      </c>
      <c r="G44" s="20">
        <v>0</v>
      </c>
      <c r="H44" s="20">
        <v>0</v>
      </c>
      <c r="I44" s="34">
        <v>7000</v>
      </c>
      <c r="J44" s="88">
        <v>52.773944999999998</v>
      </c>
      <c r="K44" s="52">
        <v>369417.62</v>
      </c>
      <c r="L44" s="88">
        <v>52.829042000000001</v>
      </c>
      <c r="M44" s="52">
        <v>369803.29</v>
      </c>
      <c r="N44" s="89">
        <v>51.84</v>
      </c>
      <c r="O44" s="102">
        <v>362501.16</v>
      </c>
      <c r="P44" s="109">
        <f t="shared" si="0"/>
        <v>-7302.1300000000047</v>
      </c>
      <c r="Q44" s="49">
        <v>-1.9699999999999999E-2</v>
      </c>
      <c r="R44" s="68">
        <v>1.2155223230297279E-2</v>
      </c>
      <c r="S44" s="20" t="s">
        <v>161</v>
      </c>
    </row>
    <row r="45" spans="1:21" x14ac:dyDescent="0.25">
      <c r="A45" s="98"/>
      <c r="B45" s="24"/>
      <c r="C45" s="24" t="s">
        <v>116</v>
      </c>
      <c r="D45" s="24" t="s">
        <v>50</v>
      </c>
      <c r="E45" s="24"/>
      <c r="F45" s="25"/>
      <c r="G45" s="25"/>
      <c r="H45" s="25"/>
      <c r="I45" s="25"/>
      <c r="J45" s="24"/>
      <c r="K45" s="39">
        <v>27181494.789999999</v>
      </c>
      <c r="L45" s="24"/>
      <c r="M45" s="39">
        <v>27209872.280000001</v>
      </c>
      <c r="N45" s="24"/>
      <c r="O45" s="39">
        <v>27719085.66</v>
      </c>
      <c r="P45" s="90">
        <v>509213.38</v>
      </c>
      <c r="Q45" s="91">
        <v>1.8700000000000001E-2</v>
      </c>
      <c r="R45" s="99">
        <v>0.92946371243896775</v>
      </c>
      <c r="S45" s="74"/>
    </row>
    <row r="46" spans="1:21" x14ac:dyDescent="0.25">
      <c r="A46" s="100"/>
      <c r="B46" s="21"/>
      <c r="C46" s="21"/>
      <c r="D46" s="21"/>
      <c r="E46" s="21"/>
      <c r="F46" s="22"/>
      <c r="G46" s="22"/>
      <c r="H46" s="22"/>
      <c r="I46" s="22"/>
      <c r="J46" s="21"/>
      <c r="K46" s="21"/>
      <c r="L46" s="21"/>
      <c r="M46" s="21"/>
      <c r="N46" s="21"/>
      <c r="O46" s="21"/>
      <c r="P46" s="23"/>
      <c r="Q46" s="23"/>
      <c r="R46" s="101"/>
      <c r="S46" s="72"/>
    </row>
    <row r="47" spans="1:21" x14ac:dyDescent="0.25">
      <c r="A47" s="66" t="s">
        <v>63</v>
      </c>
      <c r="B47" s="44" t="s">
        <v>85</v>
      </c>
      <c r="C47" s="44" t="s">
        <v>140</v>
      </c>
      <c r="D47" s="44">
        <v>280907</v>
      </c>
      <c r="E47" s="44" t="s">
        <v>21</v>
      </c>
      <c r="F47" s="20">
        <v>1</v>
      </c>
      <c r="G47" s="20">
        <v>6.95</v>
      </c>
      <c r="H47" s="20">
        <v>1</v>
      </c>
      <c r="I47" s="34">
        <v>11847</v>
      </c>
      <c r="J47" s="88">
        <v>100.178742</v>
      </c>
      <c r="K47" s="52">
        <v>1186817.57</v>
      </c>
      <c r="L47" s="88">
        <v>100.178743</v>
      </c>
      <c r="M47" s="52">
        <v>1186817.57</v>
      </c>
      <c r="N47" s="89">
        <v>100.178743</v>
      </c>
      <c r="O47" s="102">
        <v>1186817.57</v>
      </c>
      <c r="P47" s="56">
        <v>0</v>
      </c>
      <c r="Q47" s="35"/>
      <c r="R47" s="68">
        <v>3.9795824369193662E-2</v>
      </c>
      <c r="S47" s="20"/>
    </row>
    <row r="48" spans="1:21" x14ac:dyDescent="0.25">
      <c r="A48" s="66" t="s">
        <v>63</v>
      </c>
      <c r="B48" s="44" t="s">
        <v>86</v>
      </c>
      <c r="C48" s="44" t="s">
        <v>140</v>
      </c>
      <c r="D48" s="44">
        <v>280907</v>
      </c>
      <c r="E48" s="44" t="s">
        <v>21</v>
      </c>
      <c r="F48" s="20">
        <v>1</v>
      </c>
      <c r="G48" s="20">
        <v>6.95</v>
      </c>
      <c r="H48" s="20">
        <v>1</v>
      </c>
      <c r="I48" s="34">
        <v>609</v>
      </c>
      <c r="J48" s="88">
        <v>100.178742</v>
      </c>
      <c r="K48" s="52">
        <v>61008.85</v>
      </c>
      <c r="L48" s="88">
        <v>100.178743</v>
      </c>
      <c r="M48" s="52">
        <v>61008.85</v>
      </c>
      <c r="N48" s="89">
        <v>100.178743</v>
      </c>
      <c r="O48" s="102">
        <v>61008.85</v>
      </c>
      <c r="P48" s="56">
        <v>0</v>
      </c>
      <c r="Q48" s="35"/>
      <c r="R48" s="68">
        <v>2.0457208765172563E-3</v>
      </c>
      <c r="S48" s="20"/>
    </row>
    <row r="49" spans="1:19" x14ac:dyDescent="0.25">
      <c r="A49" s="66" t="s">
        <v>63</v>
      </c>
      <c r="B49" s="44" t="s">
        <v>121</v>
      </c>
      <c r="C49" s="44" t="s">
        <v>140</v>
      </c>
      <c r="D49" s="44">
        <v>280907</v>
      </c>
      <c r="E49" s="44" t="s">
        <v>21</v>
      </c>
      <c r="F49" s="20">
        <v>1</v>
      </c>
      <c r="G49" s="20">
        <v>6.95</v>
      </c>
      <c r="H49" s="20">
        <v>1</v>
      </c>
      <c r="I49" s="34">
        <v>8542</v>
      </c>
      <c r="J49" s="88">
        <v>100.178742</v>
      </c>
      <c r="K49" s="52">
        <v>855726.82</v>
      </c>
      <c r="L49" s="88">
        <v>100.178743</v>
      </c>
      <c r="M49" s="52">
        <v>855726.82</v>
      </c>
      <c r="N49" s="89">
        <v>100.178743</v>
      </c>
      <c r="O49" s="102">
        <v>855726.82</v>
      </c>
      <c r="P49" s="56">
        <v>0</v>
      </c>
      <c r="Q49" s="35"/>
      <c r="R49" s="68">
        <v>2.8693840652130379E-2</v>
      </c>
      <c r="S49" s="20"/>
    </row>
    <row r="50" spans="1:19" x14ac:dyDescent="0.25">
      <c r="A50" s="98"/>
      <c r="B50" s="24"/>
      <c r="C50" s="24" t="s">
        <v>49</v>
      </c>
      <c r="D50" s="24" t="s">
        <v>50</v>
      </c>
      <c r="E50" s="24"/>
      <c r="F50" s="25"/>
      <c r="G50" s="25"/>
      <c r="H50" s="25"/>
      <c r="I50" s="25"/>
      <c r="J50" s="24"/>
      <c r="K50" s="39">
        <v>2103553.2400000002</v>
      </c>
      <c r="L50" s="24"/>
      <c r="M50" s="39">
        <v>2103553.2400000002</v>
      </c>
      <c r="N50" s="24"/>
      <c r="O50" s="39">
        <v>2103553.2400000002</v>
      </c>
      <c r="P50" s="90">
        <v>0</v>
      </c>
      <c r="Q50" s="26"/>
      <c r="R50" s="99">
        <v>7.0535E-2</v>
      </c>
      <c r="S50" s="20"/>
    </row>
    <row r="51" spans="1:19" x14ac:dyDescent="0.25">
      <c r="A51" s="104"/>
      <c r="B51" s="105"/>
      <c r="C51" s="105"/>
      <c r="D51" s="105"/>
      <c r="E51" s="105"/>
      <c r="F51" s="106"/>
      <c r="G51" s="106"/>
      <c r="H51" s="106"/>
      <c r="I51" s="106"/>
      <c r="J51" s="105"/>
      <c r="K51" s="105"/>
      <c r="L51" s="105"/>
      <c r="M51" s="105"/>
      <c r="N51" s="105"/>
      <c r="O51" s="105"/>
      <c r="P51" s="107"/>
      <c r="Q51" s="107"/>
      <c r="R51" s="108"/>
    </row>
    <row r="52" spans="1:19" x14ac:dyDescent="0.25">
      <c r="A52" s="21"/>
      <c r="B52" s="21" t="s">
        <v>85</v>
      </c>
      <c r="C52" s="21" t="s">
        <v>51</v>
      </c>
      <c r="D52" s="21" t="s">
        <v>50</v>
      </c>
      <c r="E52" s="21"/>
      <c r="F52" s="22"/>
      <c r="G52" s="22"/>
      <c r="H52" s="22"/>
      <c r="I52" s="22"/>
      <c r="J52" s="21"/>
      <c r="K52" s="21"/>
      <c r="L52" s="21"/>
      <c r="M52" s="21"/>
      <c r="N52" s="21"/>
      <c r="O52" s="40">
        <v>74.97</v>
      </c>
      <c r="P52" s="23"/>
      <c r="Q52" s="23"/>
      <c r="R52" s="22"/>
    </row>
    <row r="53" spans="1:19" x14ac:dyDescent="0.25">
      <c r="A53" s="21"/>
      <c r="B53" s="21" t="s">
        <v>86</v>
      </c>
      <c r="C53" s="21" t="s">
        <v>51</v>
      </c>
      <c r="D53" s="21" t="s">
        <v>50</v>
      </c>
      <c r="E53" s="21"/>
      <c r="F53" s="22"/>
      <c r="G53" s="22"/>
      <c r="H53" s="22"/>
      <c r="I53" s="22"/>
      <c r="J53" s="21"/>
      <c r="K53" s="21"/>
      <c r="L53" s="21"/>
      <c r="M53" s="21"/>
      <c r="N53" s="21"/>
      <c r="O53" s="40">
        <v>-12.97</v>
      </c>
      <c r="P53" s="23"/>
      <c r="Q53" s="23"/>
      <c r="R53" s="22"/>
    </row>
    <row r="54" spans="1:19" x14ac:dyDescent="0.25">
      <c r="A54" s="21"/>
      <c r="B54" s="21" t="s">
        <v>121</v>
      </c>
      <c r="C54" s="21" t="s">
        <v>51</v>
      </c>
      <c r="D54" s="21" t="s">
        <v>50</v>
      </c>
      <c r="E54" s="21"/>
      <c r="F54" s="22"/>
      <c r="G54" s="22"/>
      <c r="H54" s="22"/>
      <c r="I54" s="22"/>
      <c r="J54" s="21"/>
      <c r="K54" s="21"/>
      <c r="L54" s="21"/>
      <c r="M54" s="21"/>
      <c r="N54" s="21"/>
      <c r="O54" s="40">
        <v>-35.11</v>
      </c>
      <c r="P54" s="23"/>
      <c r="Q54" s="23"/>
      <c r="R54" s="22"/>
    </row>
    <row r="55" spans="1:19" x14ac:dyDescent="0.25">
      <c r="A55" s="21"/>
      <c r="B55" s="21"/>
      <c r="C55" s="21"/>
      <c r="D55" s="21"/>
      <c r="E55" s="21"/>
      <c r="F55" s="22"/>
      <c r="G55" s="22"/>
      <c r="H55" s="22"/>
      <c r="I55" s="22"/>
      <c r="J55" s="21"/>
      <c r="K55" s="21"/>
      <c r="L55" s="21"/>
      <c r="M55" s="21"/>
      <c r="N55" s="21"/>
      <c r="O55" s="21"/>
      <c r="P55" s="23"/>
      <c r="Q55" s="23"/>
      <c r="R55" s="22"/>
    </row>
    <row r="56" spans="1:19" x14ac:dyDescent="0.25">
      <c r="A56" s="24"/>
      <c r="B56" s="24"/>
      <c r="C56" s="24" t="s">
        <v>52</v>
      </c>
      <c r="D56" s="24" t="s">
        <v>50</v>
      </c>
      <c r="E56" s="24"/>
      <c r="F56" s="25"/>
      <c r="G56" s="25"/>
      <c r="H56" s="25"/>
      <c r="I56" s="25"/>
      <c r="J56" s="24"/>
      <c r="K56" s="24"/>
      <c r="L56" s="24"/>
      <c r="M56" s="24"/>
      <c r="N56" s="24"/>
      <c r="O56" s="39">
        <v>0</v>
      </c>
      <c r="P56" s="26"/>
      <c r="Q56" s="26"/>
      <c r="R56" s="25"/>
    </row>
    <row r="57" spans="1:19" x14ac:dyDescent="0.25">
      <c r="A57" s="21"/>
      <c r="B57" s="21"/>
      <c r="C57" s="21"/>
      <c r="D57" s="21"/>
      <c r="E57" s="21"/>
      <c r="F57" s="22"/>
      <c r="G57" s="22"/>
      <c r="H57" s="22"/>
      <c r="I57" s="22"/>
      <c r="J57" s="21"/>
      <c r="K57" s="21"/>
      <c r="L57" s="21"/>
      <c r="M57" s="21"/>
      <c r="N57" s="21"/>
      <c r="O57" s="21"/>
      <c r="P57" s="23"/>
      <c r="Q57" s="23"/>
      <c r="R57" s="22"/>
    </row>
    <row r="58" spans="1:19" x14ac:dyDescent="0.25">
      <c r="A58" s="27"/>
      <c r="B58" s="27"/>
      <c r="C58" s="27" t="s">
        <v>53</v>
      </c>
      <c r="D58" s="27"/>
      <c r="E58" s="27"/>
      <c r="F58" s="28"/>
      <c r="G58" s="28"/>
      <c r="H58" s="28"/>
      <c r="I58" s="28"/>
      <c r="J58" s="27"/>
      <c r="K58" s="27"/>
      <c r="L58" s="27"/>
      <c r="M58" s="27"/>
      <c r="N58" s="27"/>
      <c r="O58" s="41">
        <v>29822665.789999999</v>
      </c>
      <c r="P58" s="29"/>
      <c r="Q58" s="29"/>
      <c r="R58" s="28"/>
    </row>
    <row r="59" spans="1:19" x14ac:dyDescent="0.25">
      <c r="A59" s="21"/>
      <c r="B59" s="21"/>
      <c r="C59" s="21"/>
      <c r="D59" s="21"/>
      <c r="E59" s="21"/>
      <c r="F59" s="22"/>
      <c r="G59" s="22"/>
      <c r="H59" s="22"/>
      <c r="I59" s="22"/>
      <c r="J59" s="21"/>
      <c r="K59" s="21"/>
      <c r="L59" s="21"/>
      <c r="M59" s="21"/>
      <c r="N59" s="21"/>
      <c r="O59" s="21"/>
      <c r="P59" s="23"/>
      <c r="Q59" s="23"/>
      <c r="R59" s="22"/>
    </row>
    <row r="60" spans="1:19" x14ac:dyDescent="0.25">
      <c r="A60" s="21"/>
      <c r="B60" s="21"/>
      <c r="C60" s="21" t="s">
        <v>26</v>
      </c>
      <c r="D60" s="21"/>
      <c r="E60" s="21"/>
      <c r="F60" s="22"/>
      <c r="G60" s="22"/>
      <c r="H60" s="22"/>
      <c r="I60" s="22"/>
      <c r="J60" s="21"/>
      <c r="K60" s="21"/>
      <c r="L60" s="21"/>
      <c r="M60" s="21"/>
      <c r="N60" s="21"/>
      <c r="O60" s="40">
        <v>26.89</v>
      </c>
      <c r="P60" s="23"/>
      <c r="Q60" s="23"/>
      <c r="R60" s="22"/>
    </row>
    <row r="61" spans="1:19" x14ac:dyDescent="0.25">
      <c r="A61" s="21"/>
      <c r="B61" s="21"/>
      <c r="C61" s="21" t="s">
        <v>54</v>
      </c>
      <c r="D61" s="21"/>
      <c r="E61" s="21"/>
      <c r="F61" s="22"/>
      <c r="G61" s="22"/>
      <c r="H61" s="22"/>
      <c r="I61" s="22"/>
      <c r="J61" s="21"/>
      <c r="K61" s="21"/>
      <c r="L61" s="21"/>
      <c r="M61" s="21"/>
      <c r="N61" s="21"/>
      <c r="O61" s="40">
        <v>2103580.13</v>
      </c>
      <c r="P61" s="23"/>
      <c r="Q61" s="23"/>
      <c r="R61" s="22"/>
    </row>
    <row r="62" spans="1:19" x14ac:dyDescent="0.25">
      <c r="A62" s="21"/>
      <c r="B62" s="21"/>
      <c r="C62" s="21" t="s">
        <v>55</v>
      </c>
      <c r="D62" s="21"/>
      <c r="E62" s="21"/>
      <c r="F62" s="22"/>
      <c r="G62" s="22"/>
      <c r="H62" s="22"/>
      <c r="I62" s="22"/>
      <c r="J62" s="21"/>
      <c r="K62" s="21"/>
      <c r="L62" s="21"/>
      <c r="M62" s="21"/>
      <c r="N62" s="21"/>
      <c r="O62" s="40">
        <v>0</v>
      </c>
      <c r="P62" s="23"/>
      <c r="Q62" s="23"/>
      <c r="R62" s="22"/>
    </row>
  </sheetData>
  <pageMargins left="0.25" right="0.25" top="0.75" bottom="0.75" header="0.29999999999861121" footer="0.29999999999861121"/>
  <pageSetup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0306" r:id="rId4" name="Button 2">
              <controlPr defaultSize="0" print="0" autoFill="0" autoPict="0" macro="[0]!PDF">
                <anchor moveWithCells="1" sizeWithCells="1">
                  <from>
                    <xdr:col>18</xdr:col>
                    <xdr:colOff>666750</xdr:colOff>
                    <xdr:row>1</xdr:row>
                    <xdr:rowOff>38100</xdr:rowOff>
                  </from>
                  <to>
                    <xdr:col>20</xdr:col>
                    <xdr:colOff>409575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07" r:id="rId5" name="Button 3">
              <controlPr defaultSize="0" print="0" autoFill="0" autoPict="0" macro="[0]!ActualizarEstrategia">
                <anchor moveWithCells="1" sizeWithCells="1">
                  <from>
                    <xdr:col>18</xdr:col>
                    <xdr:colOff>666750</xdr:colOff>
                    <xdr:row>3</xdr:row>
                    <xdr:rowOff>171450</xdr:rowOff>
                  </from>
                  <to>
                    <xdr:col>20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08" r:id="rId6" name="Button 4">
              <controlPr defaultSize="0" print="0" autoFill="0" autoPict="0" macro="[0]!PDF">
                <anchor moveWithCells="1" sizeWithCells="1">
                  <from>
                    <xdr:col>18</xdr:col>
                    <xdr:colOff>666750</xdr:colOff>
                    <xdr:row>1</xdr:row>
                    <xdr:rowOff>38100</xdr:rowOff>
                  </from>
                  <to>
                    <xdr:col>20</xdr:col>
                    <xdr:colOff>409575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1E85C-4D17-4084-911C-2D0455359544}">
  <dimension ref="A1:R322"/>
  <sheetViews>
    <sheetView topLeftCell="A302" workbookViewId="0">
      <selection activeCell="J322" sqref="J322"/>
    </sheetView>
  </sheetViews>
  <sheetFormatPr baseColWidth="10" defaultRowHeight="15" x14ac:dyDescent="0.25"/>
  <cols>
    <col min="1" max="1" width="6.7109375" customWidth="1"/>
    <col min="2" max="2" width="12" bestFit="1" customWidth="1"/>
    <col min="3" max="4" width="8.7109375" customWidth="1"/>
    <col min="5" max="5" width="6.7109375" customWidth="1"/>
    <col min="6" max="6" width="23" bestFit="1" customWidth="1"/>
    <col min="7" max="8" width="7.7109375" customWidth="1"/>
    <col min="9" max="9" width="4.7109375" customWidth="1"/>
    <col min="10" max="10" width="6.7109375" customWidth="1"/>
    <col min="11" max="11" width="8.7109375" customWidth="1"/>
    <col min="12" max="12" width="6.7109375" customWidth="1"/>
    <col min="13" max="13" width="9.7109375" customWidth="1"/>
    <col min="14" max="14" width="8.7109375" customWidth="1"/>
    <col min="15" max="15" width="6.7109375" customWidth="1"/>
    <col min="16" max="16" width="2.7109375" customWidth="1"/>
    <col min="17" max="17" width="8.7109375" customWidth="1"/>
    <col min="18" max="18" width="10.7109375" customWidth="1"/>
  </cols>
  <sheetData>
    <row r="1" spans="1:18" ht="47.1" customHeight="1" x14ac:dyDescent="0.25"/>
    <row r="3" spans="1:18" x14ac:dyDescent="0.25">
      <c r="A3" s="64"/>
      <c r="R3" s="65"/>
    </row>
    <row r="4" spans="1:18" x14ac:dyDescent="0.25">
      <c r="A4" s="69" t="s">
        <v>12</v>
      </c>
      <c r="B4" s="37"/>
      <c r="C4" s="36">
        <v>105433</v>
      </c>
      <c r="D4" s="37" t="s">
        <v>13</v>
      </c>
      <c r="F4" s="38" t="s">
        <v>123</v>
      </c>
      <c r="K4" s="37" t="s">
        <v>118</v>
      </c>
      <c r="L4" t="s">
        <v>163</v>
      </c>
      <c r="R4" s="65"/>
    </row>
    <row r="5" spans="1:18" x14ac:dyDescent="0.25">
      <c r="A5" s="69" t="s">
        <v>14</v>
      </c>
      <c r="B5" s="37"/>
      <c r="C5" s="36" t="s">
        <v>15</v>
      </c>
      <c r="D5" s="37" t="s">
        <v>16</v>
      </c>
      <c r="F5" s="38" t="s">
        <v>143</v>
      </c>
      <c r="R5" s="65"/>
    </row>
    <row r="6" spans="1:18" x14ac:dyDescent="0.25">
      <c r="A6" s="64"/>
      <c r="R6" s="65"/>
    </row>
    <row r="7" spans="1:18" x14ac:dyDescent="0.25">
      <c r="A7" s="17" t="s">
        <v>64</v>
      </c>
      <c r="B7" s="18" t="s">
        <v>87</v>
      </c>
      <c r="C7" s="18" t="s">
        <v>65</v>
      </c>
      <c r="D7" s="18" t="s">
        <v>65</v>
      </c>
      <c r="E7" s="18" t="s">
        <v>66</v>
      </c>
      <c r="F7" s="18" t="s">
        <v>67</v>
      </c>
      <c r="G7" s="18" t="s">
        <v>17</v>
      </c>
      <c r="H7" s="18" t="s">
        <v>18</v>
      </c>
      <c r="I7" s="18" t="s">
        <v>19</v>
      </c>
      <c r="J7" s="18" t="s">
        <v>68</v>
      </c>
      <c r="K7" s="18" t="s">
        <v>20</v>
      </c>
      <c r="L7" s="18" t="s">
        <v>69</v>
      </c>
      <c r="M7" s="18" t="s">
        <v>70</v>
      </c>
      <c r="N7" s="18" t="s">
        <v>71</v>
      </c>
      <c r="O7" s="18" t="s">
        <v>72</v>
      </c>
      <c r="P7" s="18" t="s">
        <v>73</v>
      </c>
      <c r="Q7" s="18" t="s">
        <v>74</v>
      </c>
      <c r="R7" s="19" t="s">
        <v>75</v>
      </c>
    </row>
    <row r="8" spans="1:18" x14ac:dyDescent="0.25">
      <c r="A8" s="17"/>
      <c r="B8" s="18"/>
      <c r="C8" s="18" t="s">
        <v>76</v>
      </c>
      <c r="D8" s="18" t="s">
        <v>77</v>
      </c>
      <c r="E8" s="18"/>
      <c r="F8" s="18"/>
      <c r="G8" s="18"/>
      <c r="H8" s="18"/>
      <c r="I8" s="18"/>
      <c r="J8" s="18" t="s">
        <v>78</v>
      </c>
      <c r="K8" s="18"/>
      <c r="L8" s="18" t="s">
        <v>79</v>
      </c>
      <c r="M8" s="18"/>
      <c r="N8" s="18"/>
      <c r="O8" s="18"/>
      <c r="P8" s="18"/>
      <c r="Q8" s="18"/>
      <c r="R8" s="19"/>
    </row>
    <row r="9" spans="1:18" x14ac:dyDescent="0.25">
      <c r="A9" s="66" t="s">
        <v>80</v>
      </c>
      <c r="B9" s="44" t="s">
        <v>85</v>
      </c>
      <c r="C9" s="44"/>
      <c r="D9" s="44"/>
      <c r="E9" s="44"/>
      <c r="F9" s="44" t="s">
        <v>84</v>
      </c>
      <c r="G9" s="44"/>
      <c r="H9" s="44"/>
      <c r="I9" s="44"/>
      <c r="J9" s="44"/>
      <c r="K9" s="61"/>
      <c r="L9" s="44"/>
      <c r="M9" s="44"/>
      <c r="N9" s="44"/>
      <c r="O9" s="59"/>
      <c r="P9" s="44" t="s">
        <v>21</v>
      </c>
      <c r="Q9" s="44">
        <v>0</v>
      </c>
      <c r="R9" s="70">
        <v>74.97</v>
      </c>
    </row>
    <row r="10" spans="1:18" x14ac:dyDescent="0.25">
      <c r="A10" s="66" t="s">
        <v>80</v>
      </c>
      <c r="B10" s="44" t="s">
        <v>86</v>
      </c>
      <c r="C10" s="44"/>
      <c r="D10" s="44"/>
      <c r="E10" s="44"/>
      <c r="F10" s="44" t="s">
        <v>84</v>
      </c>
      <c r="G10" s="44"/>
      <c r="H10" s="44"/>
      <c r="I10" s="44"/>
      <c r="J10" s="44"/>
      <c r="K10" s="61"/>
      <c r="L10" s="44"/>
      <c r="M10" s="44"/>
      <c r="N10" s="44"/>
      <c r="O10" s="59"/>
      <c r="P10" s="44" t="s">
        <v>21</v>
      </c>
      <c r="Q10" s="44">
        <v>0</v>
      </c>
      <c r="R10" s="70">
        <v>-12.97</v>
      </c>
    </row>
    <row r="11" spans="1:18" x14ac:dyDescent="0.25">
      <c r="A11" s="66" t="s">
        <v>80</v>
      </c>
      <c r="B11" s="44" t="s">
        <v>121</v>
      </c>
      <c r="C11" s="44"/>
      <c r="D11" s="44"/>
      <c r="E11" s="44"/>
      <c r="F11" s="44" t="s">
        <v>84</v>
      </c>
      <c r="G11" s="44"/>
      <c r="H11" s="44"/>
      <c r="I11" s="44"/>
      <c r="J11" s="44"/>
      <c r="K11" s="61"/>
      <c r="L11" s="44"/>
      <c r="M11" s="44"/>
      <c r="N11" s="44"/>
      <c r="O11" s="59"/>
      <c r="P11" s="44" t="s">
        <v>21</v>
      </c>
      <c r="Q11" s="44">
        <v>0</v>
      </c>
      <c r="R11" s="70">
        <v>-35.11</v>
      </c>
    </row>
    <row r="12" spans="1:18" x14ac:dyDescent="0.25">
      <c r="A12" s="66" t="s">
        <v>82</v>
      </c>
      <c r="B12" s="44" t="s">
        <v>85</v>
      </c>
      <c r="C12" s="60">
        <v>45930</v>
      </c>
      <c r="D12" s="60">
        <v>45931</v>
      </c>
      <c r="E12" s="44">
        <v>598882</v>
      </c>
      <c r="F12" s="44" t="s">
        <v>83</v>
      </c>
      <c r="G12" s="44" t="s">
        <v>140</v>
      </c>
      <c r="H12" s="44">
        <v>280907</v>
      </c>
      <c r="I12" s="44">
        <v>1</v>
      </c>
      <c r="J12" s="44">
        <v>229.12023526050126</v>
      </c>
      <c r="K12" s="61">
        <v>100.198083</v>
      </c>
      <c r="L12" s="44">
        <v>11847</v>
      </c>
      <c r="M12" s="52">
        <v>1187046.6854452754</v>
      </c>
      <c r="N12" s="44"/>
      <c r="O12" s="59"/>
      <c r="P12" s="44" t="s">
        <v>81</v>
      </c>
      <c r="Q12" s="52">
        <v>1187046.6854452754</v>
      </c>
      <c r="R12" s="71">
        <v>1187121.6599999999</v>
      </c>
    </row>
    <row r="13" spans="1:18" x14ac:dyDescent="0.25">
      <c r="A13" s="66" t="s">
        <v>82</v>
      </c>
      <c r="B13" s="44" t="s">
        <v>86</v>
      </c>
      <c r="C13" s="60">
        <v>45930</v>
      </c>
      <c r="D13" s="60">
        <v>45931</v>
      </c>
      <c r="E13" s="44">
        <v>598882</v>
      </c>
      <c r="F13" s="44" t="s">
        <v>83</v>
      </c>
      <c r="G13" s="44" t="s">
        <v>140</v>
      </c>
      <c r="H13" s="44">
        <v>280907</v>
      </c>
      <c r="I13" s="44">
        <v>1</v>
      </c>
      <c r="J13" s="44">
        <v>11.778021716353951</v>
      </c>
      <c r="K13" s="61">
        <v>100.198083</v>
      </c>
      <c r="L13" s="44">
        <v>609</v>
      </c>
      <c r="M13" s="52">
        <v>61020.632348794861</v>
      </c>
      <c r="N13" s="44"/>
      <c r="O13" s="59"/>
      <c r="P13" s="44" t="s">
        <v>81</v>
      </c>
      <c r="Q13" s="52">
        <v>61020.632348794861</v>
      </c>
      <c r="R13" s="71">
        <v>61007.66</v>
      </c>
    </row>
    <row r="14" spans="1:18" x14ac:dyDescent="0.25">
      <c r="A14" s="66" t="s">
        <v>82</v>
      </c>
      <c r="B14" s="44" t="s">
        <v>121</v>
      </c>
      <c r="C14" s="60">
        <v>45930</v>
      </c>
      <c r="D14" s="60">
        <v>45931</v>
      </c>
      <c r="E14" s="44">
        <v>598882</v>
      </c>
      <c r="F14" s="44" t="s">
        <v>83</v>
      </c>
      <c r="G14" s="44" t="s">
        <v>140</v>
      </c>
      <c r="H14" s="44">
        <v>280907</v>
      </c>
      <c r="I14" s="44">
        <v>1</v>
      </c>
      <c r="J14" s="44">
        <v>165.20174302314524</v>
      </c>
      <c r="K14" s="61">
        <v>100.198083</v>
      </c>
      <c r="L14" s="44">
        <v>8542</v>
      </c>
      <c r="M14" s="52">
        <v>855892.02220592066</v>
      </c>
      <c r="N14" s="44"/>
      <c r="O14" s="59"/>
      <c r="P14" s="44" t="s">
        <v>81</v>
      </c>
      <c r="Q14" s="52">
        <v>855892.02220592066</v>
      </c>
      <c r="R14" s="71">
        <v>855856.91</v>
      </c>
    </row>
    <row r="15" spans="1:18" x14ac:dyDescent="0.25">
      <c r="A15" s="66" t="s">
        <v>80</v>
      </c>
      <c r="B15" s="44" t="s">
        <v>85</v>
      </c>
      <c r="C15" s="60">
        <v>45931</v>
      </c>
      <c r="D15" s="60">
        <v>45931</v>
      </c>
      <c r="E15" s="44">
        <v>599102</v>
      </c>
      <c r="F15" s="44" t="s">
        <v>153</v>
      </c>
      <c r="G15" s="44" t="s">
        <v>154</v>
      </c>
      <c r="H15" s="44" t="s">
        <v>154</v>
      </c>
      <c r="I15" s="44"/>
      <c r="J15" s="44"/>
      <c r="K15" s="61"/>
      <c r="L15" s="44"/>
      <c r="M15" s="52">
        <v>22541.34</v>
      </c>
      <c r="N15" s="44"/>
      <c r="O15" s="59">
        <v>3606.61</v>
      </c>
      <c r="P15" s="44" t="s">
        <v>125</v>
      </c>
      <c r="Q15" s="52">
        <v>26147.95</v>
      </c>
      <c r="R15" s="71">
        <v>1160973.7</v>
      </c>
    </row>
    <row r="16" spans="1:18" x14ac:dyDescent="0.25">
      <c r="A16" s="66" t="s">
        <v>80</v>
      </c>
      <c r="B16" s="44" t="s">
        <v>86</v>
      </c>
      <c r="C16" s="60">
        <v>45931</v>
      </c>
      <c r="D16" s="60">
        <v>45931</v>
      </c>
      <c r="E16" s="44">
        <v>599102</v>
      </c>
      <c r="F16" s="44" t="s">
        <v>153</v>
      </c>
      <c r="G16" s="44" t="s">
        <v>154</v>
      </c>
      <c r="H16" s="44" t="s">
        <v>154</v>
      </c>
      <c r="I16" s="44"/>
      <c r="J16" s="44"/>
      <c r="K16" s="61"/>
      <c r="L16" s="44"/>
      <c r="M16" s="52">
        <v>84.32</v>
      </c>
      <c r="N16" s="44"/>
      <c r="O16" s="59">
        <v>13.49</v>
      </c>
      <c r="P16" s="44" t="s">
        <v>125</v>
      </c>
      <c r="Q16" s="52">
        <v>97.81</v>
      </c>
      <c r="R16" s="71">
        <v>60909.85</v>
      </c>
    </row>
    <row r="17" spans="1:18" x14ac:dyDescent="0.25">
      <c r="A17" s="66" t="s">
        <v>80</v>
      </c>
      <c r="B17" s="44" t="s">
        <v>121</v>
      </c>
      <c r="C17" s="60">
        <v>45931</v>
      </c>
      <c r="D17" s="60">
        <v>45931</v>
      </c>
      <c r="E17" s="44">
        <v>599102</v>
      </c>
      <c r="F17" s="44" t="s">
        <v>153</v>
      </c>
      <c r="G17" s="44" t="s">
        <v>154</v>
      </c>
      <c r="H17" s="44" t="s">
        <v>154</v>
      </c>
      <c r="I17" s="44"/>
      <c r="J17" s="44"/>
      <c r="K17" s="61"/>
      <c r="L17" s="44"/>
      <c r="M17" s="52">
        <v>18690.055199999999</v>
      </c>
      <c r="N17" s="44"/>
      <c r="O17" s="59">
        <v>2990.41</v>
      </c>
      <c r="P17" s="44" t="s">
        <v>125</v>
      </c>
      <c r="Q17" s="52">
        <v>21680.47</v>
      </c>
      <c r="R17" s="71">
        <v>834176.44</v>
      </c>
    </row>
    <row r="18" spans="1:18" x14ac:dyDescent="0.25">
      <c r="A18" s="66" t="s">
        <v>82</v>
      </c>
      <c r="B18" s="44" t="s">
        <v>85</v>
      </c>
      <c r="C18" s="60">
        <v>45931</v>
      </c>
      <c r="D18" s="60">
        <v>45931</v>
      </c>
      <c r="E18" s="44">
        <v>600148</v>
      </c>
      <c r="F18" s="44" t="s">
        <v>124</v>
      </c>
      <c r="G18" s="44" t="s">
        <v>140</v>
      </c>
      <c r="H18" s="44">
        <v>280907</v>
      </c>
      <c r="I18" s="44">
        <v>1</v>
      </c>
      <c r="J18" s="44">
        <v>6.95</v>
      </c>
      <c r="K18" s="61">
        <v>100.20574999999999</v>
      </c>
      <c r="L18" s="44">
        <v>11606</v>
      </c>
      <c r="M18" s="52">
        <v>1162987.9305477738</v>
      </c>
      <c r="N18" s="44"/>
      <c r="O18" s="59"/>
      <c r="P18" s="44" t="s">
        <v>125</v>
      </c>
      <c r="Q18" s="52">
        <v>1162987.9305477738</v>
      </c>
      <c r="R18" s="71">
        <v>-2014.23</v>
      </c>
    </row>
    <row r="19" spans="1:18" x14ac:dyDescent="0.25">
      <c r="A19" s="66" t="s">
        <v>82</v>
      </c>
      <c r="B19" s="44" t="s">
        <v>86</v>
      </c>
      <c r="C19" s="60">
        <v>45931</v>
      </c>
      <c r="D19" s="60">
        <v>45931</v>
      </c>
      <c r="E19" s="44">
        <v>600148</v>
      </c>
      <c r="F19" s="44" t="s">
        <v>124</v>
      </c>
      <c r="G19" s="44" t="s">
        <v>140</v>
      </c>
      <c r="H19" s="44">
        <v>280907</v>
      </c>
      <c r="I19" s="44">
        <v>1</v>
      </c>
      <c r="J19" s="44">
        <v>6.95</v>
      </c>
      <c r="K19" s="61">
        <v>100.20574999999999</v>
      </c>
      <c r="L19" s="44">
        <v>608</v>
      </c>
      <c r="M19" s="52">
        <v>60925.095792955937</v>
      </c>
      <c r="N19" s="44"/>
      <c r="O19" s="59"/>
      <c r="P19" s="44" t="s">
        <v>125</v>
      </c>
      <c r="Q19" s="52">
        <v>60925.095792955937</v>
      </c>
      <c r="R19" s="71">
        <v>-15.25</v>
      </c>
    </row>
    <row r="20" spans="1:18" x14ac:dyDescent="0.25">
      <c r="A20" s="66" t="s">
        <v>82</v>
      </c>
      <c r="B20" s="44" t="s">
        <v>121</v>
      </c>
      <c r="C20" s="60">
        <v>45931</v>
      </c>
      <c r="D20" s="60">
        <v>45931</v>
      </c>
      <c r="E20" s="44">
        <v>600148</v>
      </c>
      <c r="F20" s="44" t="s">
        <v>124</v>
      </c>
      <c r="G20" s="44" t="s">
        <v>140</v>
      </c>
      <c r="H20" s="44">
        <v>280907</v>
      </c>
      <c r="I20" s="44">
        <v>1</v>
      </c>
      <c r="J20" s="44">
        <v>6.95</v>
      </c>
      <c r="K20" s="61">
        <v>100.20574999999999</v>
      </c>
      <c r="L20" s="44">
        <v>8342</v>
      </c>
      <c r="M20" s="52">
        <v>835916.36365927372</v>
      </c>
      <c r="N20" s="44"/>
      <c r="O20" s="59"/>
      <c r="P20" s="44" t="s">
        <v>125</v>
      </c>
      <c r="Q20" s="52">
        <v>835916.36365927372</v>
      </c>
      <c r="R20" s="71">
        <v>-1739.92</v>
      </c>
    </row>
    <row r="21" spans="1:18" x14ac:dyDescent="0.25">
      <c r="A21" s="66" t="s">
        <v>80</v>
      </c>
      <c r="B21" s="44" t="s">
        <v>85</v>
      </c>
      <c r="C21" s="60">
        <v>45931</v>
      </c>
      <c r="D21" s="60">
        <v>45931</v>
      </c>
      <c r="E21" s="44">
        <v>855770</v>
      </c>
      <c r="F21" s="44" t="s">
        <v>148</v>
      </c>
      <c r="G21" s="44" t="s">
        <v>147</v>
      </c>
      <c r="H21" s="44" t="s">
        <v>94</v>
      </c>
      <c r="I21" s="44"/>
      <c r="J21" s="44"/>
      <c r="K21" s="61"/>
      <c r="L21" s="44"/>
      <c r="M21" s="52">
        <v>2103.54</v>
      </c>
      <c r="N21" s="44"/>
      <c r="O21" s="59"/>
      <c r="P21" s="44" t="s">
        <v>81</v>
      </c>
      <c r="Q21" s="52">
        <v>2103.54</v>
      </c>
      <c r="R21" s="70">
        <v>89.31</v>
      </c>
    </row>
    <row r="22" spans="1:18" x14ac:dyDescent="0.25">
      <c r="A22" s="66" t="s">
        <v>80</v>
      </c>
      <c r="B22" s="44" t="s">
        <v>121</v>
      </c>
      <c r="C22" s="60">
        <v>45931</v>
      </c>
      <c r="D22" s="60">
        <v>45931</v>
      </c>
      <c r="E22" s="44">
        <v>855770</v>
      </c>
      <c r="F22" s="44" t="s">
        <v>148</v>
      </c>
      <c r="G22" s="44" t="s">
        <v>147</v>
      </c>
      <c r="H22" s="44" t="s">
        <v>94</v>
      </c>
      <c r="I22" s="44"/>
      <c r="J22" s="44"/>
      <c r="K22" s="61"/>
      <c r="L22" s="44"/>
      <c r="M22" s="52">
        <v>1721.0864000000001</v>
      </c>
      <c r="N22" s="44"/>
      <c r="O22" s="59"/>
      <c r="P22" s="44" t="s">
        <v>81</v>
      </c>
      <c r="Q22" s="52">
        <v>1721.0864000000001</v>
      </c>
      <c r="R22" s="70">
        <v>-18.829999999999998</v>
      </c>
    </row>
    <row r="23" spans="1:18" x14ac:dyDescent="0.25">
      <c r="A23" s="66" t="s">
        <v>82</v>
      </c>
      <c r="B23" s="44" t="s">
        <v>85</v>
      </c>
      <c r="C23" s="60">
        <v>45931</v>
      </c>
      <c r="D23" s="60">
        <v>45932</v>
      </c>
      <c r="E23" s="44">
        <v>600148</v>
      </c>
      <c r="F23" s="44" t="s">
        <v>83</v>
      </c>
      <c r="G23" s="44" t="s">
        <v>140</v>
      </c>
      <c r="H23" s="44">
        <v>280907</v>
      </c>
      <c r="I23" s="44">
        <v>1</v>
      </c>
      <c r="J23" s="44">
        <v>224.52043004475624</v>
      </c>
      <c r="K23" s="61">
        <v>100.225095</v>
      </c>
      <c r="L23" s="44">
        <v>11606</v>
      </c>
      <c r="M23" s="52">
        <v>1163212.4509778195</v>
      </c>
      <c r="N23" s="44"/>
      <c r="O23" s="59"/>
      <c r="P23" s="44" t="s">
        <v>81</v>
      </c>
      <c r="Q23" s="52">
        <v>1163212.4509778195</v>
      </c>
      <c r="R23" s="71">
        <v>1163301.76</v>
      </c>
    </row>
    <row r="24" spans="1:18" x14ac:dyDescent="0.25">
      <c r="A24" s="66" t="s">
        <v>82</v>
      </c>
      <c r="B24" s="44" t="s">
        <v>86</v>
      </c>
      <c r="C24" s="60">
        <v>45931</v>
      </c>
      <c r="D24" s="60">
        <v>45932</v>
      </c>
      <c r="E24" s="44">
        <v>600148</v>
      </c>
      <c r="F24" s="44" t="s">
        <v>83</v>
      </c>
      <c r="G24" s="44" t="s">
        <v>140</v>
      </c>
      <c r="H24" s="44">
        <v>280907</v>
      </c>
      <c r="I24" s="44">
        <v>1</v>
      </c>
      <c r="J24" s="44">
        <v>11.761883634948457</v>
      </c>
      <c r="K24" s="61">
        <v>100.225095</v>
      </c>
      <c r="L24" s="44">
        <v>608</v>
      </c>
      <c r="M24" s="52">
        <v>60936.857676590909</v>
      </c>
      <c r="N24" s="44"/>
      <c r="O24" s="59"/>
      <c r="P24" s="44" t="s">
        <v>81</v>
      </c>
      <c r="Q24" s="52">
        <v>60936.857676590909</v>
      </c>
      <c r="R24" s="71">
        <v>60921.61</v>
      </c>
    </row>
    <row r="25" spans="1:18" x14ac:dyDescent="0.25">
      <c r="A25" s="66" t="s">
        <v>82</v>
      </c>
      <c r="B25" s="44" t="s">
        <v>121</v>
      </c>
      <c r="C25" s="60">
        <v>45931</v>
      </c>
      <c r="D25" s="60">
        <v>45932</v>
      </c>
      <c r="E25" s="44">
        <v>600148</v>
      </c>
      <c r="F25" s="44" t="s">
        <v>83</v>
      </c>
      <c r="G25" s="44" t="s">
        <v>140</v>
      </c>
      <c r="H25" s="44">
        <v>280907</v>
      </c>
      <c r="I25" s="44">
        <v>1</v>
      </c>
      <c r="J25" s="44">
        <v>161.37768632029611</v>
      </c>
      <c r="K25" s="61">
        <v>100.225095</v>
      </c>
      <c r="L25" s="44">
        <v>8342</v>
      </c>
      <c r="M25" s="52">
        <v>836077.7413455944</v>
      </c>
      <c r="N25" s="44"/>
      <c r="O25" s="59"/>
      <c r="P25" s="44" t="s">
        <v>81</v>
      </c>
      <c r="Q25" s="52">
        <v>836077.7413455944</v>
      </c>
      <c r="R25" s="71">
        <v>836058.91</v>
      </c>
    </row>
    <row r="26" spans="1:18" x14ac:dyDescent="0.25">
      <c r="A26" s="66" t="s">
        <v>82</v>
      </c>
      <c r="B26" s="44" t="s">
        <v>85</v>
      </c>
      <c r="C26" s="60">
        <v>45932</v>
      </c>
      <c r="D26" s="60">
        <v>45932</v>
      </c>
      <c r="E26" s="44">
        <v>601474</v>
      </c>
      <c r="F26" s="44" t="s">
        <v>124</v>
      </c>
      <c r="G26" s="44" t="s">
        <v>140</v>
      </c>
      <c r="H26" s="44">
        <v>280907</v>
      </c>
      <c r="I26" s="44">
        <v>1</v>
      </c>
      <c r="J26" s="44">
        <v>6.95</v>
      </c>
      <c r="K26" s="61">
        <v>100.18003299999999</v>
      </c>
      <c r="L26" s="44">
        <v>11612</v>
      </c>
      <c r="M26" s="52">
        <v>1163290.538314617</v>
      </c>
      <c r="N26" s="44"/>
      <c r="O26" s="59"/>
      <c r="P26" s="44" t="s">
        <v>125</v>
      </c>
      <c r="Q26" s="52">
        <v>1163290.538314617</v>
      </c>
      <c r="R26" s="70">
        <v>11.22</v>
      </c>
    </row>
    <row r="27" spans="1:18" x14ac:dyDescent="0.25">
      <c r="A27" s="66" t="s">
        <v>82</v>
      </c>
      <c r="B27" s="44" t="s">
        <v>86</v>
      </c>
      <c r="C27" s="60">
        <v>45932</v>
      </c>
      <c r="D27" s="60">
        <v>45932</v>
      </c>
      <c r="E27" s="44">
        <v>601474</v>
      </c>
      <c r="F27" s="44" t="s">
        <v>124</v>
      </c>
      <c r="G27" s="44" t="s">
        <v>140</v>
      </c>
      <c r="H27" s="44">
        <v>280907</v>
      </c>
      <c r="I27" s="44">
        <v>1</v>
      </c>
      <c r="J27" s="44">
        <v>6.95</v>
      </c>
      <c r="K27" s="61">
        <v>100.18003299999999</v>
      </c>
      <c r="L27" s="44">
        <v>608</v>
      </c>
      <c r="M27" s="52">
        <v>60909.459808412605</v>
      </c>
      <c r="N27" s="44"/>
      <c r="O27" s="59"/>
      <c r="P27" s="44" t="s">
        <v>125</v>
      </c>
      <c r="Q27" s="52">
        <v>60909.459808412605</v>
      </c>
      <c r="R27" s="70">
        <v>12.15</v>
      </c>
    </row>
    <row r="28" spans="1:18" x14ac:dyDescent="0.25">
      <c r="A28" s="66" t="s">
        <v>82</v>
      </c>
      <c r="B28" s="44" t="s">
        <v>121</v>
      </c>
      <c r="C28" s="60">
        <v>45932</v>
      </c>
      <c r="D28" s="60">
        <v>45932</v>
      </c>
      <c r="E28" s="44">
        <v>601474</v>
      </c>
      <c r="F28" s="44" t="s">
        <v>124</v>
      </c>
      <c r="G28" s="44" t="s">
        <v>140</v>
      </c>
      <c r="H28" s="44">
        <v>280907</v>
      </c>
      <c r="I28" s="44">
        <v>1</v>
      </c>
      <c r="J28" s="44">
        <v>6.95</v>
      </c>
      <c r="K28" s="61">
        <v>100.18003299999999</v>
      </c>
      <c r="L28" s="44">
        <v>8345</v>
      </c>
      <c r="M28" s="52">
        <v>836002.3718769789</v>
      </c>
      <c r="N28" s="44"/>
      <c r="O28" s="59"/>
      <c r="P28" s="44" t="s">
        <v>125</v>
      </c>
      <c r="Q28" s="52">
        <v>836002.3718769789</v>
      </c>
      <c r="R28" s="70">
        <v>56.54</v>
      </c>
    </row>
    <row r="29" spans="1:18" x14ac:dyDescent="0.25">
      <c r="A29" s="66" t="s">
        <v>82</v>
      </c>
      <c r="B29" s="44" t="s">
        <v>85</v>
      </c>
      <c r="C29" s="60">
        <v>45932</v>
      </c>
      <c r="D29" s="60">
        <v>45933</v>
      </c>
      <c r="E29" s="44">
        <v>601474</v>
      </c>
      <c r="F29" s="44" t="s">
        <v>83</v>
      </c>
      <c r="G29" s="44" t="s">
        <v>140</v>
      </c>
      <c r="H29" s="44">
        <v>280907</v>
      </c>
      <c r="I29" s="44">
        <v>1</v>
      </c>
      <c r="J29" s="44">
        <v>224.57771748115715</v>
      </c>
      <c r="K29" s="61">
        <v>100.19937299999999</v>
      </c>
      <c r="L29" s="44">
        <v>11612</v>
      </c>
      <c r="M29" s="52">
        <v>1163515.1160320949</v>
      </c>
      <c r="N29" s="44"/>
      <c r="O29" s="59"/>
      <c r="P29" s="44" t="s">
        <v>81</v>
      </c>
      <c r="Q29" s="52">
        <v>1163515.1160320949</v>
      </c>
      <c r="R29" s="71">
        <v>1163526.3400000001</v>
      </c>
    </row>
    <row r="30" spans="1:18" x14ac:dyDescent="0.25">
      <c r="A30" s="66" t="s">
        <v>82</v>
      </c>
      <c r="B30" s="44" t="s">
        <v>86</v>
      </c>
      <c r="C30" s="60">
        <v>45932</v>
      </c>
      <c r="D30" s="60">
        <v>45933</v>
      </c>
      <c r="E30" s="44">
        <v>601474</v>
      </c>
      <c r="F30" s="44" t="s">
        <v>83</v>
      </c>
      <c r="G30" s="44" t="s">
        <v>140</v>
      </c>
      <c r="H30" s="44">
        <v>280907</v>
      </c>
      <c r="I30" s="44">
        <v>1</v>
      </c>
      <c r="J30" s="44">
        <v>11.758805737904199</v>
      </c>
      <c r="K30" s="61">
        <v>100.19937299999999</v>
      </c>
      <c r="L30" s="44">
        <v>608</v>
      </c>
      <c r="M30" s="52">
        <v>60921.218614150333</v>
      </c>
      <c r="N30" s="44"/>
      <c r="O30" s="59"/>
      <c r="P30" s="44" t="s">
        <v>81</v>
      </c>
      <c r="Q30" s="52">
        <v>60921.218614150333</v>
      </c>
      <c r="R30" s="71">
        <v>60933.37</v>
      </c>
    </row>
    <row r="31" spans="1:18" x14ac:dyDescent="0.25">
      <c r="A31" s="66" t="s">
        <v>82</v>
      </c>
      <c r="B31" s="44" t="s">
        <v>121</v>
      </c>
      <c r="C31" s="60">
        <v>45932</v>
      </c>
      <c r="D31" s="60">
        <v>45933</v>
      </c>
      <c r="E31" s="44">
        <v>601474</v>
      </c>
      <c r="F31" s="44" t="s">
        <v>83</v>
      </c>
      <c r="G31" s="44" t="s">
        <v>140</v>
      </c>
      <c r="H31" s="44">
        <v>280907</v>
      </c>
      <c r="I31" s="44">
        <v>1</v>
      </c>
      <c r="J31" s="44">
        <v>161.39347678093839</v>
      </c>
      <c r="K31" s="61">
        <v>100.19937299999999</v>
      </c>
      <c r="L31" s="44">
        <v>8345</v>
      </c>
      <c r="M31" s="52">
        <v>836163.76535375742</v>
      </c>
      <c r="N31" s="44"/>
      <c r="O31" s="59"/>
      <c r="P31" s="44" t="s">
        <v>81</v>
      </c>
      <c r="Q31" s="52">
        <v>836163.76535375742</v>
      </c>
      <c r="R31" s="71">
        <v>836220.31</v>
      </c>
    </row>
    <row r="32" spans="1:18" x14ac:dyDescent="0.25">
      <c r="A32" s="66" t="s">
        <v>82</v>
      </c>
      <c r="B32" s="44" t="s">
        <v>85</v>
      </c>
      <c r="C32" s="60">
        <v>45933</v>
      </c>
      <c r="D32" s="60">
        <v>45933</v>
      </c>
      <c r="E32" s="44">
        <v>601672</v>
      </c>
      <c r="F32" s="44" t="s">
        <v>124</v>
      </c>
      <c r="G32" s="44" t="s">
        <v>140</v>
      </c>
      <c r="H32" s="44">
        <v>280907</v>
      </c>
      <c r="I32" s="44">
        <v>3</v>
      </c>
      <c r="J32" s="44">
        <v>6.95</v>
      </c>
      <c r="K32" s="61">
        <v>100.24818500000001</v>
      </c>
      <c r="L32" s="44">
        <v>11606</v>
      </c>
      <c r="M32" s="52">
        <v>1163480.4335996069</v>
      </c>
      <c r="N32" s="44"/>
      <c r="O32" s="59"/>
      <c r="P32" s="44" t="s">
        <v>125</v>
      </c>
      <c r="Q32" s="52">
        <v>1163480.4335996069</v>
      </c>
      <c r="R32" s="70">
        <v>45.91</v>
      </c>
    </row>
    <row r="33" spans="1:18" x14ac:dyDescent="0.25">
      <c r="A33" s="66" t="s">
        <v>82</v>
      </c>
      <c r="B33" s="44" t="s">
        <v>86</v>
      </c>
      <c r="C33" s="60">
        <v>45933</v>
      </c>
      <c r="D33" s="60">
        <v>45933</v>
      </c>
      <c r="E33" s="44">
        <v>601672</v>
      </c>
      <c r="F33" s="44" t="s">
        <v>124</v>
      </c>
      <c r="G33" s="44" t="s">
        <v>140</v>
      </c>
      <c r="H33" s="44">
        <v>280907</v>
      </c>
      <c r="I33" s="44">
        <v>3</v>
      </c>
      <c r="J33" s="44">
        <v>6.95</v>
      </c>
      <c r="K33" s="61">
        <v>100.24818500000001</v>
      </c>
      <c r="L33" s="44">
        <v>608</v>
      </c>
      <c r="M33" s="52">
        <v>60950.896400875485</v>
      </c>
      <c r="N33" s="44"/>
      <c r="O33" s="59"/>
      <c r="P33" s="44" t="s">
        <v>125</v>
      </c>
      <c r="Q33" s="52">
        <v>60950.896400875485</v>
      </c>
      <c r="R33" s="70">
        <v>-17.53</v>
      </c>
    </row>
    <row r="34" spans="1:18" x14ac:dyDescent="0.25">
      <c r="A34" s="66" t="s">
        <v>82</v>
      </c>
      <c r="B34" s="44" t="s">
        <v>121</v>
      </c>
      <c r="C34" s="60">
        <v>45933</v>
      </c>
      <c r="D34" s="60">
        <v>45933</v>
      </c>
      <c r="E34" s="44">
        <v>601672</v>
      </c>
      <c r="F34" s="44" t="s">
        <v>124</v>
      </c>
      <c r="G34" s="44" t="s">
        <v>140</v>
      </c>
      <c r="H34" s="44">
        <v>280907</v>
      </c>
      <c r="I34" s="44">
        <v>3</v>
      </c>
      <c r="J34" s="44">
        <v>6.95</v>
      </c>
      <c r="K34" s="61">
        <v>100.24818500000001</v>
      </c>
      <c r="L34" s="44">
        <v>8341</v>
      </c>
      <c r="M34" s="52">
        <v>836170.10999951069</v>
      </c>
      <c r="N34" s="44"/>
      <c r="O34" s="59"/>
      <c r="P34" s="44" t="s">
        <v>125</v>
      </c>
      <c r="Q34" s="52">
        <v>836170.10999951069</v>
      </c>
      <c r="R34" s="70">
        <v>50.2</v>
      </c>
    </row>
    <row r="35" spans="1:18" x14ac:dyDescent="0.25">
      <c r="A35" s="66" t="s">
        <v>82</v>
      </c>
      <c r="B35" s="44" t="s">
        <v>85</v>
      </c>
      <c r="C35" s="60">
        <v>45933</v>
      </c>
      <c r="D35" s="60">
        <v>45936</v>
      </c>
      <c r="E35" s="44">
        <v>601672</v>
      </c>
      <c r="F35" s="44" t="s">
        <v>83</v>
      </c>
      <c r="G35" s="44" t="s">
        <v>140</v>
      </c>
      <c r="H35" s="44">
        <v>280907</v>
      </c>
      <c r="I35" s="44">
        <v>3</v>
      </c>
      <c r="J35" s="52">
        <v>673.84814303089229</v>
      </c>
      <c r="K35" s="61">
        <v>100.306245</v>
      </c>
      <c r="L35" s="44">
        <v>11606</v>
      </c>
      <c r="M35" s="52">
        <v>1164154.2817426403</v>
      </c>
      <c r="N35" s="44"/>
      <c r="O35" s="59"/>
      <c r="P35" s="44" t="s">
        <v>81</v>
      </c>
      <c r="Q35" s="52">
        <v>1164154.2817426403</v>
      </c>
      <c r="R35" s="71">
        <v>1164200.19</v>
      </c>
    </row>
    <row r="36" spans="1:18" x14ac:dyDescent="0.25">
      <c r="A36" s="66" t="s">
        <v>82</v>
      </c>
      <c r="B36" s="44" t="s">
        <v>86</v>
      </c>
      <c r="C36" s="60">
        <v>45933</v>
      </c>
      <c r="D36" s="60">
        <v>45936</v>
      </c>
      <c r="E36" s="44">
        <v>601672</v>
      </c>
      <c r="F36" s="44" t="s">
        <v>83</v>
      </c>
      <c r="G36" s="44" t="s">
        <v>140</v>
      </c>
      <c r="H36" s="44">
        <v>280907</v>
      </c>
      <c r="I36" s="44">
        <v>3</v>
      </c>
      <c r="J36" s="52">
        <v>35.300678180491339</v>
      </c>
      <c r="K36" s="61">
        <v>100.306245</v>
      </c>
      <c r="L36" s="44">
        <v>608</v>
      </c>
      <c r="M36" s="52">
        <v>60986.197079056124</v>
      </c>
      <c r="N36" s="44"/>
      <c r="O36" s="59"/>
      <c r="P36" s="44" t="s">
        <v>81</v>
      </c>
      <c r="Q36" s="52">
        <v>60986.197079056124</v>
      </c>
      <c r="R36" s="71">
        <v>60968.67</v>
      </c>
    </row>
    <row r="37" spans="1:18" x14ac:dyDescent="0.25">
      <c r="A37" s="66" t="s">
        <v>82</v>
      </c>
      <c r="B37" s="44" t="s">
        <v>121</v>
      </c>
      <c r="C37" s="60">
        <v>45933</v>
      </c>
      <c r="D37" s="60">
        <v>45936</v>
      </c>
      <c r="E37" s="44">
        <v>601672</v>
      </c>
      <c r="F37" s="44" t="s">
        <v>83</v>
      </c>
      <c r="G37" s="44" t="s">
        <v>140</v>
      </c>
      <c r="H37" s="44">
        <v>280907</v>
      </c>
      <c r="I37" s="44">
        <v>3</v>
      </c>
      <c r="J37" s="52">
        <v>484.28117878861559</v>
      </c>
      <c r="K37" s="61">
        <v>100.306245</v>
      </c>
      <c r="L37" s="44">
        <v>8341</v>
      </c>
      <c r="M37" s="52">
        <v>836654.3911783013</v>
      </c>
      <c r="N37" s="44"/>
      <c r="O37" s="59"/>
      <c r="P37" s="44" t="s">
        <v>81</v>
      </c>
      <c r="Q37" s="52">
        <v>836654.3911783013</v>
      </c>
      <c r="R37" s="71">
        <v>836704.59</v>
      </c>
    </row>
    <row r="38" spans="1:18" x14ac:dyDescent="0.25">
      <c r="A38" s="66" t="s">
        <v>82</v>
      </c>
      <c r="B38" s="44" t="s">
        <v>85</v>
      </c>
      <c r="C38" s="60">
        <v>45936</v>
      </c>
      <c r="D38" s="60">
        <v>45936</v>
      </c>
      <c r="E38" s="44">
        <v>602944</v>
      </c>
      <c r="F38" s="44" t="s">
        <v>124</v>
      </c>
      <c r="G38" s="44" t="s">
        <v>140</v>
      </c>
      <c r="H38" s="44">
        <v>280907</v>
      </c>
      <c r="I38" s="44">
        <v>1</v>
      </c>
      <c r="J38" s="44">
        <v>6.95</v>
      </c>
      <c r="K38" s="61">
        <v>100.300521</v>
      </c>
      <c r="L38" s="44">
        <v>11607</v>
      </c>
      <c r="M38" s="52">
        <v>1164188.1417834228</v>
      </c>
      <c r="N38" s="44"/>
      <c r="O38" s="59"/>
      <c r="P38" s="44" t="s">
        <v>125</v>
      </c>
      <c r="Q38" s="52">
        <v>1164188.1417834228</v>
      </c>
      <c r="R38" s="70">
        <v>12.05</v>
      </c>
    </row>
    <row r="39" spans="1:18" x14ac:dyDescent="0.25">
      <c r="A39" s="66" t="s">
        <v>82</v>
      </c>
      <c r="B39" s="44" t="s">
        <v>86</v>
      </c>
      <c r="C39" s="60">
        <v>45936</v>
      </c>
      <c r="D39" s="60">
        <v>45936</v>
      </c>
      <c r="E39" s="44">
        <v>602944</v>
      </c>
      <c r="F39" s="44" t="s">
        <v>124</v>
      </c>
      <c r="G39" s="44" t="s">
        <v>140</v>
      </c>
      <c r="H39" s="44">
        <v>280907</v>
      </c>
      <c r="I39" s="44">
        <v>1</v>
      </c>
      <c r="J39" s="44">
        <v>6.95</v>
      </c>
      <c r="K39" s="61">
        <v>100.300521</v>
      </c>
      <c r="L39" s="44">
        <v>608</v>
      </c>
      <c r="M39" s="52">
        <v>60982.716481805888</v>
      </c>
      <c r="N39" s="44"/>
      <c r="O39" s="59"/>
      <c r="P39" s="44" t="s">
        <v>125</v>
      </c>
      <c r="Q39" s="52">
        <v>60982.716481805888</v>
      </c>
      <c r="R39" s="70">
        <v>-14.05</v>
      </c>
    </row>
    <row r="40" spans="1:18" x14ac:dyDescent="0.25">
      <c r="A40" s="66" t="s">
        <v>82</v>
      </c>
      <c r="B40" s="44" t="s">
        <v>121</v>
      </c>
      <c r="C40" s="60">
        <v>45936</v>
      </c>
      <c r="D40" s="60">
        <v>45936</v>
      </c>
      <c r="E40" s="44">
        <v>602944</v>
      </c>
      <c r="F40" s="44" t="s">
        <v>124</v>
      </c>
      <c r="G40" s="44" t="s">
        <v>140</v>
      </c>
      <c r="H40" s="44">
        <v>280907</v>
      </c>
      <c r="I40" s="44">
        <v>1</v>
      </c>
      <c r="J40" s="44">
        <v>6.95</v>
      </c>
      <c r="K40" s="61">
        <v>100.300521</v>
      </c>
      <c r="L40" s="44">
        <v>8341</v>
      </c>
      <c r="M40" s="52">
        <v>836606.64173477457</v>
      </c>
      <c r="N40" s="44"/>
      <c r="O40" s="59"/>
      <c r="P40" s="44" t="s">
        <v>125</v>
      </c>
      <c r="Q40" s="52">
        <v>836606.64173477457</v>
      </c>
      <c r="R40" s="70">
        <v>97.95</v>
      </c>
    </row>
    <row r="41" spans="1:18" x14ac:dyDescent="0.25">
      <c r="A41" s="66" t="s">
        <v>82</v>
      </c>
      <c r="B41" s="44" t="s">
        <v>85</v>
      </c>
      <c r="C41" s="60">
        <v>45936</v>
      </c>
      <c r="D41" s="60">
        <v>45937</v>
      </c>
      <c r="E41" s="44">
        <v>602944</v>
      </c>
      <c r="F41" s="44" t="s">
        <v>83</v>
      </c>
      <c r="G41" s="44" t="s">
        <v>140</v>
      </c>
      <c r="H41" s="44">
        <v>280907</v>
      </c>
      <c r="I41" s="44">
        <v>1</v>
      </c>
      <c r="J41" s="44">
        <v>224.74869673088168</v>
      </c>
      <c r="K41" s="61">
        <v>100.319884</v>
      </c>
      <c r="L41" s="44">
        <v>11607</v>
      </c>
      <c r="M41" s="52">
        <v>1164412.8904801561</v>
      </c>
      <c r="N41" s="44"/>
      <c r="O41" s="59"/>
      <c r="P41" s="44" t="s">
        <v>81</v>
      </c>
      <c r="Q41" s="52">
        <v>1164412.8904801561</v>
      </c>
      <c r="R41" s="71">
        <v>1164424.94</v>
      </c>
    </row>
    <row r="42" spans="1:18" x14ac:dyDescent="0.25">
      <c r="A42" s="66" t="s">
        <v>82</v>
      </c>
      <c r="B42" s="44" t="s">
        <v>86</v>
      </c>
      <c r="C42" s="60">
        <v>45936</v>
      </c>
      <c r="D42" s="60">
        <v>45937</v>
      </c>
      <c r="E42" s="44">
        <v>602944</v>
      </c>
      <c r="F42" s="44" t="s">
        <v>83</v>
      </c>
      <c r="G42" s="44" t="s">
        <v>140</v>
      </c>
      <c r="H42" s="44">
        <v>280907</v>
      </c>
      <c r="I42" s="44">
        <v>1</v>
      </c>
      <c r="J42" s="44">
        <v>11.77282739832653</v>
      </c>
      <c r="K42" s="61">
        <v>100.319884</v>
      </c>
      <c r="L42" s="44">
        <v>608</v>
      </c>
      <c r="M42" s="52">
        <v>60994.489309204349</v>
      </c>
      <c r="N42" s="44"/>
      <c r="O42" s="59"/>
      <c r="P42" s="44" t="s">
        <v>81</v>
      </c>
      <c r="Q42" s="52">
        <v>60994.489309204349</v>
      </c>
      <c r="R42" s="71">
        <v>60980.44</v>
      </c>
    </row>
    <row r="43" spans="1:18" x14ac:dyDescent="0.25">
      <c r="A43" s="66" t="s">
        <v>82</v>
      </c>
      <c r="B43" s="44" t="s">
        <v>121</v>
      </c>
      <c r="C43" s="60">
        <v>45936</v>
      </c>
      <c r="D43" s="60">
        <v>45937</v>
      </c>
      <c r="E43" s="44">
        <v>602944</v>
      </c>
      <c r="F43" s="44" t="s">
        <v>83</v>
      </c>
      <c r="G43" s="44" t="s">
        <v>140</v>
      </c>
      <c r="H43" s="44">
        <v>280907</v>
      </c>
      <c r="I43" s="44">
        <v>1</v>
      </c>
      <c r="J43" s="44">
        <v>161.5084758707921</v>
      </c>
      <c r="K43" s="61">
        <v>100.319884</v>
      </c>
      <c r="L43" s="44">
        <v>8341</v>
      </c>
      <c r="M43" s="52">
        <v>836768.15021064715</v>
      </c>
      <c r="N43" s="44"/>
      <c r="O43" s="59"/>
      <c r="P43" s="44" t="s">
        <v>81</v>
      </c>
      <c r="Q43" s="52">
        <v>836768.15021064715</v>
      </c>
      <c r="R43" s="71">
        <v>836866.1</v>
      </c>
    </row>
    <row r="44" spans="1:18" x14ac:dyDescent="0.25">
      <c r="A44" s="66" t="s">
        <v>82</v>
      </c>
      <c r="B44" s="44" t="s">
        <v>85</v>
      </c>
      <c r="C44" s="60">
        <v>45937</v>
      </c>
      <c r="D44" s="60">
        <v>45937</v>
      </c>
      <c r="E44" s="44">
        <v>604533</v>
      </c>
      <c r="F44" s="44" t="s">
        <v>124</v>
      </c>
      <c r="G44" s="44" t="s">
        <v>140</v>
      </c>
      <c r="H44" s="44">
        <v>280907</v>
      </c>
      <c r="I44" s="44">
        <v>1</v>
      </c>
      <c r="J44" s="44">
        <v>6.95</v>
      </c>
      <c r="K44" s="61">
        <v>100.32871</v>
      </c>
      <c r="L44" s="44">
        <v>11862</v>
      </c>
      <c r="M44" s="52">
        <v>1190099.1538291555</v>
      </c>
      <c r="N44" s="44"/>
      <c r="O44" s="59"/>
      <c r="P44" s="44" t="s">
        <v>125</v>
      </c>
      <c r="Q44" s="52">
        <v>1190099.1538291555</v>
      </c>
      <c r="R44" s="71">
        <v>-25674.21</v>
      </c>
    </row>
    <row r="45" spans="1:18" x14ac:dyDescent="0.25">
      <c r="A45" s="66" t="s">
        <v>82</v>
      </c>
      <c r="B45" s="44" t="s">
        <v>86</v>
      </c>
      <c r="C45" s="60">
        <v>45937</v>
      </c>
      <c r="D45" s="60">
        <v>45937</v>
      </c>
      <c r="E45" s="44">
        <v>604533</v>
      </c>
      <c r="F45" s="44" t="s">
        <v>124</v>
      </c>
      <c r="G45" s="44" t="s">
        <v>140</v>
      </c>
      <c r="H45" s="44">
        <v>280907</v>
      </c>
      <c r="I45" s="44">
        <v>1</v>
      </c>
      <c r="J45" s="44">
        <v>6.95</v>
      </c>
      <c r="K45" s="61">
        <v>100.32871</v>
      </c>
      <c r="L45" s="44">
        <v>608</v>
      </c>
      <c r="M45" s="52">
        <v>60999.855465193599</v>
      </c>
      <c r="N45" s="44"/>
      <c r="O45" s="59"/>
      <c r="P45" s="44" t="s">
        <v>125</v>
      </c>
      <c r="Q45" s="52">
        <v>60999.855465193599</v>
      </c>
      <c r="R45" s="71">
        <v>-19.420000000000002</v>
      </c>
    </row>
    <row r="46" spans="1:18" x14ac:dyDescent="0.25">
      <c r="A46" s="66" t="s">
        <v>82</v>
      </c>
      <c r="B46" s="44" t="s">
        <v>121</v>
      </c>
      <c r="C46" s="60">
        <v>45937</v>
      </c>
      <c r="D46" s="60">
        <v>45937</v>
      </c>
      <c r="E46" s="44">
        <v>604533</v>
      </c>
      <c r="F46" s="44" t="s">
        <v>124</v>
      </c>
      <c r="G46" s="44" t="s">
        <v>140</v>
      </c>
      <c r="H46" s="44">
        <v>280907</v>
      </c>
      <c r="I46" s="44">
        <v>1</v>
      </c>
      <c r="J46" s="44">
        <v>6.95</v>
      </c>
      <c r="K46" s="61">
        <v>100.32871</v>
      </c>
      <c r="L46" s="44">
        <v>8532</v>
      </c>
      <c r="M46" s="52">
        <v>856004.55070564442</v>
      </c>
      <c r="N46" s="44"/>
      <c r="O46" s="59"/>
      <c r="P46" s="44" t="s">
        <v>125</v>
      </c>
      <c r="Q46" s="52">
        <v>856004.55070564442</v>
      </c>
      <c r="R46" s="71">
        <v>-19138.45</v>
      </c>
    </row>
    <row r="47" spans="1:18" x14ac:dyDescent="0.25">
      <c r="A47" s="66" t="s">
        <v>80</v>
      </c>
      <c r="B47" s="44" t="s">
        <v>85</v>
      </c>
      <c r="C47" s="60">
        <v>45937</v>
      </c>
      <c r="D47" s="60">
        <v>45937</v>
      </c>
      <c r="E47" s="44">
        <v>855874</v>
      </c>
      <c r="F47" s="44" t="s">
        <v>148</v>
      </c>
      <c r="G47" s="44" t="s">
        <v>149</v>
      </c>
      <c r="H47" s="44" t="s">
        <v>94</v>
      </c>
      <c r="I47" s="44"/>
      <c r="J47" s="44"/>
      <c r="K47" s="61"/>
      <c r="L47" s="44"/>
      <c r="M47" s="52">
        <v>12452.15</v>
      </c>
      <c r="N47" s="44"/>
      <c r="O47" s="59"/>
      <c r="P47" s="44" t="s">
        <v>81</v>
      </c>
      <c r="Q47" s="52">
        <v>12452.15</v>
      </c>
      <c r="R47" s="71">
        <v>-13222.06</v>
      </c>
    </row>
    <row r="48" spans="1:18" x14ac:dyDescent="0.25">
      <c r="A48" s="66" t="s">
        <v>80</v>
      </c>
      <c r="B48" s="44" t="s">
        <v>121</v>
      </c>
      <c r="C48" s="60">
        <v>45937</v>
      </c>
      <c r="D48" s="60">
        <v>45937</v>
      </c>
      <c r="E48" s="44">
        <v>855874</v>
      </c>
      <c r="F48" s="44" t="s">
        <v>148</v>
      </c>
      <c r="G48" s="44" t="s">
        <v>149</v>
      </c>
      <c r="H48" s="44" t="s">
        <v>94</v>
      </c>
      <c r="I48" s="44"/>
      <c r="J48" s="44"/>
      <c r="K48" s="61"/>
      <c r="L48" s="44"/>
      <c r="M48" s="52">
        <v>15341.987599999999</v>
      </c>
      <c r="N48" s="44"/>
      <c r="O48" s="59"/>
      <c r="P48" s="44" t="s">
        <v>81</v>
      </c>
      <c r="Q48" s="52">
        <v>15341.987599999999</v>
      </c>
      <c r="R48" s="71">
        <v>-3796.46</v>
      </c>
    </row>
    <row r="49" spans="1:18" x14ac:dyDescent="0.25">
      <c r="A49" s="66" t="s">
        <v>80</v>
      </c>
      <c r="B49" s="44" t="s">
        <v>85</v>
      </c>
      <c r="C49" s="60">
        <v>45937</v>
      </c>
      <c r="D49" s="60">
        <v>45937</v>
      </c>
      <c r="E49" s="44">
        <v>855879</v>
      </c>
      <c r="F49" s="44" t="s">
        <v>148</v>
      </c>
      <c r="G49" s="44" t="s">
        <v>151</v>
      </c>
      <c r="H49" s="44" t="s">
        <v>94</v>
      </c>
      <c r="I49" s="44"/>
      <c r="J49" s="44"/>
      <c r="K49" s="61"/>
      <c r="L49" s="44"/>
      <c r="M49" s="52">
        <v>1111.95</v>
      </c>
      <c r="N49" s="44"/>
      <c r="O49" s="59"/>
      <c r="P49" s="44" t="s">
        <v>81</v>
      </c>
      <c r="Q49" s="52">
        <v>1111.95</v>
      </c>
      <c r="R49" s="71">
        <v>-12110.11</v>
      </c>
    </row>
    <row r="50" spans="1:18" x14ac:dyDescent="0.25">
      <c r="A50" s="66" t="s">
        <v>80</v>
      </c>
      <c r="B50" s="44" t="s">
        <v>121</v>
      </c>
      <c r="C50" s="60">
        <v>45937</v>
      </c>
      <c r="D50" s="60">
        <v>45937</v>
      </c>
      <c r="E50" s="44">
        <v>855879</v>
      </c>
      <c r="F50" s="44" t="s">
        <v>148</v>
      </c>
      <c r="G50" s="44" t="s">
        <v>151</v>
      </c>
      <c r="H50" s="44" t="s">
        <v>94</v>
      </c>
      <c r="I50" s="44"/>
      <c r="J50" s="44"/>
      <c r="K50" s="61"/>
      <c r="L50" s="44"/>
      <c r="M50" s="52">
        <v>985.14569999999981</v>
      </c>
      <c r="N50" s="44"/>
      <c r="O50" s="59"/>
      <c r="P50" s="44" t="s">
        <v>81</v>
      </c>
      <c r="Q50" s="52">
        <v>985.14569999999981</v>
      </c>
      <c r="R50" s="71">
        <v>-2811.31</v>
      </c>
    </row>
    <row r="51" spans="1:18" x14ac:dyDescent="0.25">
      <c r="A51" s="66" t="s">
        <v>80</v>
      </c>
      <c r="B51" s="44" t="s">
        <v>85</v>
      </c>
      <c r="C51" s="60">
        <v>45937</v>
      </c>
      <c r="D51" s="60">
        <v>45937</v>
      </c>
      <c r="E51" s="44">
        <v>855881</v>
      </c>
      <c r="F51" s="44" t="s">
        <v>148</v>
      </c>
      <c r="G51" s="44" t="s">
        <v>131</v>
      </c>
      <c r="H51" s="44" t="s">
        <v>94</v>
      </c>
      <c r="I51" s="44"/>
      <c r="J51" s="44"/>
      <c r="K51" s="61"/>
      <c r="L51" s="44"/>
      <c r="M51" s="52">
        <v>10806.09</v>
      </c>
      <c r="N51" s="44"/>
      <c r="O51" s="59"/>
      <c r="P51" s="44" t="s">
        <v>81</v>
      </c>
      <c r="Q51" s="52">
        <v>10806.09</v>
      </c>
      <c r="R51" s="71">
        <v>-1304.02</v>
      </c>
    </row>
    <row r="52" spans="1:18" x14ac:dyDescent="0.25">
      <c r="A52" s="66" t="s">
        <v>80</v>
      </c>
      <c r="B52" s="44" t="s">
        <v>121</v>
      </c>
      <c r="C52" s="60">
        <v>45937</v>
      </c>
      <c r="D52" s="60">
        <v>45937</v>
      </c>
      <c r="E52" s="44">
        <v>855881</v>
      </c>
      <c r="F52" s="44" t="s">
        <v>148</v>
      </c>
      <c r="G52" s="44" t="s">
        <v>131</v>
      </c>
      <c r="H52" s="44" t="s">
        <v>94</v>
      </c>
      <c r="I52" s="44"/>
      <c r="J52" s="44"/>
      <c r="K52" s="61"/>
      <c r="L52" s="44"/>
      <c r="M52" s="52">
        <v>1727.2718999999997</v>
      </c>
      <c r="N52" s="44"/>
      <c r="O52" s="59"/>
      <c r="P52" s="44" t="s">
        <v>81</v>
      </c>
      <c r="Q52" s="52">
        <v>1727.2718999999997</v>
      </c>
      <c r="R52" s="71">
        <v>-1084.04</v>
      </c>
    </row>
    <row r="53" spans="1:18" x14ac:dyDescent="0.25">
      <c r="A53" s="66" t="s">
        <v>80</v>
      </c>
      <c r="B53" s="44" t="s">
        <v>85</v>
      </c>
      <c r="C53" s="60">
        <v>45937</v>
      </c>
      <c r="D53" s="60">
        <v>45937</v>
      </c>
      <c r="E53" s="44">
        <v>855882</v>
      </c>
      <c r="F53" s="44" t="s">
        <v>148</v>
      </c>
      <c r="G53" s="44" t="s">
        <v>152</v>
      </c>
      <c r="H53" s="44" t="s">
        <v>94</v>
      </c>
      <c r="I53" s="44"/>
      <c r="J53" s="44"/>
      <c r="K53" s="61"/>
      <c r="L53" s="44"/>
      <c r="M53" s="52">
        <v>1367.34</v>
      </c>
      <c r="N53" s="44"/>
      <c r="O53" s="59"/>
      <c r="P53" s="44" t="s">
        <v>81</v>
      </c>
      <c r="Q53" s="52">
        <v>1367.34</v>
      </c>
      <c r="R53" s="70">
        <v>63.31</v>
      </c>
    </row>
    <row r="54" spans="1:18" x14ac:dyDescent="0.25">
      <c r="A54" s="66" t="s">
        <v>80</v>
      </c>
      <c r="B54" s="44" t="s">
        <v>121</v>
      </c>
      <c r="C54" s="60">
        <v>45937</v>
      </c>
      <c r="D54" s="60">
        <v>45937</v>
      </c>
      <c r="E54" s="44">
        <v>855882</v>
      </c>
      <c r="F54" s="44" t="s">
        <v>148</v>
      </c>
      <c r="G54" s="44" t="s">
        <v>152</v>
      </c>
      <c r="H54" s="44" t="s">
        <v>94</v>
      </c>
      <c r="I54" s="44"/>
      <c r="J54" s="44"/>
      <c r="K54" s="61"/>
      <c r="L54" s="44"/>
      <c r="M54" s="52">
        <v>1109.3521000000003</v>
      </c>
      <c r="N54" s="44"/>
      <c r="O54" s="59"/>
      <c r="P54" s="44" t="s">
        <v>81</v>
      </c>
      <c r="Q54" s="52">
        <v>1109.3521000000003</v>
      </c>
      <c r="R54" s="70">
        <v>25.31</v>
      </c>
    </row>
    <row r="55" spans="1:18" x14ac:dyDescent="0.25">
      <c r="A55" s="66" t="s">
        <v>82</v>
      </c>
      <c r="B55" s="44" t="s">
        <v>85</v>
      </c>
      <c r="C55" s="60">
        <v>45937</v>
      </c>
      <c r="D55" s="60">
        <v>45938</v>
      </c>
      <c r="E55" s="44">
        <v>604533</v>
      </c>
      <c r="F55" s="44" t="s">
        <v>83</v>
      </c>
      <c r="G55" s="44" t="s">
        <v>140</v>
      </c>
      <c r="H55" s="44">
        <v>280907</v>
      </c>
      <c r="I55" s="44">
        <v>1</v>
      </c>
      <c r="J55" s="44">
        <v>229.75070755166232</v>
      </c>
      <c r="K55" s="61">
        <v>100.348078</v>
      </c>
      <c r="L55" s="44">
        <v>11862</v>
      </c>
      <c r="M55" s="52">
        <v>1190328.9045367083</v>
      </c>
      <c r="N55" s="44"/>
      <c r="O55" s="59"/>
      <c r="P55" s="44" t="s">
        <v>81</v>
      </c>
      <c r="Q55" s="52">
        <v>1190328.9045367083</v>
      </c>
      <c r="R55" s="71">
        <v>1190392.21</v>
      </c>
    </row>
    <row r="56" spans="1:18" x14ac:dyDescent="0.25">
      <c r="A56" s="66" t="s">
        <v>82</v>
      </c>
      <c r="B56" s="44" t="s">
        <v>86</v>
      </c>
      <c r="C56" s="60">
        <v>45937</v>
      </c>
      <c r="D56" s="60">
        <v>45938</v>
      </c>
      <c r="E56" s="44">
        <v>604533</v>
      </c>
      <c r="F56" s="44" t="s">
        <v>83</v>
      </c>
      <c r="G56" s="44" t="s">
        <v>140</v>
      </c>
      <c r="H56" s="44">
        <v>280907</v>
      </c>
      <c r="I56" s="44">
        <v>1</v>
      </c>
      <c r="J56" s="44">
        <v>11.776127987810714</v>
      </c>
      <c r="K56" s="61">
        <v>100.348078</v>
      </c>
      <c r="L56" s="44">
        <v>608</v>
      </c>
      <c r="M56" s="52">
        <v>61011.631593181475</v>
      </c>
      <c r="N56" s="44"/>
      <c r="O56" s="59"/>
      <c r="P56" s="44" t="s">
        <v>81</v>
      </c>
      <c r="Q56" s="52">
        <v>61011.631593181475</v>
      </c>
      <c r="R56" s="71">
        <v>60992.21</v>
      </c>
    </row>
    <row r="57" spans="1:18" x14ac:dyDescent="0.25">
      <c r="A57" s="66" t="s">
        <v>82</v>
      </c>
      <c r="B57" s="44" t="s">
        <v>121</v>
      </c>
      <c r="C57" s="60">
        <v>45937</v>
      </c>
      <c r="D57" s="60">
        <v>45938</v>
      </c>
      <c r="E57" s="44">
        <v>604533</v>
      </c>
      <c r="F57" s="44" t="s">
        <v>83</v>
      </c>
      <c r="G57" s="44" t="s">
        <v>140</v>
      </c>
      <c r="H57" s="44">
        <v>280907</v>
      </c>
      <c r="I57" s="44">
        <v>1</v>
      </c>
      <c r="J57" s="44">
        <v>165.25316446052798</v>
      </c>
      <c r="K57" s="61">
        <v>100.348078</v>
      </c>
      <c r="L57" s="44">
        <v>8532</v>
      </c>
      <c r="M57" s="52">
        <v>856169.80387010577</v>
      </c>
      <c r="N57" s="44"/>
      <c r="O57" s="59"/>
      <c r="P57" s="44" t="s">
        <v>81</v>
      </c>
      <c r="Q57" s="52">
        <v>856169.80387010577</v>
      </c>
      <c r="R57" s="71">
        <v>856195.11</v>
      </c>
    </row>
    <row r="58" spans="1:18" x14ac:dyDescent="0.25">
      <c r="A58" s="66" t="s">
        <v>82</v>
      </c>
      <c r="B58" s="44" t="s">
        <v>85</v>
      </c>
      <c r="C58" s="60">
        <v>45938</v>
      </c>
      <c r="D58" s="60">
        <v>45938</v>
      </c>
      <c r="E58" s="44">
        <v>605631</v>
      </c>
      <c r="F58" s="44" t="s">
        <v>124</v>
      </c>
      <c r="G58" s="44" t="s">
        <v>140</v>
      </c>
      <c r="H58" s="44">
        <v>280907</v>
      </c>
      <c r="I58" s="44">
        <v>1</v>
      </c>
      <c r="J58" s="44">
        <v>6.95</v>
      </c>
      <c r="K58" s="61">
        <v>100.348417</v>
      </c>
      <c r="L58" s="44">
        <v>11863</v>
      </c>
      <c r="M58" s="52">
        <v>1190433.268705362</v>
      </c>
      <c r="N58" s="44"/>
      <c r="O58" s="59"/>
      <c r="P58" s="44" t="s">
        <v>125</v>
      </c>
      <c r="Q58" s="52">
        <v>1190433.268705362</v>
      </c>
      <c r="R58" s="70">
        <v>-41.06</v>
      </c>
    </row>
    <row r="59" spans="1:18" x14ac:dyDescent="0.25">
      <c r="A59" s="66" t="s">
        <v>82</v>
      </c>
      <c r="B59" s="44" t="s">
        <v>86</v>
      </c>
      <c r="C59" s="60">
        <v>45938</v>
      </c>
      <c r="D59" s="60">
        <v>45938</v>
      </c>
      <c r="E59" s="44">
        <v>605631</v>
      </c>
      <c r="F59" s="44" t="s">
        <v>124</v>
      </c>
      <c r="G59" s="44" t="s">
        <v>140</v>
      </c>
      <c r="H59" s="44">
        <v>280907</v>
      </c>
      <c r="I59" s="44">
        <v>1</v>
      </c>
      <c r="J59" s="44">
        <v>6.95</v>
      </c>
      <c r="K59" s="61">
        <v>100.348417</v>
      </c>
      <c r="L59" s="44">
        <v>608</v>
      </c>
      <c r="M59" s="52">
        <v>61011.837425007165</v>
      </c>
      <c r="N59" s="44"/>
      <c r="O59" s="59"/>
      <c r="P59" s="44" t="s">
        <v>125</v>
      </c>
      <c r="Q59" s="52">
        <v>61011.837425007165</v>
      </c>
      <c r="R59" s="70">
        <v>-19.63</v>
      </c>
    </row>
    <row r="60" spans="1:18" x14ac:dyDescent="0.25">
      <c r="A60" s="66" t="s">
        <v>82</v>
      </c>
      <c r="B60" s="44" t="s">
        <v>121</v>
      </c>
      <c r="C60" s="60">
        <v>45938</v>
      </c>
      <c r="D60" s="60">
        <v>45938</v>
      </c>
      <c r="E60" s="44">
        <v>605631</v>
      </c>
      <c r="F60" s="44" t="s">
        <v>124</v>
      </c>
      <c r="G60" s="44" t="s">
        <v>140</v>
      </c>
      <c r="H60" s="44">
        <v>280907</v>
      </c>
      <c r="I60" s="44">
        <v>1</v>
      </c>
      <c r="J60" s="44">
        <v>6.95</v>
      </c>
      <c r="K60" s="61">
        <v>100.348417</v>
      </c>
      <c r="L60" s="44">
        <v>8531</v>
      </c>
      <c r="M60" s="52">
        <v>856072.34386963188</v>
      </c>
      <c r="N60" s="44"/>
      <c r="O60" s="59"/>
      <c r="P60" s="44" t="s">
        <v>125</v>
      </c>
      <c r="Q60" s="52">
        <v>856072.34386963188</v>
      </c>
      <c r="R60" s="70">
        <v>122.77</v>
      </c>
    </row>
    <row r="61" spans="1:18" x14ac:dyDescent="0.25">
      <c r="A61" s="66" t="s">
        <v>82</v>
      </c>
      <c r="B61" s="44" t="s">
        <v>85</v>
      </c>
      <c r="C61" s="60">
        <v>45938</v>
      </c>
      <c r="D61" s="60">
        <v>45939</v>
      </c>
      <c r="E61" s="44">
        <v>605631</v>
      </c>
      <c r="F61" s="44" t="s">
        <v>83</v>
      </c>
      <c r="G61" s="44" t="s">
        <v>140</v>
      </c>
      <c r="H61" s="44">
        <v>280907</v>
      </c>
      <c r="I61" s="44">
        <v>1</v>
      </c>
      <c r="J61" s="44">
        <v>229.8152642605462</v>
      </c>
      <c r="K61" s="61">
        <v>100.367789</v>
      </c>
      <c r="L61" s="44">
        <v>11863</v>
      </c>
      <c r="M61" s="52">
        <v>1190663.0839696233</v>
      </c>
      <c r="N61" s="44"/>
      <c r="O61" s="59"/>
      <c r="P61" s="44" t="s">
        <v>81</v>
      </c>
      <c r="Q61" s="52">
        <v>1190663.0839696233</v>
      </c>
      <c r="R61" s="71">
        <v>1190622.02</v>
      </c>
    </row>
    <row r="62" spans="1:18" x14ac:dyDescent="0.25">
      <c r="A62" s="66" t="s">
        <v>82</v>
      </c>
      <c r="B62" s="44" t="s">
        <v>86</v>
      </c>
      <c r="C62" s="60">
        <v>45938</v>
      </c>
      <c r="D62" s="60">
        <v>45939</v>
      </c>
      <c r="E62" s="44">
        <v>605631</v>
      </c>
      <c r="F62" s="44" t="s">
        <v>83</v>
      </c>
      <c r="G62" s="44" t="s">
        <v>140</v>
      </c>
      <c r="H62" s="44">
        <v>280907</v>
      </c>
      <c r="I62" s="44">
        <v>1</v>
      </c>
      <c r="J62" s="44">
        <v>11.778443957718292</v>
      </c>
      <c r="K62" s="61">
        <v>100.367789</v>
      </c>
      <c r="L62" s="44">
        <v>608</v>
      </c>
      <c r="M62" s="52">
        <v>61023.615868964931</v>
      </c>
      <c r="N62" s="44"/>
      <c r="O62" s="59"/>
      <c r="P62" s="44" t="s">
        <v>81</v>
      </c>
      <c r="Q62" s="52">
        <v>61023.615868964931</v>
      </c>
      <c r="R62" s="71">
        <v>61003.99</v>
      </c>
    </row>
    <row r="63" spans="1:18" x14ac:dyDescent="0.25">
      <c r="A63" s="66" t="s">
        <v>82</v>
      </c>
      <c r="B63" s="44" t="s">
        <v>121</v>
      </c>
      <c r="C63" s="60">
        <v>45938</v>
      </c>
      <c r="D63" s="60">
        <v>45939</v>
      </c>
      <c r="E63" s="44">
        <v>605631</v>
      </c>
      <c r="F63" s="44" t="s">
        <v>83</v>
      </c>
      <c r="G63" s="44" t="s">
        <v>140</v>
      </c>
      <c r="H63" s="44">
        <v>280907</v>
      </c>
      <c r="I63" s="44">
        <v>1</v>
      </c>
      <c r="J63" s="44">
        <v>165.26629178173479</v>
      </c>
      <c r="K63" s="61">
        <v>100.367789</v>
      </c>
      <c r="L63" s="44">
        <v>8531</v>
      </c>
      <c r="M63" s="52">
        <v>856237.61016141414</v>
      </c>
      <c r="N63" s="44"/>
      <c r="O63" s="59"/>
      <c r="P63" s="44" t="s">
        <v>81</v>
      </c>
      <c r="Q63" s="52">
        <v>856237.61016141414</v>
      </c>
      <c r="R63" s="71">
        <v>856360.38</v>
      </c>
    </row>
    <row r="64" spans="1:18" x14ac:dyDescent="0.25">
      <c r="A64" s="66" t="s">
        <v>82</v>
      </c>
      <c r="B64" s="44" t="s">
        <v>85</v>
      </c>
      <c r="C64" s="60">
        <v>45939</v>
      </c>
      <c r="D64" s="60">
        <v>45939</v>
      </c>
      <c r="E64" s="44">
        <v>606929</v>
      </c>
      <c r="F64" s="44" t="s">
        <v>124</v>
      </c>
      <c r="G64" s="44" t="s">
        <v>140</v>
      </c>
      <c r="H64" s="44">
        <v>280907</v>
      </c>
      <c r="I64" s="44">
        <v>1</v>
      </c>
      <c r="J64" s="44">
        <v>6.95</v>
      </c>
      <c r="K64" s="61">
        <v>100.367777</v>
      </c>
      <c r="L64" s="44">
        <v>11863</v>
      </c>
      <c r="M64" s="52">
        <v>1190662.9371083761</v>
      </c>
      <c r="N64" s="44"/>
      <c r="O64" s="59"/>
      <c r="P64" s="44" t="s">
        <v>125</v>
      </c>
      <c r="Q64" s="52">
        <v>1190662.9371083761</v>
      </c>
      <c r="R64" s="70">
        <v>-40.92</v>
      </c>
    </row>
    <row r="65" spans="1:18" x14ac:dyDescent="0.25">
      <c r="A65" s="66" t="s">
        <v>82</v>
      </c>
      <c r="B65" s="44" t="s">
        <v>86</v>
      </c>
      <c r="C65" s="60">
        <v>45939</v>
      </c>
      <c r="D65" s="60">
        <v>45939</v>
      </c>
      <c r="E65" s="44">
        <v>606929</v>
      </c>
      <c r="F65" s="44" t="s">
        <v>124</v>
      </c>
      <c r="G65" s="44" t="s">
        <v>140</v>
      </c>
      <c r="H65" s="44">
        <v>280907</v>
      </c>
      <c r="I65" s="44">
        <v>1</v>
      </c>
      <c r="J65" s="44">
        <v>6.95</v>
      </c>
      <c r="K65" s="61">
        <v>100.367777</v>
      </c>
      <c r="L65" s="44">
        <v>608</v>
      </c>
      <c r="M65" s="52">
        <v>61023.608342062944</v>
      </c>
      <c r="N65" s="44"/>
      <c r="O65" s="59"/>
      <c r="P65" s="44" t="s">
        <v>125</v>
      </c>
      <c r="Q65" s="52">
        <v>61023.608342062944</v>
      </c>
      <c r="R65" s="70">
        <v>-19.62</v>
      </c>
    </row>
    <row r="66" spans="1:18" x14ac:dyDescent="0.25">
      <c r="A66" s="66" t="s">
        <v>82</v>
      </c>
      <c r="B66" s="44" t="s">
        <v>121</v>
      </c>
      <c r="C66" s="60">
        <v>45939</v>
      </c>
      <c r="D66" s="60">
        <v>45939</v>
      </c>
      <c r="E66" s="44">
        <v>606929</v>
      </c>
      <c r="F66" s="44" t="s">
        <v>124</v>
      </c>
      <c r="G66" s="44" t="s">
        <v>140</v>
      </c>
      <c r="H66" s="44">
        <v>280907</v>
      </c>
      <c r="I66" s="44">
        <v>1</v>
      </c>
      <c r="J66" s="44">
        <v>6.95</v>
      </c>
      <c r="K66" s="61">
        <v>100.367777</v>
      </c>
      <c r="L66" s="44">
        <v>8531</v>
      </c>
      <c r="M66" s="52">
        <v>856237.50454957073</v>
      </c>
      <c r="N66" s="44"/>
      <c r="O66" s="59"/>
      <c r="P66" s="44" t="s">
        <v>125</v>
      </c>
      <c r="Q66" s="52">
        <v>856237.50454957073</v>
      </c>
      <c r="R66" s="70">
        <v>122.88</v>
      </c>
    </row>
    <row r="67" spans="1:18" x14ac:dyDescent="0.25">
      <c r="A67" s="66" t="s">
        <v>82</v>
      </c>
      <c r="B67" s="44" t="s">
        <v>85</v>
      </c>
      <c r="C67" s="60">
        <v>45939</v>
      </c>
      <c r="D67" s="60">
        <v>45940</v>
      </c>
      <c r="E67" s="44">
        <v>606929</v>
      </c>
      <c r="F67" s="44" t="s">
        <v>83</v>
      </c>
      <c r="G67" s="44" t="s">
        <v>140</v>
      </c>
      <c r="H67" s="44">
        <v>280907</v>
      </c>
      <c r="I67" s="44">
        <v>1</v>
      </c>
      <c r="J67" s="44">
        <v>229.86045233787237</v>
      </c>
      <c r="K67" s="61">
        <v>100.387153</v>
      </c>
      <c r="L67" s="44">
        <v>11863</v>
      </c>
      <c r="M67" s="52">
        <v>1190892.7975607144</v>
      </c>
      <c r="N67" s="44"/>
      <c r="O67" s="59"/>
      <c r="P67" s="44" t="s">
        <v>81</v>
      </c>
      <c r="Q67" s="52">
        <v>1190892.7975607144</v>
      </c>
      <c r="R67" s="71">
        <v>1190851.8799999999</v>
      </c>
    </row>
    <row r="68" spans="1:18" x14ac:dyDescent="0.25">
      <c r="A68" s="66" t="s">
        <v>82</v>
      </c>
      <c r="B68" s="44" t="s">
        <v>86</v>
      </c>
      <c r="C68" s="60">
        <v>45939</v>
      </c>
      <c r="D68" s="60">
        <v>45940</v>
      </c>
      <c r="E68" s="44">
        <v>606929</v>
      </c>
      <c r="F68" s="44" t="s">
        <v>83</v>
      </c>
      <c r="G68" s="44" t="s">
        <v>140</v>
      </c>
      <c r="H68" s="44">
        <v>280907</v>
      </c>
      <c r="I68" s="44">
        <v>1</v>
      </c>
      <c r="J68" s="44">
        <v>11.78075992762593</v>
      </c>
      <c r="K68" s="61">
        <v>100.387153</v>
      </c>
      <c r="L68" s="44">
        <v>608</v>
      </c>
      <c r="M68" s="52">
        <v>61035.389101990593</v>
      </c>
      <c r="N68" s="44"/>
      <c r="O68" s="59"/>
      <c r="P68" s="44" t="s">
        <v>81</v>
      </c>
      <c r="Q68" s="52">
        <v>61035.389101990593</v>
      </c>
      <c r="R68" s="71">
        <v>61015.77</v>
      </c>
    </row>
    <row r="69" spans="1:18" x14ac:dyDescent="0.25">
      <c r="A69" s="66" t="s">
        <v>82</v>
      </c>
      <c r="B69" s="44" t="s">
        <v>121</v>
      </c>
      <c r="C69" s="60">
        <v>45939</v>
      </c>
      <c r="D69" s="60">
        <v>45940</v>
      </c>
      <c r="E69" s="44">
        <v>606929</v>
      </c>
      <c r="F69" s="44" t="s">
        <v>83</v>
      </c>
      <c r="G69" s="44" t="s">
        <v>140</v>
      </c>
      <c r="H69" s="44">
        <v>280907</v>
      </c>
      <c r="I69" s="44">
        <v>1</v>
      </c>
      <c r="J69" s="44">
        <v>165.29878773450133</v>
      </c>
      <c r="K69" s="61">
        <v>100.387153</v>
      </c>
      <c r="L69" s="44">
        <v>8531</v>
      </c>
      <c r="M69" s="52">
        <v>856402.80333730543</v>
      </c>
      <c r="N69" s="44"/>
      <c r="O69" s="59"/>
      <c r="P69" s="44" t="s">
        <v>81</v>
      </c>
      <c r="Q69" s="52">
        <v>856402.80333730543</v>
      </c>
      <c r="R69" s="71">
        <v>856525.68</v>
      </c>
    </row>
    <row r="70" spans="1:18" x14ac:dyDescent="0.25">
      <c r="A70" s="66" t="s">
        <v>82</v>
      </c>
      <c r="B70" s="44" t="s">
        <v>85</v>
      </c>
      <c r="C70" s="60">
        <v>45940</v>
      </c>
      <c r="D70" s="60">
        <v>45940</v>
      </c>
      <c r="E70" s="44">
        <v>609329</v>
      </c>
      <c r="F70" s="44" t="s">
        <v>124</v>
      </c>
      <c r="G70" s="44" t="s">
        <v>140</v>
      </c>
      <c r="H70" s="44">
        <v>280907</v>
      </c>
      <c r="I70" s="44">
        <v>3</v>
      </c>
      <c r="J70" s="44">
        <v>6.95</v>
      </c>
      <c r="K70" s="61">
        <v>100.39217600000001</v>
      </c>
      <c r="L70" s="44">
        <v>11862</v>
      </c>
      <c r="M70" s="52">
        <v>1190851.9870939453</v>
      </c>
      <c r="N70" s="44"/>
      <c r="O70" s="59"/>
      <c r="P70" s="44" t="s">
        <v>125</v>
      </c>
      <c r="Q70" s="52">
        <v>1190851.9870939453</v>
      </c>
      <c r="R70" s="70">
        <v>-0.11</v>
      </c>
    </row>
    <row r="71" spans="1:18" x14ac:dyDescent="0.25">
      <c r="A71" s="66" t="s">
        <v>82</v>
      </c>
      <c r="B71" s="44" t="s">
        <v>86</v>
      </c>
      <c r="C71" s="60">
        <v>45940</v>
      </c>
      <c r="D71" s="60">
        <v>45940</v>
      </c>
      <c r="E71" s="44">
        <v>609329</v>
      </c>
      <c r="F71" s="44" t="s">
        <v>124</v>
      </c>
      <c r="G71" s="44" t="s">
        <v>140</v>
      </c>
      <c r="H71" s="44">
        <v>280907</v>
      </c>
      <c r="I71" s="44">
        <v>3</v>
      </c>
      <c r="J71" s="44">
        <v>6.95</v>
      </c>
      <c r="K71" s="61">
        <v>100.39217600000001</v>
      </c>
      <c r="L71" s="44">
        <v>608</v>
      </c>
      <c r="M71" s="52">
        <v>61038.442771296483</v>
      </c>
      <c r="N71" s="44"/>
      <c r="O71" s="59"/>
      <c r="P71" s="44" t="s">
        <v>125</v>
      </c>
      <c r="Q71" s="52">
        <v>61038.442771296483</v>
      </c>
      <c r="R71" s="70">
        <v>-22.67</v>
      </c>
    </row>
    <row r="72" spans="1:18" x14ac:dyDescent="0.25">
      <c r="A72" s="66" t="s">
        <v>82</v>
      </c>
      <c r="B72" s="44" t="s">
        <v>121</v>
      </c>
      <c r="C72" s="60">
        <v>45940</v>
      </c>
      <c r="D72" s="60">
        <v>45940</v>
      </c>
      <c r="E72" s="44">
        <v>609329</v>
      </c>
      <c r="F72" s="44" t="s">
        <v>124</v>
      </c>
      <c r="G72" s="44" t="s">
        <v>140</v>
      </c>
      <c r="H72" s="44">
        <v>280907</v>
      </c>
      <c r="I72" s="44">
        <v>3</v>
      </c>
      <c r="J72" s="44">
        <v>6.95</v>
      </c>
      <c r="K72" s="61">
        <v>100.39217600000001</v>
      </c>
      <c r="L72" s="44">
        <v>8531</v>
      </c>
      <c r="M72" s="52">
        <v>856445.65013475379</v>
      </c>
      <c r="N72" s="44"/>
      <c r="O72" s="59"/>
      <c r="P72" s="44" t="s">
        <v>125</v>
      </c>
      <c r="Q72" s="52">
        <v>856445.65013475379</v>
      </c>
      <c r="R72" s="70">
        <v>80.03</v>
      </c>
    </row>
    <row r="73" spans="1:18" x14ac:dyDescent="0.25">
      <c r="A73" s="66" t="s">
        <v>82</v>
      </c>
      <c r="B73" s="44" t="s">
        <v>85</v>
      </c>
      <c r="C73" s="60">
        <v>45940</v>
      </c>
      <c r="D73" s="60">
        <v>45943</v>
      </c>
      <c r="E73" s="44">
        <v>609329</v>
      </c>
      <c r="F73" s="44" t="s">
        <v>83</v>
      </c>
      <c r="G73" s="44" t="s">
        <v>140</v>
      </c>
      <c r="H73" s="44">
        <v>280907</v>
      </c>
      <c r="I73" s="44">
        <v>3</v>
      </c>
      <c r="J73" s="52">
        <v>689.6972687014902</v>
      </c>
      <c r="K73" s="61">
        <v>100.45031899999999</v>
      </c>
      <c r="L73" s="44">
        <v>11862</v>
      </c>
      <c r="M73" s="52">
        <v>1191541.684362649</v>
      </c>
      <c r="N73" s="44"/>
      <c r="O73" s="59"/>
      <c r="P73" s="44" t="s">
        <v>81</v>
      </c>
      <c r="Q73" s="52">
        <v>1191541.684362649</v>
      </c>
      <c r="R73" s="71">
        <v>1191541.57</v>
      </c>
    </row>
    <row r="74" spans="1:18" x14ac:dyDescent="0.25">
      <c r="A74" s="66" t="s">
        <v>82</v>
      </c>
      <c r="B74" s="44" t="s">
        <v>86</v>
      </c>
      <c r="C74" s="60">
        <v>45940</v>
      </c>
      <c r="D74" s="60">
        <v>45943</v>
      </c>
      <c r="E74" s="44">
        <v>609329</v>
      </c>
      <c r="F74" s="44" t="s">
        <v>83</v>
      </c>
      <c r="G74" s="44" t="s">
        <v>140</v>
      </c>
      <c r="H74" s="44">
        <v>280907</v>
      </c>
      <c r="I74" s="44">
        <v>3</v>
      </c>
      <c r="J74" s="52">
        <v>35.351200419027656</v>
      </c>
      <c r="K74" s="61">
        <v>100.45031899999999</v>
      </c>
      <c r="L74" s="44">
        <v>608</v>
      </c>
      <c r="M74" s="52">
        <v>61073.793971715619</v>
      </c>
      <c r="N74" s="44"/>
      <c r="O74" s="59"/>
      <c r="P74" s="44" t="s">
        <v>81</v>
      </c>
      <c r="Q74" s="52">
        <v>61073.793971715619</v>
      </c>
      <c r="R74" s="71">
        <v>61051.12</v>
      </c>
    </row>
    <row r="75" spans="1:18" x14ac:dyDescent="0.25">
      <c r="A75" s="66" t="s">
        <v>82</v>
      </c>
      <c r="B75" s="44" t="s">
        <v>121</v>
      </c>
      <c r="C75" s="60">
        <v>45940</v>
      </c>
      <c r="D75" s="60">
        <v>45943</v>
      </c>
      <c r="E75" s="44">
        <v>609329</v>
      </c>
      <c r="F75" s="44" t="s">
        <v>83</v>
      </c>
      <c r="G75" s="44" t="s">
        <v>140</v>
      </c>
      <c r="H75" s="44">
        <v>280907</v>
      </c>
      <c r="I75" s="44">
        <v>3</v>
      </c>
      <c r="J75" s="52">
        <v>496.02153087948176</v>
      </c>
      <c r="K75" s="61">
        <v>100.45031899999999</v>
      </c>
      <c r="L75" s="44">
        <v>8531</v>
      </c>
      <c r="M75" s="52">
        <v>856941.67166563473</v>
      </c>
      <c r="N75" s="44"/>
      <c r="O75" s="59"/>
      <c r="P75" s="44" t="s">
        <v>81</v>
      </c>
      <c r="Q75" s="52">
        <v>856941.67166563473</v>
      </c>
      <c r="R75" s="71">
        <v>857021.7</v>
      </c>
    </row>
    <row r="76" spans="1:18" x14ac:dyDescent="0.25">
      <c r="A76" s="66" t="s">
        <v>82</v>
      </c>
      <c r="B76" s="44" t="s">
        <v>85</v>
      </c>
      <c r="C76" s="60">
        <v>45943</v>
      </c>
      <c r="D76" s="60">
        <v>45943</v>
      </c>
      <c r="E76" s="44">
        <v>610074</v>
      </c>
      <c r="F76" s="44" t="s">
        <v>124</v>
      </c>
      <c r="G76" s="44" t="s">
        <v>140</v>
      </c>
      <c r="H76" s="44">
        <v>280907</v>
      </c>
      <c r="I76" s="44">
        <v>1</v>
      </c>
      <c r="J76" s="44">
        <v>6.95</v>
      </c>
      <c r="K76" s="61">
        <v>100.452119</v>
      </c>
      <c r="L76" s="44">
        <v>11862</v>
      </c>
      <c r="M76" s="52">
        <v>1191563.0349459571</v>
      </c>
      <c r="N76" s="44"/>
      <c r="O76" s="59"/>
      <c r="P76" s="44" t="s">
        <v>125</v>
      </c>
      <c r="Q76" s="52">
        <v>1191563.0349459571</v>
      </c>
      <c r="R76" s="70">
        <v>-21.46</v>
      </c>
    </row>
    <row r="77" spans="1:18" x14ac:dyDescent="0.25">
      <c r="A77" s="66" t="s">
        <v>82</v>
      </c>
      <c r="B77" s="44" t="s">
        <v>86</v>
      </c>
      <c r="C77" s="60">
        <v>45943</v>
      </c>
      <c r="D77" s="60">
        <v>45943</v>
      </c>
      <c r="E77" s="44">
        <v>610074</v>
      </c>
      <c r="F77" s="44" t="s">
        <v>124</v>
      </c>
      <c r="G77" s="44" t="s">
        <v>140</v>
      </c>
      <c r="H77" s="44">
        <v>280907</v>
      </c>
      <c r="I77" s="44">
        <v>1</v>
      </c>
      <c r="J77" s="44">
        <v>6.95</v>
      </c>
      <c r="K77" s="61">
        <v>100.452119</v>
      </c>
      <c r="L77" s="44">
        <v>608</v>
      </c>
      <c r="M77" s="52">
        <v>61074.888319603939</v>
      </c>
      <c r="N77" s="44"/>
      <c r="O77" s="59"/>
      <c r="P77" s="44" t="s">
        <v>125</v>
      </c>
      <c r="Q77" s="52">
        <v>61074.888319603939</v>
      </c>
      <c r="R77" s="70">
        <v>-23.77</v>
      </c>
    </row>
    <row r="78" spans="1:18" x14ac:dyDescent="0.25">
      <c r="A78" s="66" t="s">
        <v>82</v>
      </c>
      <c r="B78" s="44" t="s">
        <v>121</v>
      </c>
      <c r="C78" s="60">
        <v>45943</v>
      </c>
      <c r="D78" s="60">
        <v>45943</v>
      </c>
      <c r="E78" s="44">
        <v>610074</v>
      </c>
      <c r="F78" s="44" t="s">
        <v>124</v>
      </c>
      <c r="G78" s="44" t="s">
        <v>140</v>
      </c>
      <c r="H78" s="44">
        <v>280907</v>
      </c>
      <c r="I78" s="44">
        <v>1</v>
      </c>
      <c r="J78" s="44">
        <v>6.95</v>
      </c>
      <c r="K78" s="61">
        <v>100.452119</v>
      </c>
      <c r="L78" s="44">
        <v>8531</v>
      </c>
      <c r="M78" s="52">
        <v>856957.0267344428</v>
      </c>
      <c r="N78" s="44"/>
      <c r="O78" s="59"/>
      <c r="P78" s="44" t="s">
        <v>125</v>
      </c>
      <c r="Q78" s="52">
        <v>856957.0267344428</v>
      </c>
      <c r="R78" s="70">
        <v>64.67</v>
      </c>
    </row>
    <row r="79" spans="1:18" x14ac:dyDescent="0.25">
      <c r="A79" s="79" t="s">
        <v>82</v>
      </c>
      <c r="B79" s="77" t="s">
        <v>85</v>
      </c>
      <c r="C79" s="92">
        <v>45943</v>
      </c>
      <c r="D79" s="92">
        <v>45944</v>
      </c>
      <c r="E79" s="77">
        <v>610074</v>
      </c>
      <c r="F79" s="77" t="s">
        <v>83</v>
      </c>
      <c r="G79" s="77" t="s">
        <v>140</v>
      </c>
      <c r="H79" s="77">
        <v>280907</v>
      </c>
      <c r="I79" s="77">
        <v>1</v>
      </c>
      <c r="J79" s="77">
        <v>230.03276605875959</v>
      </c>
      <c r="K79" s="103">
        <v>100.47151100000001</v>
      </c>
      <c r="L79" s="77">
        <v>11862</v>
      </c>
      <c r="M79" s="78">
        <v>1191793.0677120129</v>
      </c>
      <c r="N79" s="77"/>
      <c r="O79" s="93"/>
      <c r="P79" s="77" t="s">
        <v>81</v>
      </c>
      <c r="Q79" s="78">
        <v>1191793.0677120129</v>
      </c>
      <c r="R79" s="94">
        <v>1191771.6100000001</v>
      </c>
    </row>
    <row r="80" spans="1:18" x14ac:dyDescent="0.25">
      <c r="A80" s="79" t="s">
        <v>82</v>
      </c>
      <c r="B80" s="77" t="s">
        <v>86</v>
      </c>
      <c r="C80" s="92">
        <v>45943</v>
      </c>
      <c r="D80" s="92">
        <v>45944</v>
      </c>
      <c r="E80" s="77">
        <v>610074</v>
      </c>
      <c r="F80" s="77" t="s">
        <v>83</v>
      </c>
      <c r="G80" s="77" t="s">
        <v>140</v>
      </c>
      <c r="H80" s="77">
        <v>280907</v>
      </c>
      <c r="I80" s="77">
        <v>1</v>
      </c>
      <c r="J80" s="77">
        <v>11.790585210228109</v>
      </c>
      <c r="K80" s="103">
        <v>100.47151100000001</v>
      </c>
      <c r="L80" s="77">
        <v>608</v>
      </c>
      <c r="M80" s="78">
        <v>61086.678904814013</v>
      </c>
      <c r="N80" s="77"/>
      <c r="O80" s="93"/>
      <c r="P80" s="77" t="s">
        <v>81</v>
      </c>
      <c r="Q80" s="78">
        <v>61086.678904814013</v>
      </c>
      <c r="R80" s="94">
        <v>61062.91</v>
      </c>
    </row>
    <row r="81" spans="1:18" x14ac:dyDescent="0.25">
      <c r="A81" s="79" t="s">
        <v>82</v>
      </c>
      <c r="B81" s="77" t="s">
        <v>121</v>
      </c>
      <c r="C81" s="92">
        <v>45943</v>
      </c>
      <c r="D81" s="92">
        <v>45944</v>
      </c>
      <c r="E81" s="77">
        <v>610074</v>
      </c>
      <c r="F81" s="77" t="s">
        <v>83</v>
      </c>
      <c r="G81" s="77" t="s">
        <v>140</v>
      </c>
      <c r="H81" s="77">
        <v>280907</v>
      </c>
      <c r="I81" s="77">
        <v>1</v>
      </c>
      <c r="J81" s="77">
        <v>165.43664873101315</v>
      </c>
      <c r="K81" s="103">
        <v>100.47151100000001</v>
      </c>
      <c r="L81" s="77">
        <v>8531</v>
      </c>
      <c r="M81" s="78">
        <v>857122.46338317171</v>
      </c>
      <c r="N81" s="77"/>
      <c r="O81" s="93"/>
      <c r="P81" s="77" t="s">
        <v>81</v>
      </c>
      <c r="Q81" s="78">
        <v>857122.46338317171</v>
      </c>
      <c r="R81" s="94">
        <v>857187.13</v>
      </c>
    </row>
    <row r="82" spans="1:18" x14ac:dyDescent="0.25">
      <c r="A82" s="66" t="s">
        <v>82</v>
      </c>
      <c r="B82" s="44" t="s">
        <v>85</v>
      </c>
      <c r="C82" s="60">
        <v>45944</v>
      </c>
      <c r="D82" s="60">
        <v>45944</v>
      </c>
      <c r="E82" s="44">
        <v>610752</v>
      </c>
      <c r="F82" s="44" t="s">
        <v>124</v>
      </c>
      <c r="G82" s="44" t="s">
        <v>140</v>
      </c>
      <c r="H82" s="44">
        <v>280907</v>
      </c>
      <c r="I82" s="44">
        <v>1</v>
      </c>
      <c r="J82" s="44">
        <v>6.95</v>
      </c>
      <c r="K82" s="44">
        <v>100.474768</v>
      </c>
      <c r="L82" s="44">
        <v>11861</v>
      </c>
      <c r="M82" s="52">
        <v>1191731.2187295284</v>
      </c>
      <c r="N82" s="44"/>
      <c r="O82" s="44"/>
      <c r="P82" s="44" t="s">
        <v>125</v>
      </c>
      <c r="Q82" s="52">
        <v>1191731.2187295284</v>
      </c>
      <c r="R82" s="70">
        <v>40.39</v>
      </c>
    </row>
    <row r="83" spans="1:18" x14ac:dyDescent="0.25">
      <c r="A83" s="66" t="s">
        <v>82</v>
      </c>
      <c r="B83" s="44" t="s">
        <v>86</v>
      </c>
      <c r="C83" s="60">
        <v>45944</v>
      </c>
      <c r="D83" s="60">
        <v>45944</v>
      </c>
      <c r="E83" s="44">
        <v>610752</v>
      </c>
      <c r="F83" s="44" t="s">
        <v>124</v>
      </c>
      <c r="G83" s="44" t="s">
        <v>140</v>
      </c>
      <c r="H83" s="44">
        <v>280907</v>
      </c>
      <c r="I83" s="44">
        <v>1</v>
      </c>
      <c r="J83" s="44">
        <v>6.95</v>
      </c>
      <c r="K83" s="44">
        <v>100.474768</v>
      </c>
      <c r="L83" s="44">
        <v>608</v>
      </c>
      <c r="M83" s="52">
        <v>61088.658712381184</v>
      </c>
      <c r="N83" s="44"/>
      <c r="O83" s="44"/>
      <c r="P83" s="44" t="s">
        <v>125</v>
      </c>
      <c r="Q83" s="52">
        <v>61088.658712381184</v>
      </c>
      <c r="R83" s="70">
        <v>-25.75</v>
      </c>
    </row>
    <row r="84" spans="1:18" x14ac:dyDescent="0.25">
      <c r="A84" s="66" t="s">
        <v>82</v>
      </c>
      <c r="B84" s="44" t="s">
        <v>121</v>
      </c>
      <c r="C84" s="60">
        <v>45944</v>
      </c>
      <c r="D84" s="60">
        <v>45944</v>
      </c>
      <c r="E84" s="44">
        <v>610752</v>
      </c>
      <c r="F84" s="44" t="s">
        <v>124</v>
      </c>
      <c r="G84" s="44" t="s">
        <v>140</v>
      </c>
      <c r="H84" s="44">
        <v>280907</v>
      </c>
      <c r="I84" s="44">
        <v>1</v>
      </c>
      <c r="J84" s="44">
        <v>6.95</v>
      </c>
      <c r="K84" s="44">
        <v>100.474768</v>
      </c>
      <c r="L84" s="44">
        <v>8531</v>
      </c>
      <c r="M84" s="52">
        <v>857150.2425580984</v>
      </c>
      <c r="N84" s="44"/>
      <c r="O84" s="44"/>
      <c r="P84" s="44" t="s">
        <v>125</v>
      </c>
      <c r="Q84" s="52">
        <v>857150.2425580984</v>
      </c>
      <c r="R84" s="70">
        <v>36.89</v>
      </c>
    </row>
    <row r="85" spans="1:18" x14ac:dyDescent="0.25">
      <c r="A85" s="66" t="s">
        <v>82</v>
      </c>
      <c r="B85" s="44" t="s">
        <v>85</v>
      </c>
      <c r="C85" s="60">
        <v>45944</v>
      </c>
      <c r="D85" s="60">
        <v>45945</v>
      </c>
      <c r="E85" s="44">
        <v>610752</v>
      </c>
      <c r="F85" s="44" t="s">
        <v>83</v>
      </c>
      <c r="G85" s="44" t="s">
        <v>140</v>
      </c>
      <c r="H85" s="44">
        <v>280907</v>
      </c>
      <c r="I85" s="44">
        <v>1</v>
      </c>
      <c r="J85" s="44">
        <v>230.06951142857193</v>
      </c>
      <c r="K85" s="61">
        <v>100.494165</v>
      </c>
      <c r="L85" s="44">
        <v>11861</v>
      </c>
      <c r="M85" s="52">
        <v>1191961.2882409552</v>
      </c>
      <c r="N85" s="44"/>
      <c r="O85" s="59"/>
      <c r="P85" s="44" t="s">
        <v>81</v>
      </c>
      <c r="Q85" s="52">
        <v>1191961.2882409552</v>
      </c>
      <c r="R85" s="71">
        <v>1192001.68</v>
      </c>
    </row>
    <row r="86" spans="1:18" x14ac:dyDescent="0.25">
      <c r="A86" s="66" t="s">
        <v>82</v>
      </c>
      <c r="B86" s="44" t="s">
        <v>86</v>
      </c>
      <c r="C86" s="60">
        <v>45944</v>
      </c>
      <c r="D86" s="60">
        <v>45945</v>
      </c>
      <c r="E86" s="44">
        <v>610752</v>
      </c>
      <c r="F86" s="44" t="s">
        <v>83</v>
      </c>
      <c r="G86" s="44" t="s">
        <v>140</v>
      </c>
      <c r="H86" s="44">
        <v>280907</v>
      </c>
      <c r="I86" s="44">
        <v>1</v>
      </c>
      <c r="J86" s="44">
        <v>11.793462857142883</v>
      </c>
      <c r="K86" s="61">
        <v>100.494165</v>
      </c>
      <c r="L86" s="44">
        <v>608</v>
      </c>
      <c r="M86" s="52">
        <v>61100.452175238242</v>
      </c>
      <c r="N86" s="44"/>
      <c r="O86" s="59"/>
      <c r="P86" s="44" t="s">
        <v>81</v>
      </c>
      <c r="Q86" s="52">
        <v>61100.452175238242</v>
      </c>
      <c r="R86" s="71">
        <v>61074.7</v>
      </c>
    </row>
    <row r="87" spans="1:18" x14ac:dyDescent="0.25">
      <c r="A87" s="66" t="s">
        <v>82</v>
      </c>
      <c r="B87" s="44" t="s">
        <v>121</v>
      </c>
      <c r="C87" s="60">
        <v>45944</v>
      </c>
      <c r="D87" s="60">
        <v>45945</v>
      </c>
      <c r="E87" s="44">
        <v>610752</v>
      </c>
      <c r="F87" s="44" t="s">
        <v>83</v>
      </c>
      <c r="G87" s="44" t="s">
        <v>140</v>
      </c>
      <c r="H87" s="44">
        <v>280907</v>
      </c>
      <c r="I87" s="44">
        <v>1</v>
      </c>
      <c r="J87" s="44">
        <v>165.47702571428607</v>
      </c>
      <c r="K87" s="61">
        <v>100.494165</v>
      </c>
      <c r="L87" s="44">
        <v>8531</v>
      </c>
      <c r="M87" s="52">
        <v>857315.71958381159</v>
      </c>
      <c r="N87" s="44"/>
      <c r="O87" s="59"/>
      <c r="P87" s="44" t="s">
        <v>81</v>
      </c>
      <c r="Q87" s="52">
        <v>857315.71958381159</v>
      </c>
      <c r="R87" s="71">
        <v>857352.61</v>
      </c>
    </row>
    <row r="88" spans="1:18" x14ac:dyDescent="0.25">
      <c r="A88" s="66" t="s">
        <v>82</v>
      </c>
      <c r="B88" s="44" t="s">
        <v>85</v>
      </c>
      <c r="C88" s="60">
        <v>45945</v>
      </c>
      <c r="D88" s="60">
        <v>45945</v>
      </c>
      <c r="E88" s="44">
        <v>612112</v>
      </c>
      <c r="F88" s="44" t="s">
        <v>124</v>
      </c>
      <c r="G88" s="44" t="s">
        <v>140</v>
      </c>
      <c r="H88" s="44">
        <v>280907</v>
      </c>
      <c r="I88" s="44">
        <v>1</v>
      </c>
      <c r="J88" s="44">
        <v>6.95</v>
      </c>
      <c r="K88" s="61">
        <v>100.48779999999999</v>
      </c>
      <c r="L88" s="44">
        <v>11888</v>
      </c>
      <c r="M88" s="52">
        <v>1194598.961773226</v>
      </c>
      <c r="N88" s="44"/>
      <c r="O88" s="59"/>
      <c r="P88" s="44" t="s">
        <v>125</v>
      </c>
      <c r="Q88" s="52">
        <v>1194598.961773226</v>
      </c>
      <c r="R88" s="71">
        <v>-2597.2800000000002</v>
      </c>
    </row>
    <row r="89" spans="1:18" x14ac:dyDescent="0.25">
      <c r="A89" s="66" t="s">
        <v>82</v>
      </c>
      <c r="B89" s="44" t="s">
        <v>86</v>
      </c>
      <c r="C89" s="60">
        <v>45945</v>
      </c>
      <c r="D89" s="60">
        <v>45945</v>
      </c>
      <c r="E89" s="44">
        <v>612112</v>
      </c>
      <c r="F89" s="44" t="s">
        <v>124</v>
      </c>
      <c r="G89" s="44" t="s">
        <v>140</v>
      </c>
      <c r="H89" s="44">
        <v>280907</v>
      </c>
      <c r="I89" s="44">
        <v>1</v>
      </c>
      <c r="J89" s="44">
        <v>6.95</v>
      </c>
      <c r="K89" s="61">
        <v>100.48779999999999</v>
      </c>
      <c r="L89" s="44">
        <v>608</v>
      </c>
      <c r="M89" s="52">
        <v>61096.582163368221</v>
      </c>
      <c r="N89" s="44"/>
      <c r="O89" s="59"/>
      <c r="P89" s="44" t="s">
        <v>125</v>
      </c>
      <c r="Q89" s="52">
        <v>61096.582163368221</v>
      </c>
      <c r="R89" s="71">
        <v>-22.01</v>
      </c>
    </row>
    <row r="90" spans="1:18" x14ac:dyDescent="0.25">
      <c r="A90" s="66" t="s">
        <v>82</v>
      </c>
      <c r="B90" s="44" t="s">
        <v>121</v>
      </c>
      <c r="C90" s="60">
        <v>45945</v>
      </c>
      <c r="D90" s="60">
        <v>45945</v>
      </c>
      <c r="E90" s="44">
        <v>612112</v>
      </c>
      <c r="F90" s="44" t="s">
        <v>124</v>
      </c>
      <c r="G90" s="44" t="s">
        <v>140</v>
      </c>
      <c r="H90" s="44">
        <v>280907</v>
      </c>
      <c r="I90" s="44">
        <v>1</v>
      </c>
      <c r="J90" s="44">
        <v>6.95</v>
      </c>
      <c r="K90" s="61">
        <v>100.48779999999999</v>
      </c>
      <c r="L90" s="44">
        <v>8573</v>
      </c>
      <c r="M90" s="52">
        <v>861481.90606341418</v>
      </c>
      <c r="N90" s="44"/>
      <c r="O90" s="59"/>
      <c r="P90" s="44" t="s">
        <v>125</v>
      </c>
      <c r="Q90" s="52">
        <v>861481.90606341418</v>
      </c>
      <c r="R90" s="71">
        <v>-4129.3</v>
      </c>
    </row>
    <row r="91" spans="1:18" x14ac:dyDescent="0.25">
      <c r="A91" s="66" t="s">
        <v>80</v>
      </c>
      <c r="B91" s="44" t="s">
        <v>85</v>
      </c>
      <c r="C91" s="60">
        <v>45945</v>
      </c>
      <c r="D91" s="60">
        <v>45945</v>
      </c>
      <c r="E91" s="44">
        <v>855982</v>
      </c>
      <c r="F91" s="44" t="s">
        <v>148</v>
      </c>
      <c r="G91" s="44" t="s">
        <v>115</v>
      </c>
      <c r="H91" s="44" t="s">
        <v>94</v>
      </c>
      <c r="I91" s="44"/>
      <c r="J91" s="44"/>
      <c r="K91" s="61"/>
      <c r="L91" s="44"/>
      <c r="M91" s="52">
        <v>2625.73</v>
      </c>
      <c r="N91" s="44"/>
      <c r="O91" s="59"/>
      <c r="P91" s="44" t="s">
        <v>81</v>
      </c>
      <c r="Q91" s="52">
        <v>2625.73</v>
      </c>
      <c r="R91" s="70">
        <v>28.62</v>
      </c>
    </row>
    <row r="92" spans="1:18" x14ac:dyDescent="0.25">
      <c r="A92" s="66" t="s">
        <v>80</v>
      </c>
      <c r="B92" s="44" t="s">
        <v>121</v>
      </c>
      <c r="C92" s="60">
        <v>45945</v>
      </c>
      <c r="D92" s="60">
        <v>45945</v>
      </c>
      <c r="E92" s="44">
        <v>855982</v>
      </c>
      <c r="F92" s="44" t="s">
        <v>148</v>
      </c>
      <c r="G92" s="44" t="s">
        <v>115</v>
      </c>
      <c r="H92" s="44" t="s">
        <v>94</v>
      </c>
      <c r="I92" s="44"/>
      <c r="J92" s="44"/>
      <c r="K92" s="61"/>
      <c r="L92" s="44"/>
      <c r="M92" s="52">
        <v>4126.1419999999998</v>
      </c>
      <c r="N92" s="44"/>
      <c r="O92" s="59"/>
      <c r="P92" s="44" t="s">
        <v>81</v>
      </c>
      <c r="Q92" s="52">
        <v>4126.1419999999998</v>
      </c>
      <c r="R92" s="70">
        <v>-3.18</v>
      </c>
    </row>
    <row r="93" spans="1:18" x14ac:dyDescent="0.25">
      <c r="A93" s="66" t="s">
        <v>82</v>
      </c>
      <c r="B93" s="44" t="s">
        <v>85</v>
      </c>
      <c r="C93" s="60">
        <v>45945</v>
      </c>
      <c r="D93" s="60">
        <v>45946</v>
      </c>
      <c r="E93" s="44">
        <v>612112</v>
      </c>
      <c r="F93" s="44" t="s">
        <v>83</v>
      </c>
      <c r="G93" s="44" t="s">
        <v>140</v>
      </c>
      <c r="H93" s="44">
        <v>280907</v>
      </c>
      <c r="I93" s="44">
        <v>1</v>
      </c>
      <c r="J93" s="44">
        <v>230.62234752479947</v>
      </c>
      <c r="K93" s="61">
        <v>100.507199</v>
      </c>
      <c r="L93" s="44">
        <v>11888</v>
      </c>
      <c r="M93" s="52">
        <v>1194829.5841207465</v>
      </c>
      <c r="N93" s="44"/>
      <c r="O93" s="59"/>
      <c r="P93" s="44" t="s">
        <v>81</v>
      </c>
      <c r="Q93" s="52">
        <v>1194829.5841207465</v>
      </c>
      <c r="R93" s="71">
        <v>1194858.2</v>
      </c>
    </row>
    <row r="94" spans="1:18" x14ac:dyDescent="0.25">
      <c r="A94" s="66" t="s">
        <v>82</v>
      </c>
      <c r="B94" s="44" t="s">
        <v>86</v>
      </c>
      <c r="C94" s="60">
        <v>45945</v>
      </c>
      <c r="D94" s="60">
        <v>45946</v>
      </c>
      <c r="E94" s="44">
        <v>612112</v>
      </c>
      <c r="F94" s="44" t="s">
        <v>83</v>
      </c>
      <c r="G94" s="44" t="s">
        <v>140</v>
      </c>
      <c r="H94" s="44">
        <v>280907</v>
      </c>
      <c r="I94" s="44">
        <v>1</v>
      </c>
      <c r="J94" s="44">
        <v>11.794951824956096</v>
      </c>
      <c r="K94" s="61">
        <v>100.507199</v>
      </c>
      <c r="L94" s="44">
        <v>608</v>
      </c>
      <c r="M94" s="52">
        <v>61108.377115192961</v>
      </c>
      <c r="N94" s="44"/>
      <c r="O94" s="59"/>
      <c r="P94" s="44" t="s">
        <v>81</v>
      </c>
      <c r="Q94" s="52">
        <v>61108.377115192961</v>
      </c>
      <c r="R94" s="71">
        <v>61086.37</v>
      </c>
    </row>
    <row r="95" spans="1:18" x14ac:dyDescent="0.25">
      <c r="A95" s="66" t="s">
        <v>82</v>
      </c>
      <c r="B95" s="44" t="s">
        <v>121</v>
      </c>
      <c r="C95" s="60">
        <v>45945</v>
      </c>
      <c r="D95" s="60">
        <v>45946</v>
      </c>
      <c r="E95" s="44">
        <v>612112</v>
      </c>
      <c r="F95" s="44" t="s">
        <v>83</v>
      </c>
      <c r="G95" s="44" t="s">
        <v>140</v>
      </c>
      <c r="H95" s="44">
        <v>280907</v>
      </c>
      <c r="I95" s="44">
        <v>1</v>
      </c>
      <c r="J95" s="44">
        <v>166.31270065024441</v>
      </c>
      <c r="K95" s="61">
        <v>100.507199</v>
      </c>
      <c r="L95" s="44">
        <v>8573</v>
      </c>
      <c r="M95" s="52">
        <v>861648.21876406122</v>
      </c>
      <c r="N95" s="44"/>
      <c r="O95" s="59"/>
      <c r="P95" s="44" t="s">
        <v>81</v>
      </c>
      <c r="Q95" s="52">
        <v>861648.21876406122</v>
      </c>
      <c r="R95" s="71">
        <v>861645.04</v>
      </c>
    </row>
    <row r="96" spans="1:18" x14ac:dyDescent="0.25">
      <c r="A96" s="66" t="s">
        <v>80</v>
      </c>
      <c r="B96" s="44" t="s">
        <v>85</v>
      </c>
      <c r="C96" s="60">
        <v>45946</v>
      </c>
      <c r="D96" s="60">
        <v>45946</v>
      </c>
      <c r="E96" s="44">
        <v>613335</v>
      </c>
      <c r="F96" s="44" t="s">
        <v>153</v>
      </c>
      <c r="G96" s="44" t="s">
        <v>154</v>
      </c>
      <c r="H96" s="44" t="s">
        <v>154</v>
      </c>
      <c r="I96" s="44"/>
      <c r="J96" s="44"/>
      <c r="K96" s="61"/>
      <c r="L96" s="44"/>
      <c r="M96" s="52">
        <v>21824.34</v>
      </c>
      <c r="N96" s="44"/>
      <c r="O96" s="59">
        <v>3491.89</v>
      </c>
      <c r="P96" s="44" t="s">
        <v>125</v>
      </c>
      <c r="Q96" s="52">
        <v>25316.23</v>
      </c>
      <c r="R96" s="71">
        <v>1169541.96</v>
      </c>
    </row>
    <row r="97" spans="1:18" x14ac:dyDescent="0.25">
      <c r="A97" s="66" t="s">
        <v>80</v>
      </c>
      <c r="B97" s="44" t="s">
        <v>86</v>
      </c>
      <c r="C97" s="60">
        <v>45946</v>
      </c>
      <c r="D97" s="60">
        <v>45946</v>
      </c>
      <c r="E97" s="44">
        <v>613335</v>
      </c>
      <c r="F97" s="44" t="s">
        <v>153</v>
      </c>
      <c r="G97" s="44" t="s">
        <v>154</v>
      </c>
      <c r="H97" s="44" t="s">
        <v>154</v>
      </c>
      <c r="I97" s="44"/>
      <c r="J97" s="44"/>
      <c r="K97" s="61"/>
      <c r="L97" s="44"/>
      <c r="M97" s="52">
        <v>82.2</v>
      </c>
      <c r="N97" s="44"/>
      <c r="O97" s="59">
        <v>13.15</v>
      </c>
      <c r="P97" s="44" t="s">
        <v>125</v>
      </c>
      <c r="Q97" s="52">
        <v>95.35</v>
      </c>
      <c r="R97" s="71">
        <v>60991.02</v>
      </c>
    </row>
    <row r="98" spans="1:18" x14ac:dyDescent="0.25">
      <c r="A98" s="66" t="s">
        <v>80</v>
      </c>
      <c r="B98" s="44" t="s">
        <v>121</v>
      </c>
      <c r="C98" s="60">
        <v>45946</v>
      </c>
      <c r="D98" s="60">
        <v>45946</v>
      </c>
      <c r="E98" s="44">
        <v>613335</v>
      </c>
      <c r="F98" s="44" t="s">
        <v>153</v>
      </c>
      <c r="G98" s="44" t="s">
        <v>154</v>
      </c>
      <c r="H98" s="44" t="s">
        <v>154</v>
      </c>
      <c r="I98" s="44"/>
      <c r="J98" s="44"/>
      <c r="K98" s="61"/>
      <c r="L98" s="44"/>
      <c r="M98" s="52">
        <v>18297.150399999999</v>
      </c>
      <c r="N98" s="44"/>
      <c r="O98" s="59">
        <v>2927.54</v>
      </c>
      <c r="P98" s="44" t="s">
        <v>125</v>
      </c>
      <c r="Q98" s="52">
        <v>21224.69</v>
      </c>
      <c r="R98" s="71">
        <v>840420.35</v>
      </c>
    </row>
    <row r="99" spans="1:18" x14ac:dyDescent="0.25">
      <c r="A99" s="66" t="s">
        <v>82</v>
      </c>
      <c r="B99" s="44" t="s">
        <v>85</v>
      </c>
      <c r="C99" s="60">
        <v>45946</v>
      </c>
      <c r="D99" s="60">
        <v>45946</v>
      </c>
      <c r="E99" s="44">
        <v>613345</v>
      </c>
      <c r="F99" s="44" t="s">
        <v>124</v>
      </c>
      <c r="G99" s="44" t="s">
        <v>140</v>
      </c>
      <c r="H99" s="44">
        <v>280907</v>
      </c>
      <c r="I99" s="44">
        <v>1</v>
      </c>
      <c r="J99" s="44">
        <v>6.95</v>
      </c>
      <c r="K99" s="61">
        <v>100.508911</v>
      </c>
      <c r="L99" s="44">
        <v>11636</v>
      </c>
      <c r="M99" s="52">
        <v>1169521.6871287117</v>
      </c>
      <c r="N99" s="44"/>
      <c r="O99" s="59"/>
      <c r="P99" s="44" t="s">
        <v>125</v>
      </c>
      <c r="Q99" s="52">
        <v>1169521.6871287117</v>
      </c>
      <c r="R99" s="70">
        <v>20.27</v>
      </c>
    </row>
    <row r="100" spans="1:18" x14ac:dyDescent="0.25">
      <c r="A100" s="66" t="s">
        <v>82</v>
      </c>
      <c r="B100" s="44" t="s">
        <v>86</v>
      </c>
      <c r="C100" s="60">
        <v>45946</v>
      </c>
      <c r="D100" s="60">
        <v>45946</v>
      </c>
      <c r="E100" s="44">
        <v>613345</v>
      </c>
      <c r="F100" s="44" t="s">
        <v>124</v>
      </c>
      <c r="G100" s="44" t="s">
        <v>140</v>
      </c>
      <c r="H100" s="44">
        <v>280907</v>
      </c>
      <c r="I100" s="44">
        <v>1</v>
      </c>
      <c r="J100" s="44">
        <v>6.95</v>
      </c>
      <c r="K100" s="61">
        <v>100.508911</v>
      </c>
      <c r="L100" s="44">
        <v>607</v>
      </c>
      <c r="M100" s="52">
        <v>61008.908910891027</v>
      </c>
      <c r="N100" s="44"/>
      <c r="O100" s="59"/>
      <c r="P100" s="44" t="s">
        <v>125</v>
      </c>
      <c r="Q100" s="52">
        <v>61008.908910891027</v>
      </c>
      <c r="R100" s="70">
        <v>-17.89</v>
      </c>
    </row>
    <row r="101" spans="1:18" x14ac:dyDescent="0.25">
      <c r="A101" s="66" t="s">
        <v>82</v>
      </c>
      <c r="B101" s="44" t="s">
        <v>121</v>
      </c>
      <c r="C101" s="60">
        <v>45946</v>
      </c>
      <c r="D101" s="60">
        <v>45946</v>
      </c>
      <c r="E101" s="44">
        <v>613345</v>
      </c>
      <c r="F101" s="44" t="s">
        <v>124</v>
      </c>
      <c r="G101" s="44" t="s">
        <v>140</v>
      </c>
      <c r="H101" s="44">
        <v>280907</v>
      </c>
      <c r="I101" s="44">
        <v>1</v>
      </c>
      <c r="J101" s="44">
        <v>6.95</v>
      </c>
      <c r="K101" s="61">
        <v>100.508911</v>
      </c>
      <c r="L101" s="44">
        <v>8361</v>
      </c>
      <c r="M101" s="52">
        <v>840355.00396039512</v>
      </c>
      <c r="N101" s="44"/>
      <c r="O101" s="59"/>
      <c r="P101" s="44" t="s">
        <v>125</v>
      </c>
      <c r="Q101" s="52">
        <v>840355.00396039512</v>
      </c>
      <c r="R101" s="70">
        <v>65.349999999999994</v>
      </c>
    </row>
    <row r="102" spans="1:18" x14ac:dyDescent="0.25">
      <c r="A102" s="66" t="s">
        <v>82</v>
      </c>
      <c r="B102" s="44" t="s">
        <v>85</v>
      </c>
      <c r="C102" s="60">
        <v>45946</v>
      </c>
      <c r="D102" s="60">
        <v>45947</v>
      </c>
      <c r="E102" s="44">
        <v>613345</v>
      </c>
      <c r="F102" s="44" t="s">
        <v>83</v>
      </c>
      <c r="G102" s="44" t="s">
        <v>140</v>
      </c>
      <c r="H102" s="44">
        <v>280907</v>
      </c>
      <c r="I102" s="44">
        <v>1</v>
      </c>
      <c r="J102" s="44">
        <v>225.77928751698647</v>
      </c>
      <c r="K102" s="61">
        <v>100.52831399999999</v>
      </c>
      <c r="L102" s="44">
        <v>11636</v>
      </c>
      <c r="M102" s="52">
        <v>1169747.4664162309</v>
      </c>
      <c r="N102" s="44"/>
      <c r="O102" s="59"/>
      <c r="P102" s="44" t="s">
        <v>81</v>
      </c>
      <c r="Q102" s="52">
        <v>1169747.4664162309</v>
      </c>
      <c r="R102" s="71">
        <v>1169767.74</v>
      </c>
    </row>
    <row r="103" spans="1:18" x14ac:dyDescent="0.25">
      <c r="A103" s="66" t="s">
        <v>82</v>
      </c>
      <c r="B103" s="44" t="s">
        <v>86</v>
      </c>
      <c r="C103" s="60">
        <v>45946</v>
      </c>
      <c r="D103" s="60">
        <v>45947</v>
      </c>
      <c r="E103" s="44">
        <v>613345</v>
      </c>
      <c r="F103" s="44" t="s">
        <v>83</v>
      </c>
      <c r="G103" s="44" t="s">
        <v>140</v>
      </c>
      <c r="H103" s="44">
        <v>280907</v>
      </c>
      <c r="I103" s="44">
        <v>1</v>
      </c>
      <c r="J103" s="44">
        <v>11.777932925645478</v>
      </c>
      <c r="K103" s="61">
        <v>100.52831399999999</v>
      </c>
      <c r="L103" s="44">
        <v>607</v>
      </c>
      <c r="M103" s="52">
        <v>61020.686843816788</v>
      </c>
      <c r="N103" s="44"/>
      <c r="O103" s="59"/>
      <c r="P103" s="44" t="s">
        <v>81</v>
      </c>
      <c r="Q103" s="52">
        <v>61020.686843816788</v>
      </c>
      <c r="R103" s="71">
        <v>61002.8</v>
      </c>
    </row>
    <row r="104" spans="1:18" x14ac:dyDescent="0.25">
      <c r="A104" s="66" t="s">
        <v>82</v>
      </c>
      <c r="B104" s="44" t="s">
        <v>121</v>
      </c>
      <c r="C104" s="60">
        <v>45946</v>
      </c>
      <c r="D104" s="60">
        <v>45947</v>
      </c>
      <c r="E104" s="44">
        <v>613345</v>
      </c>
      <c r="F104" s="44" t="s">
        <v>83</v>
      </c>
      <c r="G104" s="44" t="s">
        <v>140</v>
      </c>
      <c r="H104" s="44">
        <v>280907</v>
      </c>
      <c r="I104" s="44">
        <v>1</v>
      </c>
      <c r="J104" s="44">
        <v>162.23277955736711</v>
      </c>
      <c r="K104" s="61">
        <v>100.52831399999999</v>
      </c>
      <c r="L104" s="44">
        <v>8361</v>
      </c>
      <c r="M104" s="52">
        <v>840517.23673995421</v>
      </c>
      <c r="N104" s="44"/>
      <c r="O104" s="59"/>
      <c r="P104" s="44" t="s">
        <v>81</v>
      </c>
      <c r="Q104" s="52">
        <v>840517.23673995421</v>
      </c>
      <c r="R104" s="71">
        <v>840582.59</v>
      </c>
    </row>
    <row r="105" spans="1:18" x14ac:dyDescent="0.25">
      <c r="A105" s="66" t="s">
        <v>82</v>
      </c>
      <c r="B105" s="44" t="s">
        <v>85</v>
      </c>
      <c r="C105" s="60">
        <v>45947</v>
      </c>
      <c r="D105" s="60">
        <v>45947</v>
      </c>
      <c r="E105" s="44">
        <v>614666</v>
      </c>
      <c r="F105" s="44" t="s">
        <v>124</v>
      </c>
      <c r="G105" s="44" t="s">
        <v>140</v>
      </c>
      <c r="H105" s="44">
        <v>280907</v>
      </c>
      <c r="I105" s="44">
        <v>3</v>
      </c>
      <c r="J105" s="44">
        <v>6.95</v>
      </c>
      <c r="K105" s="61">
        <v>100.504008</v>
      </c>
      <c r="L105" s="44">
        <v>11725</v>
      </c>
      <c r="M105" s="52">
        <v>1178409.4936375502</v>
      </c>
      <c r="N105" s="44"/>
      <c r="O105" s="59"/>
      <c r="P105" s="44" t="s">
        <v>125</v>
      </c>
      <c r="Q105" s="52">
        <v>1178409.4936375502</v>
      </c>
      <c r="R105" s="71">
        <v>-8641.75</v>
      </c>
    </row>
    <row r="106" spans="1:18" x14ac:dyDescent="0.25">
      <c r="A106" s="66" t="s">
        <v>82</v>
      </c>
      <c r="B106" s="44" t="s">
        <v>86</v>
      </c>
      <c r="C106" s="60">
        <v>45947</v>
      </c>
      <c r="D106" s="60">
        <v>45947</v>
      </c>
      <c r="E106" s="44">
        <v>614666</v>
      </c>
      <c r="F106" s="44" t="s">
        <v>124</v>
      </c>
      <c r="G106" s="44" t="s">
        <v>140</v>
      </c>
      <c r="H106" s="44">
        <v>280907</v>
      </c>
      <c r="I106" s="44">
        <v>3</v>
      </c>
      <c r="J106" s="44">
        <v>6.95</v>
      </c>
      <c r="K106" s="61">
        <v>100.504008</v>
      </c>
      <c r="L106" s="44">
        <v>607</v>
      </c>
      <c r="M106" s="52">
        <v>61005.932847590018</v>
      </c>
      <c r="N106" s="44"/>
      <c r="O106" s="59"/>
      <c r="P106" s="44" t="s">
        <v>125</v>
      </c>
      <c r="Q106" s="52">
        <v>61005.932847590018</v>
      </c>
      <c r="R106" s="71">
        <v>-3.13</v>
      </c>
    </row>
    <row r="107" spans="1:18" x14ac:dyDescent="0.25">
      <c r="A107" s="66" t="s">
        <v>82</v>
      </c>
      <c r="B107" s="44" t="s">
        <v>121</v>
      </c>
      <c r="C107" s="60">
        <v>45947</v>
      </c>
      <c r="D107" s="60">
        <v>45947</v>
      </c>
      <c r="E107" s="44">
        <v>614666</v>
      </c>
      <c r="F107" s="44" t="s">
        <v>124</v>
      </c>
      <c r="G107" s="44" t="s">
        <v>140</v>
      </c>
      <c r="H107" s="44">
        <v>280907</v>
      </c>
      <c r="I107" s="44">
        <v>3</v>
      </c>
      <c r="J107" s="44">
        <v>6.95</v>
      </c>
      <c r="K107" s="61">
        <v>100.504008</v>
      </c>
      <c r="L107" s="44">
        <v>8454</v>
      </c>
      <c r="M107" s="52">
        <v>849660.88351486984</v>
      </c>
      <c r="N107" s="44"/>
      <c r="O107" s="59"/>
      <c r="P107" s="44" t="s">
        <v>125</v>
      </c>
      <c r="Q107" s="52">
        <v>849660.88351486984</v>
      </c>
      <c r="R107" s="71">
        <v>-9078.2900000000009</v>
      </c>
    </row>
    <row r="108" spans="1:18" x14ac:dyDescent="0.25">
      <c r="A108" s="66" t="s">
        <v>80</v>
      </c>
      <c r="B108" s="44" t="s">
        <v>85</v>
      </c>
      <c r="C108" s="60">
        <v>45947</v>
      </c>
      <c r="D108" s="60">
        <v>45947</v>
      </c>
      <c r="E108" s="44">
        <v>856026</v>
      </c>
      <c r="F108" s="44" t="s">
        <v>148</v>
      </c>
      <c r="G108" s="44" t="s">
        <v>101</v>
      </c>
      <c r="H108" s="44" t="s">
        <v>102</v>
      </c>
      <c r="I108" s="44"/>
      <c r="J108" s="44"/>
      <c r="K108" s="61"/>
      <c r="L108" s="44"/>
      <c r="M108" s="52">
        <v>8722.7800000000007</v>
      </c>
      <c r="N108" s="44"/>
      <c r="O108" s="59"/>
      <c r="P108" s="44" t="s">
        <v>81</v>
      </c>
      <c r="Q108" s="52">
        <v>8722.7800000000007</v>
      </c>
      <c r="R108" s="70">
        <v>81.010000000000005</v>
      </c>
    </row>
    <row r="109" spans="1:18" x14ac:dyDescent="0.25">
      <c r="A109" s="66" t="s">
        <v>80</v>
      </c>
      <c r="B109" s="44" t="s">
        <v>121</v>
      </c>
      <c r="C109" s="60">
        <v>45947</v>
      </c>
      <c r="D109" s="60">
        <v>45947</v>
      </c>
      <c r="E109" s="44">
        <v>856026</v>
      </c>
      <c r="F109" s="44" t="s">
        <v>148</v>
      </c>
      <c r="G109" s="44" t="s">
        <v>101</v>
      </c>
      <c r="H109" s="44" t="s">
        <v>102</v>
      </c>
      <c r="I109" s="44"/>
      <c r="J109" s="44"/>
      <c r="K109" s="61"/>
      <c r="L109" s="44"/>
      <c r="M109" s="52">
        <v>9090.0575000000008</v>
      </c>
      <c r="N109" s="44"/>
      <c r="O109" s="59"/>
      <c r="P109" s="44" t="s">
        <v>81</v>
      </c>
      <c r="Q109" s="52">
        <v>9090.0575000000008</v>
      </c>
      <c r="R109" s="70">
        <v>11.77</v>
      </c>
    </row>
    <row r="110" spans="1:18" x14ac:dyDescent="0.25">
      <c r="A110" s="66"/>
      <c r="B110" s="44" t="s">
        <v>85</v>
      </c>
      <c r="C110" s="60">
        <v>45947</v>
      </c>
      <c r="D110" s="60">
        <v>45950</v>
      </c>
      <c r="E110" s="44">
        <v>149</v>
      </c>
      <c r="F110" s="44" t="s">
        <v>164</v>
      </c>
      <c r="G110" s="44" t="s">
        <v>152</v>
      </c>
      <c r="H110" s="44" t="s">
        <v>94</v>
      </c>
      <c r="I110" s="44"/>
      <c r="J110" s="44"/>
      <c r="K110" s="61">
        <v>442</v>
      </c>
      <c r="L110" s="44">
        <v>80</v>
      </c>
      <c r="M110" s="52">
        <v>35360</v>
      </c>
      <c r="N110" s="44"/>
      <c r="O110" s="59"/>
      <c r="P110" s="44" t="s">
        <v>125</v>
      </c>
      <c r="Q110" s="52">
        <v>35360</v>
      </c>
      <c r="R110" s="71">
        <v>-35278.99</v>
      </c>
    </row>
    <row r="111" spans="1:18" x14ac:dyDescent="0.25">
      <c r="A111" s="66"/>
      <c r="B111" s="44" t="s">
        <v>85</v>
      </c>
      <c r="C111" s="60">
        <v>45947</v>
      </c>
      <c r="D111" s="60">
        <v>45950</v>
      </c>
      <c r="E111" s="44">
        <v>149</v>
      </c>
      <c r="F111" s="44" t="s">
        <v>165</v>
      </c>
      <c r="G111" s="44" t="s">
        <v>152</v>
      </c>
      <c r="H111" s="44" t="s">
        <v>94</v>
      </c>
      <c r="I111" s="44"/>
      <c r="J111" s="44"/>
      <c r="K111" s="61"/>
      <c r="L111" s="44"/>
      <c r="M111" s="44">
        <v>31.824000000000002</v>
      </c>
      <c r="N111" s="113">
        <v>8.9999999999999998E-4</v>
      </c>
      <c r="O111" s="59">
        <v>5.0918400000000004</v>
      </c>
      <c r="P111" s="44" t="s">
        <v>125</v>
      </c>
      <c r="Q111" s="44">
        <v>36.915840000000003</v>
      </c>
      <c r="R111" s="71">
        <v>-35315.905839999999</v>
      </c>
    </row>
    <row r="112" spans="1:18" x14ac:dyDescent="0.25">
      <c r="A112" s="66"/>
      <c r="B112" s="44" t="s">
        <v>121</v>
      </c>
      <c r="C112" s="60">
        <v>45947</v>
      </c>
      <c r="D112" s="60">
        <v>45950</v>
      </c>
      <c r="E112" s="44">
        <v>149</v>
      </c>
      <c r="F112" s="44" t="s">
        <v>164</v>
      </c>
      <c r="G112" s="44" t="s">
        <v>152</v>
      </c>
      <c r="H112" s="44" t="s">
        <v>94</v>
      </c>
      <c r="I112" s="44"/>
      <c r="J112" s="44"/>
      <c r="K112" s="61">
        <v>442</v>
      </c>
      <c r="L112" s="44">
        <v>54</v>
      </c>
      <c r="M112" s="52">
        <v>23868</v>
      </c>
      <c r="N112" s="44"/>
      <c r="O112" s="59"/>
      <c r="P112" s="44" t="s">
        <v>125</v>
      </c>
      <c r="Q112" s="52">
        <v>23868</v>
      </c>
      <c r="R112" s="71">
        <v>-23856.23</v>
      </c>
    </row>
    <row r="113" spans="1:18" x14ac:dyDescent="0.25">
      <c r="A113" s="66"/>
      <c r="B113" s="44" t="s">
        <v>121</v>
      </c>
      <c r="C113" s="60">
        <v>45947</v>
      </c>
      <c r="D113" s="60">
        <v>45950</v>
      </c>
      <c r="E113" s="44">
        <v>149</v>
      </c>
      <c r="F113" s="44" t="s">
        <v>165</v>
      </c>
      <c r="G113" s="44" t="s">
        <v>152</v>
      </c>
      <c r="H113" s="44" t="s">
        <v>94</v>
      </c>
      <c r="I113" s="44"/>
      <c r="J113" s="44"/>
      <c r="K113" s="61"/>
      <c r="L113" s="44"/>
      <c r="M113" s="44">
        <v>21.481200000000001</v>
      </c>
      <c r="N113" s="113">
        <v>8.9999999999999998E-4</v>
      </c>
      <c r="O113" s="59">
        <v>3.436992</v>
      </c>
      <c r="P113" s="44" t="s">
        <v>125</v>
      </c>
      <c r="Q113" s="44">
        <v>24.918192000000001</v>
      </c>
      <c r="R113" s="71">
        <v>-23881.148192000001</v>
      </c>
    </row>
    <row r="114" spans="1:18" x14ac:dyDescent="0.25">
      <c r="A114" s="66"/>
      <c r="B114" s="44" t="s">
        <v>85</v>
      </c>
      <c r="C114" s="60">
        <v>45947</v>
      </c>
      <c r="D114" s="60">
        <v>45950</v>
      </c>
      <c r="E114" s="44">
        <v>150</v>
      </c>
      <c r="F114" s="44" t="s">
        <v>164</v>
      </c>
      <c r="G114" s="44" t="s">
        <v>146</v>
      </c>
      <c r="H114" s="44">
        <v>12</v>
      </c>
      <c r="I114" s="44"/>
      <c r="J114" s="44"/>
      <c r="K114" s="61">
        <v>8.24</v>
      </c>
      <c r="L114" s="44">
        <v>41</v>
      </c>
      <c r="M114" s="44">
        <v>337.84</v>
      </c>
      <c r="N114" s="44"/>
      <c r="O114" s="59"/>
      <c r="P114" s="44" t="s">
        <v>125</v>
      </c>
      <c r="Q114" s="44">
        <v>337.84</v>
      </c>
      <c r="R114" s="71">
        <v>-35653.745839999996</v>
      </c>
    </row>
    <row r="115" spans="1:18" x14ac:dyDescent="0.25">
      <c r="A115" s="66"/>
      <c r="B115" s="44" t="s">
        <v>85</v>
      </c>
      <c r="C115" s="60">
        <v>45947</v>
      </c>
      <c r="D115" s="60">
        <v>45950</v>
      </c>
      <c r="E115" s="44">
        <v>150</v>
      </c>
      <c r="F115" s="44" t="s">
        <v>165</v>
      </c>
      <c r="G115" s="44" t="s">
        <v>146</v>
      </c>
      <c r="H115" s="44">
        <v>12</v>
      </c>
      <c r="I115" s="44"/>
      <c r="J115" s="44"/>
      <c r="K115" s="61"/>
      <c r="L115" s="44"/>
      <c r="M115" s="44">
        <v>0.30405599999999999</v>
      </c>
      <c r="N115" s="113">
        <v>8.9999999999999998E-4</v>
      </c>
      <c r="O115" s="59">
        <v>4.8647999999999997E-2</v>
      </c>
      <c r="P115" s="44" t="s">
        <v>125</v>
      </c>
      <c r="Q115" s="44">
        <v>0.35270400000000002</v>
      </c>
      <c r="R115" s="71">
        <v>-35654.098543999993</v>
      </c>
    </row>
    <row r="116" spans="1:18" x14ac:dyDescent="0.25">
      <c r="A116" s="66"/>
      <c r="B116" s="44" t="s">
        <v>85</v>
      </c>
      <c r="C116" s="60">
        <v>45947</v>
      </c>
      <c r="D116" s="60">
        <v>45950</v>
      </c>
      <c r="E116" s="44">
        <v>150</v>
      </c>
      <c r="F116" s="44" t="s">
        <v>164</v>
      </c>
      <c r="G116" s="44" t="s">
        <v>146</v>
      </c>
      <c r="H116" s="44">
        <v>12</v>
      </c>
      <c r="I116" s="44"/>
      <c r="J116" s="44"/>
      <c r="K116" s="61">
        <v>8.24</v>
      </c>
      <c r="L116" s="44">
        <v>1568</v>
      </c>
      <c r="M116" s="52">
        <v>12920.32</v>
      </c>
      <c r="N116" s="44"/>
      <c r="O116" s="59"/>
      <c r="P116" s="44" t="s">
        <v>125</v>
      </c>
      <c r="Q116" s="52">
        <v>12920.32</v>
      </c>
      <c r="R116" s="71">
        <v>-48574.418543999993</v>
      </c>
    </row>
    <row r="117" spans="1:18" x14ac:dyDescent="0.25">
      <c r="A117" s="66"/>
      <c r="B117" s="44" t="s">
        <v>85</v>
      </c>
      <c r="C117" s="60">
        <v>45947</v>
      </c>
      <c r="D117" s="60">
        <v>45950</v>
      </c>
      <c r="E117" s="44">
        <v>150</v>
      </c>
      <c r="F117" s="44" t="s">
        <v>165</v>
      </c>
      <c r="G117" s="44" t="s">
        <v>146</v>
      </c>
      <c r="H117" s="44">
        <v>12</v>
      </c>
      <c r="I117" s="44"/>
      <c r="J117" s="44"/>
      <c r="K117" s="61"/>
      <c r="L117" s="44"/>
      <c r="M117" s="44">
        <v>11.628288</v>
      </c>
      <c r="N117" s="113">
        <v>8.9999999999999998E-4</v>
      </c>
      <c r="O117" s="59">
        <v>1.8605259999999999</v>
      </c>
      <c r="P117" s="44" t="s">
        <v>125</v>
      </c>
      <c r="Q117" s="44">
        <v>13.488814</v>
      </c>
      <c r="R117" s="71">
        <v>-48587.907357999989</v>
      </c>
    </row>
    <row r="118" spans="1:18" x14ac:dyDescent="0.25">
      <c r="A118" s="66"/>
      <c r="B118" s="44" t="s">
        <v>85</v>
      </c>
      <c r="C118" s="60">
        <v>45947</v>
      </c>
      <c r="D118" s="60">
        <v>45950</v>
      </c>
      <c r="E118" s="44">
        <v>150</v>
      </c>
      <c r="F118" s="44" t="s">
        <v>164</v>
      </c>
      <c r="G118" s="44" t="s">
        <v>146</v>
      </c>
      <c r="H118" s="44">
        <v>12</v>
      </c>
      <c r="I118" s="44"/>
      <c r="J118" s="44"/>
      <c r="K118" s="61">
        <v>8.24</v>
      </c>
      <c r="L118" s="44">
        <v>10</v>
      </c>
      <c r="M118" s="44">
        <v>82.4</v>
      </c>
      <c r="N118" s="44"/>
      <c r="O118" s="59"/>
      <c r="P118" s="44" t="s">
        <v>125</v>
      </c>
      <c r="Q118" s="44">
        <v>82.4</v>
      </c>
      <c r="R118" s="71">
        <v>-48670.307357999991</v>
      </c>
    </row>
    <row r="119" spans="1:18" x14ac:dyDescent="0.25">
      <c r="A119" s="66"/>
      <c r="B119" s="44" t="s">
        <v>85</v>
      </c>
      <c r="C119" s="60">
        <v>45947</v>
      </c>
      <c r="D119" s="60">
        <v>45950</v>
      </c>
      <c r="E119" s="44">
        <v>150</v>
      </c>
      <c r="F119" s="44" t="s">
        <v>165</v>
      </c>
      <c r="G119" s="44" t="s">
        <v>146</v>
      </c>
      <c r="H119" s="44">
        <v>12</v>
      </c>
      <c r="I119" s="44"/>
      <c r="J119" s="44"/>
      <c r="K119" s="61"/>
      <c r="L119" s="44"/>
      <c r="M119" s="44">
        <v>7.4160000000000004E-2</v>
      </c>
      <c r="N119" s="113">
        <v>8.9999999999999998E-4</v>
      </c>
      <c r="O119" s="59">
        <v>1.1865000000000001E-2</v>
      </c>
      <c r="P119" s="44" t="s">
        <v>125</v>
      </c>
      <c r="Q119" s="44">
        <v>8.6025000000000004E-2</v>
      </c>
      <c r="R119" s="71">
        <v>-48670.393382999988</v>
      </c>
    </row>
    <row r="120" spans="1:18" x14ac:dyDescent="0.25">
      <c r="A120" s="66"/>
      <c r="B120" s="44" t="s">
        <v>85</v>
      </c>
      <c r="C120" s="60">
        <v>45947</v>
      </c>
      <c r="D120" s="60">
        <v>45950</v>
      </c>
      <c r="E120" s="44">
        <v>150</v>
      </c>
      <c r="F120" s="44" t="s">
        <v>164</v>
      </c>
      <c r="G120" s="44" t="s">
        <v>146</v>
      </c>
      <c r="H120" s="44">
        <v>12</v>
      </c>
      <c r="I120" s="44"/>
      <c r="J120" s="44"/>
      <c r="K120" s="61">
        <v>8.25</v>
      </c>
      <c r="L120" s="44">
        <v>1116</v>
      </c>
      <c r="M120" s="52">
        <v>9207</v>
      </c>
      <c r="N120" s="44"/>
      <c r="O120" s="59"/>
      <c r="P120" s="44" t="s">
        <v>125</v>
      </c>
      <c r="Q120" s="52">
        <v>9207</v>
      </c>
      <c r="R120" s="71">
        <v>-57877.393382999988</v>
      </c>
    </row>
    <row r="121" spans="1:18" x14ac:dyDescent="0.25">
      <c r="A121" s="66"/>
      <c r="B121" s="44" t="s">
        <v>121</v>
      </c>
      <c r="C121" s="60">
        <v>45947</v>
      </c>
      <c r="D121" s="60">
        <v>45950</v>
      </c>
      <c r="E121" s="44">
        <v>150</v>
      </c>
      <c r="F121" s="44" t="s">
        <v>165</v>
      </c>
      <c r="G121" s="44" t="s">
        <v>146</v>
      </c>
      <c r="H121" s="44">
        <v>12</v>
      </c>
      <c r="I121" s="44"/>
      <c r="J121" s="44"/>
      <c r="K121" s="61"/>
      <c r="L121" s="44"/>
      <c r="M121" s="44">
        <v>8.2863000000000007</v>
      </c>
      <c r="N121" s="113">
        <v>8.9999999999999998E-4</v>
      </c>
      <c r="O121" s="59">
        <v>1.3258080000000001</v>
      </c>
      <c r="P121" s="44" t="s">
        <v>125</v>
      </c>
      <c r="Q121" s="44">
        <v>9.6121079999999992</v>
      </c>
      <c r="R121" s="71">
        <v>-23890.760300000002</v>
      </c>
    </row>
    <row r="122" spans="1:18" x14ac:dyDescent="0.25">
      <c r="A122" s="66"/>
      <c r="B122" s="44" t="s">
        <v>121</v>
      </c>
      <c r="C122" s="60">
        <v>45947</v>
      </c>
      <c r="D122" s="60">
        <v>45950</v>
      </c>
      <c r="E122" s="44">
        <v>150</v>
      </c>
      <c r="F122" s="44" t="s">
        <v>164</v>
      </c>
      <c r="G122" s="44" t="s">
        <v>146</v>
      </c>
      <c r="H122" s="44">
        <v>12</v>
      </c>
      <c r="I122" s="44"/>
      <c r="J122" s="44"/>
      <c r="K122" s="61">
        <v>8.25</v>
      </c>
      <c r="L122" s="44">
        <v>1825</v>
      </c>
      <c r="M122" s="52">
        <v>15056.25</v>
      </c>
      <c r="N122" s="44"/>
      <c r="O122" s="59"/>
      <c r="P122" s="44" t="s">
        <v>125</v>
      </c>
      <c r="Q122" s="52">
        <v>15056.25</v>
      </c>
      <c r="R122" s="71">
        <v>-38947.010300000002</v>
      </c>
    </row>
    <row r="123" spans="1:18" x14ac:dyDescent="0.25">
      <c r="A123" s="66"/>
      <c r="B123" s="44" t="s">
        <v>121</v>
      </c>
      <c r="C123" s="60">
        <v>45947</v>
      </c>
      <c r="D123" s="60">
        <v>45950</v>
      </c>
      <c r="E123" s="44">
        <v>150</v>
      </c>
      <c r="F123" s="44" t="s">
        <v>165</v>
      </c>
      <c r="G123" s="44" t="s">
        <v>146</v>
      </c>
      <c r="H123" s="44">
        <v>12</v>
      </c>
      <c r="I123" s="44"/>
      <c r="J123" s="44"/>
      <c r="K123" s="61"/>
      <c r="L123" s="44"/>
      <c r="M123" s="44">
        <v>13.550625</v>
      </c>
      <c r="N123" s="113">
        <v>8.9999999999999998E-4</v>
      </c>
      <c r="O123" s="59">
        <v>2.1680999999999999</v>
      </c>
      <c r="P123" s="44" t="s">
        <v>125</v>
      </c>
      <c r="Q123" s="44">
        <v>15.718724999999999</v>
      </c>
      <c r="R123" s="71">
        <v>-38962.729025000001</v>
      </c>
    </row>
    <row r="124" spans="1:18" x14ac:dyDescent="0.25">
      <c r="A124" s="66"/>
      <c r="B124" s="44" t="s">
        <v>85</v>
      </c>
      <c r="C124" s="60">
        <v>45947</v>
      </c>
      <c r="D124" s="60">
        <v>45950</v>
      </c>
      <c r="E124" s="44">
        <v>151</v>
      </c>
      <c r="F124" s="44" t="s">
        <v>164</v>
      </c>
      <c r="G124" s="44" t="s">
        <v>101</v>
      </c>
      <c r="H124" s="44" t="s">
        <v>102</v>
      </c>
      <c r="I124" s="44"/>
      <c r="J124" s="44"/>
      <c r="K124" s="61">
        <v>175.31</v>
      </c>
      <c r="L124" s="44">
        <v>100</v>
      </c>
      <c r="M124" s="52">
        <v>17531</v>
      </c>
      <c r="N124" s="44"/>
      <c r="O124" s="59"/>
      <c r="P124" s="44" t="s">
        <v>125</v>
      </c>
      <c r="Q124" s="52">
        <v>17531</v>
      </c>
      <c r="R124" s="71">
        <v>-75408.393382999988</v>
      </c>
    </row>
    <row r="125" spans="1:18" x14ac:dyDescent="0.25">
      <c r="A125" s="79"/>
      <c r="B125" s="44" t="s">
        <v>85</v>
      </c>
      <c r="C125" s="92">
        <v>45947</v>
      </c>
      <c r="D125" s="92">
        <v>45950</v>
      </c>
      <c r="E125" s="77">
        <v>151</v>
      </c>
      <c r="F125" s="77" t="s">
        <v>165</v>
      </c>
      <c r="G125" s="77" t="s">
        <v>101</v>
      </c>
      <c r="H125" s="77" t="s">
        <v>102</v>
      </c>
      <c r="I125" s="77"/>
      <c r="J125" s="77"/>
      <c r="K125" s="103"/>
      <c r="L125" s="77"/>
      <c r="M125" s="77">
        <v>15.777900000000001</v>
      </c>
      <c r="N125" s="114">
        <v>8.9999999999999998E-4</v>
      </c>
      <c r="O125" s="93">
        <v>2.524464</v>
      </c>
      <c r="P125" s="77" t="s">
        <v>125</v>
      </c>
      <c r="Q125" s="77">
        <v>18.302364000000001</v>
      </c>
      <c r="R125" s="94">
        <v>-75426.695746999991</v>
      </c>
    </row>
    <row r="126" spans="1:18" x14ac:dyDescent="0.25">
      <c r="A126" s="66"/>
      <c r="B126" s="44" t="s">
        <v>85</v>
      </c>
      <c r="C126" s="60">
        <v>45947</v>
      </c>
      <c r="D126" s="60">
        <v>45950</v>
      </c>
      <c r="E126" s="44">
        <v>151</v>
      </c>
      <c r="F126" s="44" t="s">
        <v>164</v>
      </c>
      <c r="G126" s="44" t="s">
        <v>101</v>
      </c>
      <c r="H126" s="44" t="s">
        <v>102</v>
      </c>
      <c r="I126" s="44"/>
      <c r="J126" s="44"/>
      <c r="K126" s="44">
        <v>175.31</v>
      </c>
      <c r="L126" s="44">
        <v>190</v>
      </c>
      <c r="M126" s="52">
        <v>33308.9</v>
      </c>
      <c r="N126" s="44"/>
      <c r="O126" s="44"/>
      <c r="P126" s="44" t="s">
        <v>125</v>
      </c>
      <c r="Q126" s="52">
        <v>33308.9</v>
      </c>
      <c r="R126" s="94">
        <v>-108735.59574699998</v>
      </c>
    </row>
    <row r="127" spans="1:18" x14ac:dyDescent="0.25">
      <c r="A127" s="66"/>
      <c r="B127" s="44" t="s">
        <v>85</v>
      </c>
      <c r="C127" s="60">
        <v>45947</v>
      </c>
      <c r="D127" s="60">
        <v>45950</v>
      </c>
      <c r="E127" s="44">
        <v>151</v>
      </c>
      <c r="F127" s="44" t="s">
        <v>165</v>
      </c>
      <c r="G127" s="44" t="s">
        <v>101</v>
      </c>
      <c r="H127" s="44" t="s">
        <v>102</v>
      </c>
      <c r="I127" s="44"/>
      <c r="J127" s="44"/>
      <c r="K127" s="61"/>
      <c r="L127" s="44"/>
      <c r="M127" s="44">
        <v>29.978010000000001</v>
      </c>
      <c r="N127" s="113">
        <v>8.9999999999999998E-4</v>
      </c>
      <c r="O127" s="59">
        <v>4.796481</v>
      </c>
      <c r="P127" s="44" t="s">
        <v>125</v>
      </c>
      <c r="Q127" s="44">
        <v>34.774490999999998</v>
      </c>
      <c r="R127" s="94">
        <v>-108770.37023799999</v>
      </c>
    </row>
    <row r="128" spans="1:18" x14ac:dyDescent="0.25">
      <c r="A128" s="66"/>
      <c r="B128" s="44" t="s">
        <v>121</v>
      </c>
      <c r="C128" s="60">
        <v>45947</v>
      </c>
      <c r="D128" s="60">
        <v>45950</v>
      </c>
      <c r="E128" s="44">
        <v>151</v>
      </c>
      <c r="F128" s="44" t="s">
        <v>164</v>
      </c>
      <c r="G128" s="44" t="s">
        <v>101</v>
      </c>
      <c r="H128" s="44" t="s">
        <v>102</v>
      </c>
      <c r="I128" s="44"/>
      <c r="J128" s="44"/>
      <c r="K128" s="61">
        <v>175.31</v>
      </c>
      <c r="L128" s="44">
        <v>195</v>
      </c>
      <c r="M128" s="52">
        <v>34185.449999999997</v>
      </c>
      <c r="N128" s="44"/>
      <c r="O128" s="59"/>
      <c r="P128" s="44" t="s">
        <v>125</v>
      </c>
      <c r="Q128" s="52">
        <v>34185.449999999997</v>
      </c>
      <c r="R128" s="71">
        <v>-73148.17902499999</v>
      </c>
    </row>
    <row r="129" spans="1:18" x14ac:dyDescent="0.25">
      <c r="A129" s="66"/>
      <c r="B129" s="44" t="s">
        <v>121</v>
      </c>
      <c r="C129" s="60">
        <v>45947</v>
      </c>
      <c r="D129" s="60">
        <v>45950</v>
      </c>
      <c r="E129" s="44">
        <v>151</v>
      </c>
      <c r="F129" s="44" t="s">
        <v>165</v>
      </c>
      <c r="G129" s="44" t="s">
        <v>101</v>
      </c>
      <c r="H129" s="44" t="s">
        <v>102</v>
      </c>
      <c r="I129" s="44"/>
      <c r="J129" s="44"/>
      <c r="K129" s="61"/>
      <c r="L129" s="44"/>
      <c r="M129" s="44">
        <v>30.766905000000001</v>
      </c>
      <c r="N129" s="113">
        <v>8.9999999999999998E-4</v>
      </c>
      <c r="O129" s="59">
        <v>4.9227040000000004</v>
      </c>
      <c r="P129" s="44" t="s">
        <v>125</v>
      </c>
      <c r="Q129" s="44">
        <v>35.689608999999997</v>
      </c>
      <c r="R129" s="71">
        <v>-73183.868633999984</v>
      </c>
    </row>
    <row r="130" spans="1:18" x14ac:dyDescent="0.25">
      <c r="A130" s="66"/>
      <c r="B130" s="44" t="s">
        <v>85</v>
      </c>
      <c r="C130" s="60">
        <v>45947</v>
      </c>
      <c r="D130" s="60">
        <v>45950</v>
      </c>
      <c r="E130" s="44">
        <v>152</v>
      </c>
      <c r="F130" s="44" t="s">
        <v>164</v>
      </c>
      <c r="G130" s="44" t="s">
        <v>133</v>
      </c>
      <c r="H130" s="44" t="s">
        <v>89</v>
      </c>
      <c r="I130" s="44"/>
      <c r="J130" s="44"/>
      <c r="K130" s="61">
        <v>10.25</v>
      </c>
      <c r="L130" s="44">
        <v>248</v>
      </c>
      <c r="M130" s="52">
        <v>2542</v>
      </c>
      <c r="N130" s="44"/>
      <c r="O130" s="59"/>
      <c r="P130" s="44" t="s">
        <v>125</v>
      </c>
      <c r="Q130" s="52">
        <v>2542</v>
      </c>
      <c r="R130" s="94">
        <v>-111312.37023799999</v>
      </c>
    </row>
    <row r="131" spans="1:18" x14ac:dyDescent="0.25">
      <c r="A131" s="66"/>
      <c r="B131" s="44" t="s">
        <v>85</v>
      </c>
      <c r="C131" s="60">
        <v>45947</v>
      </c>
      <c r="D131" s="60">
        <v>45950</v>
      </c>
      <c r="E131" s="44">
        <v>152</v>
      </c>
      <c r="F131" s="44" t="s">
        <v>165</v>
      </c>
      <c r="G131" s="44" t="s">
        <v>133</v>
      </c>
      <c r="H131" s="44" t="s">
        <v>89</v>
      </c>
      <c r="I131" s="44"/>
      <c r="J131" s="44"/>
      <c r="K131" s="61"/>
      <c r="L131" s="44"/>
      <c r="M131" s="44">
        <v>2.2877999999999998</v>
      </c>
      <c r="N131" s="113">
        <v>8.9999999999999998E-4</v>
      </c>
      <c r="O131" s="59">
        <v>0.36604799999999998</v>
      </c>
      <c r="P131" s="44" t="s">
        <v>125</v>
      </c>
      <c r="Q131" s="44">
        <v>2.653848</v>
      </c>
      <c r="R131" s="71">
        <v>-111315.02408599999</v>
      </c>
    </row>
    <row r="132" spans="1:18" x14ac:dyDescent="0.25">
      <c r="A132" s="66"/>
      <c r="B132" s="44" t="s">
        <v>85</v>
      </c>
      <c r="C132" s="60">
        <v>45947</v>
      </c>
      <c r="D132" s="60">
        <v>45950</v>
      </c>
      <c r="E132" s="44">
        <v>152</v>
      </c>
      <c r="F132" s="44" t="s">
        <v>164</v>
      </c>
      <c r="G132" s="44" t="s">
        <v>133</v>
      </c>
      <c r="H132" s="44" t="s">
        <v>89</v>
      </c>
      <c r="I132" s="44"/>
      <c r="J132" s="44"/>
      <c r="K132" s="61">
        <v>10.24</v>
      </c>
      <c r="L132" s="44">
        <v>318</v>
      </c>
      <c r="M132" s="52">
        <v>3256.32</v>
      </c>
      <c r="N132" s="44"/>
      <c r="O132" s="59"/>
      <c r="P132" s="44" t="s">
        <v>125</v>
      </c>
      <c r="Q132" s="52">
        <v>3256.32</v>
      </c>
      <c r="R132" s="71">
        <v>-114571.344086</v>
      </c>
    </row>
    <row r="133" spans="1:18" x14ac:dyDescent="0.25">
      <c r="A133" s="66"/>
      <c r="B133" s="44" t="s">
        <v>85</v>
      </c>
      <c r="C133" s="60">
        <v>45947</v>
      </c>
      <c r="D133" s="60">
        <v>45950</v>
      </c>
      <c r="E133" s="44">
        <v>152</v>
      </c>
      <c r="F133" s="44" t="s">
        <v>165</v>
      </c>
      <c r="G133" s="44" t="s">
        <v>133</v>
      </c>
      <c r="H133" s="44" t="s">
        <v>89</v>
      </c>
      <c r="I133" s="44"/>
      <c r="J133" s="44"/>
      <c r="K133" s="61"/>
      <c r="L133" s="44"/>
      <c r="M133" s="44">
        <v>2.930688</v>
      </c>
      <c r="N133" s="113">
        <v>8.9999999999999998E-4</v>
      </c>
      <c r="O133" s="59">
        <v>0.46890999999999999</v>
      </c>
      <c r="P133" s="44" t="s">
        <v>125</v>
      </c>
      <c r="Q133" s="44">
        <v>3.3995980000000001</v>
      </c>
      <c r="R133" s="71">
        <v>-114574.743684</v>
      </c>
    </row>
    <row r="134" spans="1:18" x14ac:dyDescent="0.25">
      <c r="A134" s="66"/>
      <c r="B134" s="44" t="s">
        <v>85</v>
      </c>
      <c r="C134" s="60">
        <v>45947</v>
      </c>
      <c r="D134" s="60">
        <v>45950</v>
      </c>
      <c r="E134" s="44">
        <v>152</v>
      </c>
      <c r="F134" s="44" t="s">
        <v>164</v>
      </c>
      <c r="G134" s="44" t="s">
        <v>133</v>
      </c>
      <c r="H134" s="44" t="s">
        <v>89</v>
      </c>
      <c r="I134" s="44"/>
      <c r="J134" s="44"/>
      <c r="K134" s="61">
        <v>10.25</v>
      </c>
      <c r="L134" s="44">
        <v>407</v>
      </c>
      <c r="M134" s="52">
        <v>4171.75</v>
      </c>
      <c r="N134" s="44"/>
      <c r="O134" s="59"/>
      <c r="P134" s="44" t="s">
        <v>125</v>
      </c>
      <c r="Q134" s="52">
        <v>4171.75</v>
      </c>
      <c r="R134" s="71">
        <v>-118746.493684</v>
      </c>
    </row>
    <row r="135" spans="1:18" x14ac:dyDescent="0.25">
      <c r="A135" s="66"/>
      <c r="B135" s="44" t="s">
        <v>85</v>
      </c>
      <c r="C135" s="60">
        <v>45947</v>
      </c>
      <c r="D135" s="60">
        <v>45950</v>
      </c>
      <c r="E135" s="44">
        <v>152</v>
      </c>
      <c r="F135" s="44" t="s">
        <v>165</v>
      </c>
      <c r="G135" s="44" t="s">
        <v>133</v>
      </c>
      <c r="H135" s="44" t="s">
        <v>89</v>
      </c>
      <c r="I135" s="44"/>
      <c r="J135" s="44"/>
      <c r="K135" s="61"/>
      <c r="L135" s="44"/>
      <c r="M135" s="44">
        <v>3.754575</v>
      </c>
      <c r="N135" s="113">
        <v>8.9999999999999998E-4</v>
      </c>
      <c r="O135" s="59">
        <v>0.60073200000000004</v>
      </c>
      <c r="P135" s="44" t="s">
        <v>125</v>
      </c>
      <c r="Q135" s="44">
        <v>4.3553069999999998</v>
      </c>
      <c r="R135" s="71">
        <v>-118750.84899100001</v>
      </c>
    </row>
    <row r="136" spans="1:18" x14ac:dyDescent="0.25">
      <c r="A136" s="66"/>
      <c r="B136" s="44" t="s">
        <v>85</v>
      </c>
      <c r="C136" s="60">
        <v>45947</v>
      </c>
      <c r="D136" s="60">
        <v>45950</v>
      </c>
      <c r="E136" s="44">
        <v>152</v>
      </c>
      <c r="F136" s="44" t="s">
        <v>164</v>
      </c>
      <c r="G136" s="44" t="s">
        <v>133</v>
      </c>
      <c r="H136" s="44" t="s">
        <v>89</v>
      </c>
      <c r="I136" s="44"/>
      <c r="J136" s="44"/>
      <c r="K136" s="61">
        <v>10.25</v>
      </c>
      <c r="L136" s="44">
        <v>173</v>
      </c>
      <c r="M136" s="52">
        <v>1773.25</v>
      </c>
      <c r="N136" s="44"/>
      <c r="O136" s="59"/>
      <c r="P136" s="44" t="s">
        <v>125</v>
      </c>
      <c r="Q136" s="52">
        <v>1773.25</v>
      </c>
      <c r="R136" s="71">
        <v>-120524.09899100001</v>
      </c>
    </row>
    <row r="137" spans="1:18" x14ac:dyDescent="0.25">
      <c r="A137" s="66"/>
      <c r="B137" s="44" t="s">
        <v>85</v>
      </c>
      <c r="C137" s="60">
        <v>45947</v>
      </c>
      <c r="D137" s="60">
        <v>45950</v>
      </c>
      <c r="E137" s="44">
        <v>152</v>
      </c>
      <c r="F137" s="44" t="s">
        <v>165</v>
      </c>
      <c r="G137" s="44" t="s">
        <v>133</v>
      </c>
      <c r="H137" s="44" t="s">
        <v>89</v>
      </c>
      <c r="I137" s="44"/>
      <c r="J137" s="44"/>
      <c r="K137" s="61"/>
      <c r="L137" s="44"/>
      <c r="M137" s="44">
        <v>1.595925</v>
      </c>
      <c r="N137" s="113">
        <v>8.9999999999999998E-4</v>
      </c>
      <c r="O137" s="59">
        <v>0.25534800000000002</v>
      </c>
      <c r="P137" s="44" t="s">
        <v>125</v>
      </c>
      <c r="Q137" s="44">
        <v>1.8512729999999999</v>
      </c>
      <c r="R137" s="71">
        <v>-120525.950264</v>
      </c>
    </row>
    <row r="138" spans="1:18" x14ac:dyDescent="0.25">
      <c r="A138" s="66"/>
      <c r="B138" s="44" t="s">
        <v>85</v>
      </c>
      <c r="C138" s="60">
        <v>45947</v>
      </c>
      <c r="D138" s="60">
        <v>45950</v>
      </c>
      <c r="E138" s="44">
        <v>152</v>
      </c>
      <c r="F138" s="44" t="s">
        <v>164</v>
      </c>
      <c r="G138" s="44" t="s">
        <v>133</v>
      </c>
      <c r="H138" s="44" t="s">
        <v>89</v>
      </c>
      <c r="I138" s="44"/>
      <c r="J138" s="44"/>
      <c r="K138" s="61">
        <v>10.25</v>
      </c>
      <c r="L138" s="44">
        <v>78</v>
      </c>
      <c r="M138" s="44">
        <v>799.5</v>
      </c>
      <c r="N138" s="44"/>
      <c r="O138" s="59"/>
      <c r="P138" s="44" t="s">
        <v>125</v>
      </c>
      <c r="Q138" s="44">
        <v>799.5</v>
      </c>
      <c r="R138" s="71">
        <v>-121325.450264</v>
      </c>
    </row>
    <row r="139" spans="1:18" x14ac:dyDescent="0.25">
      <c r="A139" s="66"/>
      <c r="B139" s="44" t="s">
        <v>85</v>
      </c>
      <c r="C139" s="60">
        <v>45947</v>
      </c>
      <c r="D139" s="60">
        <v>45950</v>
      </c>
      <c r="E139" s="44">
        <v>152</v>
      </c>
      <c r="F139" s="44" t="s">
        <v>165</v>
      </c>
      <c r="G139" s="44" t="s">
        <v>133</v>
      </c>
      <c r="H139" s="44" t="s">
        <v>89</v>
      </c>
      <c r="I139" s="44"/>
      <c r="J139" s="44"/>
      <c r="K139" s="61"/>
      <c r="L139" s="44"/>
      <c r="M139" s="44">
        <v>0.71955000000000002</v>
      </c>
      <c r="N139" s="113">
        <v>8.9999999999999998E-4</v>
      </c>
      <c r="O139" s="59">
        <v>0.11512799999999999</v>
      </c>
      <c r="P139" s="44" t="s">
        <v>125</v>
      </c>
      <c r="Q139" s="44">
        <v>0.83467800000000003</v>
      </c>
      <c r="R139" s="71">
        <v>-121326.284942</v>
      </c>
    </row>
    <row r="140" spans="1:18" x14ac:dyDescent="0.25">
      <c r="A140" s="66"/>
      <c r="B140" s="44" t="s">
        <v>85</v>
      </c>
      <c r="C140" s="60">
        <v>45947</v>
      </c>
      <c r="D140" s="60">
        <v>45950</v>
      </c>
      <c r="E140" s="44">
        <v>152</v>
      </c>
      <c r="F140" s="44" t="s">
        <v>164</v>
      </c>
      <c r="G140" s="44" t="s">
        <v>133</v>
      </c>
      <c r="H140" s="44" t="s">
        <v>89</v>
      </c>
      <c r="I140" s="44"/>
      <c r="J140" s="44"/>
      <c r="K140" s="61">
        <v>10.25</v>
      </c>
      <c r="L140" s="44">
        <v>424</v>
      </c>
      <c r="M140" s="52">
        <v>4346</v>
      </c>
      <c r="N140" s="44"/>
      <c r="O140" s="59"/>
      <c r="P140" s="44" t="s">
        <v>125</v>
      </c>
      <c r="Q140" s="52">
        <v>4346</v>
      </c>
      <c r="R140" s="71">
        <v>-125672.284942</v>
      </c>
    </row>
    <row r="141" spans="1:18" x14ac:dyDescent="0.25">
      <c r="A141" s="66"/>
      <c r="B141" s="44" t="s">
        <v>85</v>
      </c>
      <c r="C141" s="60">
        <v>45947</v>
      </c>
      <c r="D141" s="60">
        <v>45950</v>
      </c>
      <c r="E141" s="44">
        <v>152</v>
      </c>
      <c r="F141" s="44" t="s">
        <v>165</v>
      </c>
      <c r="G141" s="44" t="s">
        <v>133</v>
      </c>
      <c r="H141" s="44" t="s">
        <v>89</v>
      </c>
      <c r="I141" s="44"/>
      <c r="J141" s="44"/>
      <c r="K141" s="61"/>
      <c r="L141" s="44"/>
      <c r="M141" s="44">
        <v>3.9114</v>
      </c>
      <c r="N141" s="113">
        <v>8.9999999999999998E-4</v>
      </c>
      <c r="O141" s="59">
        <v>0.62582400000000005</v>
      </c>
      <c r="P141" s="44" t="s">
        <v>125</v>
      </c>
      <c r="Q141" s="44">
        <v>4.5372240000000001</v>
      </c>
      <c r="R141" s="71">
        <v>-125676.822166</v>
      </c>
    </row>
    <row r="142" spans="1:18" x14ac:dyDescent="0.25">
      <c r="A142" s="66"/>
      <c r="B142" s="44" t="s">
        <v>85</v>
      </c>
      <c r="C142" s="60">
        <v>45947</v>
      </c>
      <c r="D142" s="60">
        <v>45950</v>
      </c>
      <c r="E142" s="44">
        <v>152</v>
      </c>
      <c r="F142" s="44" t="s">
        <v>164</v>
      </c>
      <c r="G142" s="44" t="s">
        <v>133</v>
      </c>
      <c r="H142" s="44" t="s">
        <v>89</v>
      </c>
      <c r="I142" s="44"/>
      <c r="J142" s="44"/>
      <c r="K142" s="61">
        <v>10.25</v>
      </c>
      <c r="L142" s="44">
        <v>33</v>
      </c>
      <c r="M142" s="44">
        <v>338.25</v>
      </c>
      <c r="N142" s="44"/>
      <c r="O142" s="59"/>
      <c r="P142" s="44" t="s">
        <v>125</v>
      </c>
      <c r="Q142" s="44">
        <v>338.25</v>
      </c>
      <c r="R142" s="71">
        <v>-126015.072166</v>
      </c>
    </row>
    <row r="143" spans="1:18" x14ac:dyDescent="0.25">
      <c r="A143" s="66"/>
      <c r="B143" s="44" t="s">
        <v>85</v>
      </c>
      <c r="C143" s="60">
        <v>45947</v>
      </c>
      <c r="D143" s="60">
        <v>45950</v>
      </c>
      <c r="E143" s="44">
        <v>152</v>
      </c>
      <c r="F143" s="44" t="s">
        <v>165</v>
      </c>
      <c r="G143" s="44" t="s">
        <v>133</v>
      </c>
      <c r="H143" s="44" t="s">
        <v>89</v>
      </c>
      <c r="I143" s="44"/>
      <c r="J143" s="44"/>
      <c r="K143" s="61"/>
      <c r="L143" s="44"/>
      <c r="M143" s="44">
        <v>0.304425</v>
      </c>
      <c r="N143" s="113">
        <v>8.9999999999999998E-4</v>
      </c>
      <c r="O143" s="59">
        <v>4.8708000000000001E-2</v>
      </c>
      <c r="P143" s="44" t="s">
        <v>125</v>
      </c>
      <c r="Q143" s="44">
        <v>0.35313299999999997</v>
      </c>
      <c r="R143" s="71">
        <v>-126015.42529899999</v>
      </c>
    </row>
    <row r="144" spans="1:18" x14ac:dyDescent="0.25">
      <c r="A144" s="66"/>
      <c r="B144" s="44" t="s">
        <v>85</v>
      </c>
      <c r="C144" s="60">
        <v>45947</v>
      </c>
      <c r="D144" s="60">
        <v>45950</v>
      </c>
      <c r="E144" s="44">
        <v>152</v>
      </c>
      <c r="F144" s="44" t="s">
        <v>164</v>
      </c>
      <c r="G144" s="44" t="s">
        <v>133</v>
      </c>
      <c r="H144" s="44" t="s">
        <v>89</v>
      </c>
      <c r="I144" s="44"/>
      <c r="J144" s="44"/>
      <c r="K144" s="61">
        <v>10.25</v>
      </c>
      <c r="L144" s="44">
        <v>419</v>
      </c>
      <c r="M144" s="52">
        <v>4294.75</v>
      </c>
      <c r="N144" s="44"/>
      <c r="O144" s="59"/>
      <c r="P144" s="44" t="s">
        <v>125</v>
      </c>
      <c r="Q144" s="52">
        <v>4294.75</v>
      </c>
      <c r="R144" s="71">
        <v>-130310.17529899999</v>
      </c>
    </row>
    <row r="145" spans="1:18" x14ac:dyDescent="0.25">
      <c r="A145" s="66"/>
      <c r="B145" s="44" t="s">
        <v>85</v>
      </c>
      <c r="C145" s="60">
        <v>45947</v>
      </c>
      <c r="D145" s="60">
        <v>45950</v>
      </c>
      <c r="E145" s="44">
        <v>152</v>
      </c>
      <c r="F145" s="44" t="s">
        <v>165</v>
      </c>
      <c r="G145" s="44" t="s">
        <v>133</v>
      </c>
      <c r="H145" s="44" t="s">
        <v>89</v>
      </c>
      <c r="I145" s="44"/>
      <c r="J145" s="44"/>
      <c r="K145" s="61"/>
      <c r="L145" s="44"/>
      <c r="M145" s="44">
        <v>3.865275</v>
      </c>
      <c r="N145" s="113">
        <v>8.9999999999999998E-4</v>
      </c>
      <c r="O145" s="59">
        <v>0.61844399999999999</v>
      </c>
      <c r="P145" s="44" t="s">
        <v>125</v>
      </c>
      <c r="Q145" s="44">
        <v>4.4837189999999998</v>
      </c>
      <c r="R145" s="71">
        <v>-130314.65901799999</v>
      </c>
    </row>
    <row r="146" spans="1:18" x14ac:dyDescent="0.25">
      <c r="A146" s="66"/>
      <c r="B146" s="44" t="s">
        <v>121</v>
      </c>
      <c r="C146" s="60">
        <v>45947</v>
      </c>
      <c r="D146" s="60">
        <v>45950</v>
      </c>
      <c r="E146" s="44">
        <v>152</v>
      </c>
      <c r="F146" s="44" t="s">
        <v>164</v>
      </c>
      <c r="G146" s="44" t="s">
        <v>133</v>
      </c>
      <c r="H146" s="44" t="s">
        <v>89</v>
      </c>
      <c r="I146" s="44"/>
      <c r="J146" s="44"/>
      <c r="K146" s="61">
        <v>10.24</v>
      </c>
      <c r="L146" s="44">
        <v>126</v>
      </c>
      <c r="M146" s="52">
        <v>1290.24</v>
      </c>
      <c r="N146" s="44"/>
      <c r="O146" s="59"/>
      <c r="P146" s="44" t="s">
        <v>125</v>
      </c>
      <c r="Q146" s="52">
        <v>1290.24</v>
      </c>
      <c r="R146" s="71">
        <v>-74474.108633999989</v>
      </c>
    </row>
    <row r="147" spans="1:18" x14ac:dyDescent="0.25">
      <c r="A147" s="66"/>
      <c r="B147" s="44" t="s">
        <v>121</v>
      </c>
      <c r="C147" s="60">
        <v>45947</v>
      </c>
      <c r="D147" s="60">
        <v>45950</v>
      </c>
      <c r="E147" s="44">
        <v>152</v>
      </c>
      <c r="F147" s="44" t="s">
        <v>165</v>
      </c>
      <c r="G147" s="44" t="s">
        <v>133</v>
      </c>
      <c r="H147" s="44" t="s">
        <v>89</v>
      </c>
      <c r="I147" s="44"/>
      <c r="J147" s="44"/>
      <c r="K147" s="61"/>
      <c r="L147" s="44"/>
      <c r="M147" s="44">
        <v>1.161216</v>
      </c>
      <c r="N147" s="113">
        <v>8.9999999999999998E-4</v>
      </c>
      <c r="O147" s="59">
        <v>0.18579399999999999</v>
      </c>
      <c r="P147" s="44" t="s">
        <v>125</v>
      </c>
      <c r="Q147" s="44">
        <v>1.34701</v>
      </c>
      <c r="R147" s="71">
        <v>-74475.455643999987</v>
      </c>
    </row>
    <row r="148" spans="1:18" x14ac:dyDescent="0.25">
      <c r="A148" s="66"/>
      <c r="B148" s="44" t="s">
        <v>121</v>
      </c>
      <c r="C148" s="60">
        <v>45947</v>
      </c>
      <c r="D148" s="60">
        <v>45950</v>
      </c>
      <c r="E148" s="44">
        <v>152</v>
      </c>
      <c r="F148" s="44" t="s">
        <v>164</v>
      </c>
      <c r="G148" s="44" t="s">
        <v>133</v>
      </c>
      <c r="H148" s="44" t="s">
        <v>89</v>
      </c>
      <c r="I148" s="44"/>
      <c r="J148" s="44"/>
      <c r="K148" s="61">
        <v>10.24</v>
      </c>
      <c r="L148" s="44">
        <v>408</v>
      </c>
      <c r="M148" s="52">
        <v>4177.92</v>
      </c>
      <c r="N148" s="44"/>
      <c r="O148" s="59"/>
      <c r="P148" s="44" t="s">
        <v>125</v>
      </c>
      <c r="Q148" s="52">
        <v>4177.92</v>
      </c>
      <c r="R148" s="71">
        <v>-78653.375643999985</v>
      </c>
    </row>
    <row r="149" spans="1:18" x14ac:dyDescent="0.25">
      <c r="A149" s="66"/>
      <c r="B149" s="44" t="s">
        <v>121</v>
      </c>
      <c r="C149" s="60">
        <v>45947</v>
      </c>
      <c r="D149" s="60">
        <v>45950</v>
      </c>
      <c r="E149" s="44">
        <v>152</v>
      </c>
      <c r="F149" s="44" t="s">
        <v>165</v>
      </c>
      <c r="G149" s="44" t="s">
        <v>133</v>
      </c>
      <c r="H149" s="44" t="s">
        <v>89</v>
      </c>
      <c r="I149" s="44"/>
      <c r="J149" s="44"/>
      <c r="K149" s="61"/>
      <c r="L149" s="44"/>
      <c r="M149" s="44">
        <v>3.7601279999999999</v>
      </c>
      <c r="N149" s="113">
        <v>8.9999999999999998E-4</v>
      </c>
      <c r="O149" s="59">
        <v>0.60162000000000004</v>
      </c>
      <c r="P149" s="44" t="s">
        <v>125</v>
      </c>
      <c r="Q149" s="44">
        <v>4.3617480000000004</v>
      </c>
      <c r="R149" s="71">
        <v>-78657.737391999981</v>
      </c>
    </row>
    <row r="150" spans="1:18" x14ac:dyDescent="0.25">
      <c r="A150" s="66"/>
      <c r="B150" s="44" t="s">
        <v>121</v>
      </c>
      <c r="C150" s="60">
        <v>45947</v>
      </c>
      <c r="D150" s="60">
        <v>45950</v>
      </c>
      <c r="E150" s="44">
        <v>152</v>
      </c>
      <c r="F150" s="44" t="s">
        <v>164</v>
      </c>
      <c r="G150" s="44" t="s">
        <v>133</v>
      </c>
      <c r="H150" s="44" t="s">
        <v>89</v>
      </c>
      <c r="I150" s="44"/>
      <c r="J150" s="44"/>
      <c r="K150" s="61">
        <v>10.24</v>
      </c>
      <c r="L150" s="44">
        <v>36</v>
      </c>
      <c r="M150" s="44">
        <v>368.64</v>
      </c>
      <c r="N150" s="44"/>
      <c r="O150" s="59"/>
      <c r="P150" s="44" t="s">
        <v>125</v>
      </c>
      <c r="Q150" s="44">
        <v>368.64</v>
      </c>
      <c r="R150" s="71">
        <v>-79026.37739199998</v>
      </c>
    </row>
    <row r="151" spans="1:18" x14ac:dyDescent="0.25">
      <c r="A151" s="79"/>
      <c r="B151" s="44" t="s">
        <v>121</v>
      </c>
      <c r="C151" s="92">
        <v>45947</v>
      </c>
      <c r="D151" s="92">
        <v>45950</v>
      </c>
      <c r="E151" s="77">
        <v>152</v>
      </c>
      <c r="F151" s="77" t="s">
        <v>165</v>
      </c>
      <c r="G151" s="77" t="s">
        <v>133</v>
      </c>
      <c r="H151" s="77" t="s">
        <v>89</v>
      </c>
      <c r="I151" s="77"/>
      <c r="J151" s="77"/>
      <c r="K151" s="103"/>
      <c r="L151" s="77"/>
      <c r="M151" s="77">
        <v>0.33177600000000002</v>
      </c>
      <c r="N151" s="114">
        <v>8.9999999999999998E-4</v>
      </c>
      <c r="O151" s="93">
        <v>5.3083999999999999E-2</v>
      </c>
      <c r="P151" s="77" t="s">
        <v>125</v>
      </c>
      <c r="Q151" s="77">
        <v>0.38485999999999998</v>
      </c>
      <c r="R151" s="71">
        <v>-79026.762251999986</v>
      </c>
    </row>
    <row r="152" spans="1:18" x14ac:dyDescent="0.25">
      <c r="A152" s="66"/>
      <c r="B152" s="44" t="s">
        <v>121</v>
      </c>
      <c r="C152" s="60">
        <v>45947</v>
      </c>
      <c r="D152" s="60">
        <v>45950</v>
      </c>
      <c r="E152" s="44">
        <v>152</v>
      </c>
      <c r="F152" s="44" t="s">
        <v>164</v>
      </c>
      <c r="G152" s="44" t="s">
        <v>133</v>
      </c>
      <c r="H152" s="44" t="s">
        <v>89</v>
      </c>
      <c r="I152" s="44"/>
      <c r="J152" s="44"/>
      <c r="K152" s="44">
        <v>10.24</v>
      </c>
      <c r="L152" s="44">
        <v>100</v>
      </c>
      <c r="M152" s="52">
        <v>1024</v>
      </c>
      <c r="N152" s="44"/>
      <c r="O152" s="44"/>
      <c r="P152" s="44" t="s">
        <v>125</v>
      </c>
      <c r="Q152" s="52">
        <v>1024</v>
      </c>
      <c r="R152" s="71">
        <v>-80050.762251999986</v>
      </c>
    </row>
    <row r="153" spans="1:18" x14ac:dyDescent="0.25">
      <c r="A153" s="66"/>
      <c r="B153" s="44" t="s">
        <v>121</v>
      </c>
      <c r="C153" s="60">
        <v>45947</v>
      </c>
      <c r="D153" s="60">
        <v>45950</v>
      </c>
      <c r="E153" s="44">
        <v>152</v>
      </c>
      <c r="F153" s="44" t="s">
        <v>165</v>
      </c>
      <c r="G153" s="44" t="s">
        <v>133</v>
      </c>
      <c r="H153" s="44" t="s">
        <v>89</v>
      </c>
      <c r="I153" s="44"/>
      <c r="J153" s="44"/>
      <c r="K153" s="61"/>
      <c r="L153" s="44"/>
      <c r="M153" s="44">
        <v>0.92159999999999997</v>
      </c>
      <c r="N153" s="113">
        <v>8.9999999999999998E-4</v>
      </c>
      <c r="O153" s="59">
        <v>0.147456</v>
      </c>
      <c r="P153" s="44" t="s">
        <v>125</v>
      </c>
      <c r="Q153" s="44">
        <v>1.069056</v>
      </c>
      <c r="R153" s="71">
        <v>-80051.831307999979</v>
      </c>
    </row>
    <row r="154" spans="1:18" x14ac:dyDescent="0.25">
      <c r="A154" s="66"/>
      <c r="B154" s="44" t="s">
        <v>121</v>
      </c>
      <c r="C154" s="60">
        <v>45947</v>
      </c>
      <c r="D154" s="60">
        <v>45950</v>
      </c>
      <c r="E154" s="44">
        <v>152</v>
      </c>
      <c r="F154" s="44" t="s">
        <v>164</v>
      </c>
      <c r="G154" s="44" t="s">
        <v>133</v>
      </c>
      <c r="H154" s="44" t="s">
        <v>89</v>
      </c>
      <c r="I154" s="44"/>
      <c r="J154" s="44"/>
      <c r="K154" s="61">
        <v>10.24</v>
      </c>
      <c r="L154" s="44">
        <v>265</v>
      </c>
      <c r="M154" s="52">
        <v>2713.6</v>
      </c>
      <c r="N154" s="44"/>
      <c r="O154" s="59"/>
      <c r="P154" s="44" t="s">
        <v>125</v>
      </c>
      <c r="Q154" s="52">
        <v>2713.6</v>
      </c>
      <c r="R154" s="71">
        <v>-82765.431307999985</v>
      </c>
    </row>
    <row r="155" spans="1:18" x14ac:dyDescent="0.25">
      <c r="A155" s="66"/>
      <c r="B155" s="44" t="s">
        <v>121</v>
      </c>
      <c r="C155" s="60">
        <v>45947</v>
      </c>
      <c r="D155" s="60">
        <v>45950</v>
      </c>
      <c r="E155" s="44">
        <v>152</v>
      </c>
      <c r="F155" s="44" t="s">
        <v>165</v>
      </c>
      <c r="G155" s="44" t="s">
        <v>133</v>
      </c>
      <c r="H155" s="44" t="s">
        <v>89</v>
      </c>
      <c r="I155" s="44"/>
      <c r="J155" s="44"/>
      <c r="K155" s="61"/>
      <c r="L155" s="44"/>
      <c r="M155" s="44">
        <v>2.44224</v>
      </c>
      <c r="N155" s="113">
        <v>8.9999999999999998E-4</v>
      </c>
      <c r="O155" s="59">
        <v>0.39075799999999999</v>
      </c>
      <c r="P155" s="44" t="s">
        <v>125</v>
      </c>
      <c r="Q155" s="44">
        <v>2.8329979999999999</v>
      </c>
      <c r="R155" s="71">
        <v>-82768.264305999983</v>
      </c>
    </row>
    <row r="156" spans="1:18" x14ac:dyDescent="0.25">
      <c r="A156" s="66"/>
      <c r="B156" s="44" t="s">
        <v>121</v>
      </c>
      <c r="C156" s="60">
        <v>45947</v>
      </c>
      <c r="D156" s="60">
        <v>45950</v>
      </c>
      <c r="E156" s="44">
        <v>152</v>
      </c>
      <c r="F156" s="44" t="s">
        <v>164</v>
      </c>
      <c r="G156" s="44" t="s">
        <v>133</v>
      </c>
      <c r="H156" s="44" t="s">
        <v>89</v>
      </c>
      <c r="I156" s="44"/>
      <c r="J156" s="44"/>
      <c r="K156" s="61">
        <v>10.25</v>
      </c>
      <c r="L156" s="44">
        <v>100</v>
      </c>
      <c r="M156" s="52">
        <v>1025</v>
      </c>
      <c r="N156" s="44"/>
      <c r="O156" s="59"/>
      <c r="P156" s="44" t="s">
        <v>125</v>
      </c>
      <c r="Q156" s="52">
        <v>1025</v>
      </c>
      <c r="R156" s="71">
        <v>-83793.264305999983</v>
      </c>
    </row>
    <row r="157" spans="1:18" x14ac:dyDescent="0.25">
      <c r="A157" s="66"/>
      <c r="B157" s="44" t="s">
        <v>121</v>
      </c>
      <c r="C157" s="60">
        <v>45947</v>
      </c>
      <c r="D157" s="60">
        <v>45950</v>
      </c>
      <c r="E157" s="44">
        <v>152</v>
      </c>
      <c r="F157" s="44" t="s">
        <v>165</v>
      </c>
      <c r="G157" s="44" t="s">
        <v>133</v>
      </c>
      <c r="H157" s="44" t="s">
        <v>89</v>
      </c>
      <c r="I157" s="44"/>
      <c r="J157" s="44"/>
      <c r="K157" s="61"/>
      <c r="L157" s="44"/>
      <c r="M157" s="44">
        <v>0.92249999999999999</v>
      </c>
      <c r="N157" s="113">
        <v>8.9999999999999998E-4</v>
      </c>
      <c r="O157" s="59">
        <v>0.14760000000000001</v>
      </c>
      <c r="P157" s="44" t="s">
        <v>125</v>
      </c>
      <c r="Q157" s="44">
        <v>1.0701000000000001</v>
      </c>
      <c r="R157" s="71">
        <v>-83794.33440599998</v>
      </c>
    </row>
    <row r="158" spans="1:18" x14ac:dyDescent="0.25">
      <c r="A158" s="66"/>
      <c r="B158" s="44" t="s">
        <v>121</v>
      </c>
      <c r="C158" s="60">
        <v>45947</v>
      </c>
      <c r="D158" s="60">
        <v>45950</v>
      </c>
      <c r="E158" s="44">
        <v>152</v>
      </c>
      <c r="F158" s="44" t="s">
        <v>164</v>
      </c>
      <c r="G158" s="44" t="s">
        <v>133</v>
      </c>
      <c r="H158" s="44" t="s">
        <v>89</v>
      </c>
      <c r="I158" s="44"/>
      <c r="J158" s="44"/>
      <c r="K158" s="61">
        <v>10.24</v>
      </c>
      <c r="L158" s="44">
        <v>100</v>
      </c>
      <c r="M158" s="52">
        <v>1024</v>
      </c>
      <c r="N158" s="44"/>
      <c r="O158" s="59"/>
      <c r="P158" s="44" t="s">
        <v>125</v>
      </c>
      <c r="Q158" s="52">
        <v>1024</v>
      </c>
      <c r="R158" s="71">
        <v>-84818.33440599998</v>
      </c>
    </row>
    <row r="159" spans="1:18" x14ac:dyDescent="0.25">
      <c r="A159" s="66"/>
      <c r="B159" s="44" t="s">
        <v>121</v>
      </c>
      <c r="C159" s="60">
        <v>45947</v>
      </c>
      <c r="D159" s="60">
        <v>45950</v>
      </c>
      <c r="E159" s="44">
        <v>152</v>
      </c>
      <c r="F159" s="44" t="s">
        <v>165</v>
      </c>
      <c r="G159" s="44" t="s">
        <v>133</v>
      </c>
      <c r="H159" s="44" t="s">
        <v>89</v>
      </c>
      <c r="I159" s="44"/>
      <c r="J159" s="44"/>
      <c r="K159" s="61"/>
      <c r="L159" s="44"/>
      <c r="M159" s="44">
        <v>0.92159999999999997</v>
      </c>
      <c r="N159" s="113">
        <v>8.9999999999999998E-4</v>
      </c>
      <c r="O159" s="59">
        <v>0.147456</v>
      </c>
      <c r="P159" s="44" t="s">
        <v>125</v>
      </c>
      <c r="Q159" s="44">
        <v>1.069056</v>
      </c>
      <c r="R159" s="71">
        <v>-84819.403461999973</v>
      </c>
    </row>
    <row r="160" spans="1:18" x14ac:dyDescent="0.25">
      <c r="A160" s="66"/>
      <c r="B160" s="44" t="s">
        <v>121</v>
      </c>
      <c r="C160" s="60">
        <v>45947</v>
      </c>
      <c r="D160" s="60">
        <v>45950</v>
      </c>
      <c r="E160" s="44">
        <v>152</v>
      </c>
      <c r="F160" s="44" t="s">
        <v>164</v>
      </c>
      <c r="G160" s="44" t="s">
        <v>133</v>
      </c>
      <c r="H160" s="44" t="s">
        <v>89</v>
      </c>
      <c r="I160" s="44"/>
      <c r="J160" s="44"/>
      <c r="K160" s="61">
        <v>10.26</v>
      </c>
      <c r="L160" s="44">
        <v>100</v>
      </c>
      <c r="M160" s="52">
        <v>1026</v>
      </c>
      <c r="N160" s="44"/>
      <c r="O160" s="59"/>
      <c r="P160" s="44" t="s">
        <v>125</v>
      </c>
      <c r="Q160" s="52">
        <v>1026</v>
      </c>
      <c r="R160" s="71">
        <v>-85845.403461999973</v>
      </c>
    </row>
    <row r="161" spans="1:18" x14ac:dyDescent="0.25">
      <c r="A161" s="66"/>
      <c r="B161" s="44" t="s">
        <v>121</v>
      </c>
      <c r="C161" s="60">
        <v>45947</v>
      </c>
      <c r="D161" s="60">
        <v>45950</v>
      </c>
      <c r="E161" s="44">
        <v>152</v>
      </c>
      <c r="F161" s="44" t="s">
        <v>165</v>
      </c>
      <c r="G161" s="44" t="s">
        <v>133</v>
      </c>
      <c r="H161" s="44" t="s">
        <v>89</v>
      </c>
      <c r="I161" s="44"/>
      <c r="J161" s="44"/>
      <c r="K161" s="61"/>
      <c r="L161" s="44"/>
      <c r="M161" s="44">
        <v>0.9234</v>
      </c>
      <c r="N161" s="113">
        <v>8.9999999999999998E-4</v>
      </c>
      <c r="O161" s="59">
        <v>0.14774399999999999</v>
      </c>
      <c r="P161" s="44" t="s">
        <v>125</v>
      </c>
      <c r="Q161" s="44">
        <v>1.0711440000000001</v>
      </c>
      <c r="R161" s="71">
        <v>-85846.474605999974</v>
      </c>
    </row>
    <row r="162" spans="1:18" x14ac:dyDescent="0.25">
      <c r="A162" s="66"/>
      <c r="B162" s="44" t="s">
        <v>121</v>
      </c>
      <c r="C162" s="60">
        <v>45947</v>
      </c>
      <c r="D162" s="60">
        <v>45950</v>
      </c>
      <c r="E162" s="44">
        <v>152</v>
      </c>
      <c r="F162" s="44" t="s">
        <v>164</v>
      </c>
      <c r="G162" s="44" t="s">
        <v>133</v>
      </c>
      <c r="H162" s="44" t="s">
        <v>89</v>
      </c>
      <c r="I162" s="44"/>
      <c r="J162" s="44"/>
      <c r="K162" s="61">
        <v>10.27</v>
      </c>
      <c r="L162" s="44">
        <v>100</v>
      </c>
      <c r="M162" s="52">
        <v>1027</v>
      </c>
      <c r="N162" s="44"/>
      <c r="O162" s="59"/>
      <c r="P162" s="44" t="s">
        <v>125</v>
      </c>
      <c r="Q162" s="52">
        <v>1027</v>
      </c>
      <c r="R162" s="71">
        <v>-86873.474605999974</v>
      </c>
    </row>
    <row r="163" spans="1:18" x14ac:dyDescent="0.25">
      <c r="A163" s="66"/>
      <c r="B163" s="44" t="s">
        <v>121</v>
      </c>
      <c r="C163" s="60">
        <v>45947</v>
      </c>
      <c r="D163" s="60">
        <v>45950</v>
      </c>
      <c r="E163" s="44">
        <v>152</v>
      </c>
      <c r="F163" s="44" t="s">
        <v>165</v>
      </c>
      <c r="G163" s="44" t="s">
        <v>133</v>
      </c>
      <c r="H163" s="44" t="s">
        <v>89</v>
      </c>
      <c r="I163" s="44"/>
      <c r="J163" s="44"/>
      <c r="K163" s="61"/>
      <c r="L163" s="44"/>
      <c r="M163" s="44">
        <v>0.92430000000000001</v>
      </c>
      <c r="N163" s="113">
        <v>8.9999999999999998E-4</v>
      </c>
      <c r="O163" s="59">
        <v>0.14788799999999999</v>
      </c>
      <c r="P163" s="44" t="s">
        <v>125</v>
      </c>
      <c r="Q163" s="44">
        <v>1.0721879999999999</v>
      </c>
      <c r="R163" s="71">
        <v>-86874.54679399998</v>
      </c>
    </row>
    <row r="164" spans="1:18" x14ac:dyDescent="0.25">
      <c r="A164" s="66"/>
      <c r="B164" s="44" t="s">
        <v>121</v>
      </c>
      <c r="C164" s="60">
        <v>45947</v>
      </c>
      <c r="D164" s="60">
        <v>45950</v>
      </c>
      <c r="E164" s="44">
        <v>152</v>
      </c>
      <c r="F164" s="44" t="s">
        <v>164</v>
      </c>
      <c r="G164" s="44" t="s">
        <v>133</v>
      </c>
      <c r="H164" s="44" t="s">
        <v>89</v>
      </c>
      <c r="I164" s="44"/>
      <c r="J164" s="44"/>
      <c r="K164" s="61">
        <v>10.27</v>
      </c>
      <c r="L164" s="44">
        <v>65</v>
      </c>
      <c r="M164" s="44">
        <v>667.55</v>
      </c>
      <c r="N164" s="44"/>
      <c r="O164" s="59"/>
      <c r="P164" s="44" t="s">
        <v>125</v>
      </c>
      <c r="Q164" s="44">
        <v>667.55</v>
      </c>
      <c r="R164" s="71">
        <v>-87542.096793999983</v>
      </c>
    </row>
    <row r="165" spans="1:18" x14ac:dyDescent="0.25">
      <c r="A165" s="66"/>
      <c r="B165" s="44" t="s">
        <v>121</v>
      </c>
      <c r="C165" s="60">
        <v>45947</v>
      </c>
      <c r="D165" s="60">
        <v>45950</v>
      </c>
      <c r="E165" s="44">
        <v>152</v>
      </c>
      <c r="F165" s="44" t="s">
        <v>165</v>
      </c>
      <c r="G165" s="44" t="s">
        <v>133</v>
      </c>
      <c r="H165" s="44" t="s">
        <v>89</v>
      </c>
      <c r="I165" s="44"/>
      <c r="J165" s="44"/>
      <c r="K165" s="61"/>
      <c r="L165" s="44"/>
      <c r="M165" s="44">
        <v>0.60079499999999997</v>
      </c>
      <c r="N165" s="113">
        <v>8.9999999999999998E-4</v>
      </c>
      <c r="O165" s="59">
        <v>9.6127000000000004E-2</v>
      </c>
      <c r="P165" s="44" t="s">
        <v>125</v>
      </c>
      <c r="Q165" s="44">
        <v>0.69692200000000004</v>
      </c>
      <c r="R165" s="71">
        <v>-87542.793715999986</v>
      </c>
    </row>
    <row r="166" spans="1:18" x14ac:dyDescent="0.25">
      <c r="A166" s="66"/>
      <c r="B166" s="44" t="s">
        <v>85</v>
      </c>
      <c r="C166" s="60">
        <v>45947</v>
      </c>
      <c r="D166" s="60">
        <v>45950</v>
      </c>
      <c r="E166" s="44">
        <v>153</v>
      </c>
      <c r="F166" s="44" t="s">
        <v>164</v>
      </c>
      <c r="G166" s="44" t="s">
        <v>135</v>
      </c>
      <c r="H166" s="44">
        <v>18</v>
      </c>
      <c r="I166" s="44"/>
      <c r="J166" s="44"/>
      <c r="K166" s="61">
        <v>22.39</v>
      </c>
      <c r="L166" s="44">
        <v>1260</v>
      </c>
      <c r="M166" s="52">
        <v>28211.4</v>
      </c>
      <c r="N166" s="44"/>
      <c r="O166" s="59"/>
      <c r="P166" s="44" t="s">
        <v>125</v>
      </c>
      <c r="Q166" s="52">
        <v>28211.4</v>
      </c>
      <c r="R166" s="71">
        <v>-158526.059018</v>
      </c>
    </row>
    <row r="167" spans="1:18" x14ac:dyDescent="0.25">
      <c r="A167" s="66"/>
      <c r="B167" s="44" t="s">
        <v>85</v>
      </c>
      <c r="C167" s="60">
        <v>45947</v>
      </c>
      <c r="D167" s="60">
        <v>45950</v>
      </c>
      <c r="E167" s="44">
        <v>153</v>
      </c>
      <c r="F167" s="44" t="s">
        <v>165</v>
      </c>
      <c r="G167" s="44" t="s">
        <v>135</v>
      </c>
      <c r="H167" s="44">
        <v>18</v>
      </c>
      <c r="I167" s="44"/>
      <c r="J167" s="44"/>
      <c r="K167" s="61"/>
      <c r="L167" s="44"/>
      <c r="M167" s="44">
        <v>25.390260000000001</v>
      </c>
      <c r="N167" s="113">
        <v>8.9999999999999998E-4</v>
      </c>
      <c r="O167" s="59">
        <v>4.0624409999999997</v>
      </c>
      <c r="P167" s="44" t="s">
        <v>125</v>
      </c>
      <c r="Q167" s="44">
        <v>29.452701000000001</v>
      </c>
      <c r="R167" s="71">
        <v>-158555.511719</v>
      </c>
    </row>
    <row r="168" spans="1:18" x14ac:dyDescent="0.25">
      <c r="A168" s="66"/>
      <c r="B168" s="44" t="s">
        <v>121</v>
      </c>
      <c r="C168" s="60">
        <v>45947</v>
      </c>
      <c r="D168" s="60">
        <v>45950</v>
      </c>
      <c r="E168" s="44">
        <v>153</v>
      </c>
      <c r="F168" s="44" t="s">
        <v>164</v>
      </c>
      <c r="G168" s="44" t="s">
        <v>135</v>
      </c>
      <c r="H168" s="44">
        <v>18</v>
      </c>
      <c r="I168" s="44"/>
      <c r="J168" s="44"/>
      <c r="K168" s="61">
        <v>22.39</v>
      </c>
      <c r="L168" s="44">
        <v>840</v>
      </c>
      <c r="M168" s="52">
        <v>18807.599999999999</v>
      </c>
      <c r="N168" s="44"/>
      <c r="O168" s="59"/>
      <c r="P168" s="44" t="s">
        <v>125</v>
      </c>
      <c r="Q168" s="52">
        <v>18807.599999999999</v>
      </c>
      <c r="R168" s="71">
        <v>-106350.39371599999</v>
      </c>
    </row>
    <row r="169" spans="1:18" x14ac:dyDescent="0.25">
      <c r="A169" s="66"/>
      <c r="B169" s="44" t="s">
        <v>121</v>
      </c>
      <c r="C169" s="60">
        <v>45947</v>
      </c>
      <c r="D169" s="60">
        <v>45950</v>
      </c>
      <c r="E169" s="44">
        <v>153</v>
      </c>
      <c r="F169" s="44" t="s">
        <v>165</v>
      </c>
      <c r="G169" s="44" t="s">
        <v>135</v>
      </c>
      <c r="H169" s="44">
        <v>18</v>
      </c>
      <c r="I169" s="44"/>
      <c r="J169" s="44"/>
      <c r="K169" s="61"/>
      <c r="L169" s="44"/>
      <c r="M169" s="44">
        <v>16.926839999999999</v>
      </c>
      <c r="N169" s="113">
        <v>8.9999999999999998E-4</v>
      </c>
      <c r="O169" s="59">
        <v>2.708294</v>
      </c>
      <c r="P169" s="44" t="s">
        <v>125</v>
      </c>
      <c r="Q169" s="44">
        <v>19.635134000000001</v>
      </c>
      <c r="R169" s="71">
        <v>-106370.02884999999</v>
      </c>
    </row>
    <row r="170" spans="1:18" x14ac:dyDescent="0.25">
      <c r="A170" s="66"/>
      <c r="B170" s="44" t="s">
        <v>85</v>
      </c>
      <c r="C170" s="60">
        <v>45947</v>
      </c>
      <c r="D170" s="60">
        <v>45950</v>
      </c>
      <c r="E170" s="44">
        <v>154</v>
      </c>
      <c r="F170" s="44" t="s">
        <v>166</v>
      </c>
      <c r="G170" s="44" t="s">
        <v>131</v>
      </c>
      <c r="H170" s="44" t="s">
        <v>94</v>
      </c>
      <c r="I170" s="44"/>
      <c r="J170" s="44"/>
      <c r="K170" s="61">
        <v>1527.1</v>
      </c>
      <c r="L170" s="44">
        <v>230</v>
      </c>
      <c r="M170" s="52">
        <v>351233</v>
      </c>
      <c r="N170" s="44"/>
      <c r="O170" s="59"/>
      <c r="P170" s="44" t="s">
        <v>81</v>
      </c>
      <c r="Q170" s="52">
        <v>351233</v>
      </c>
      <c r="R170" s="71">
        <v>192677.488281</v>
      </c>
    </row>
    <row r="171" spans="1:18" x14ac:dyDescent="0.25">
      <c r="A171" s="66"/>
      <c r="B171" s="44" t="s">
        <v>85</v>
      </c>
      <c r="C171" s="60">
        <v>45947</v>
      </c>
      <c r="D171" s="60">
        <v>45950</v>
      </c>
      <c r="E171" s="44">
        <v>154</v>
      </c>
      <c r="F171" s="44" t="s">
        <v>165</v>
      </c>
      <c r="G171" s="44" t="s">
        <v>131</v>
      </c>
      <c r="H171" s="44" t="s">
        <v>94</v>
      </c>
      <c r="I171" s="44"/>
      <c r="J171" s="44"/>
      <c r="K171" s="61"/>
      <c r="L171" s="44"/>
      <c r="M171" s="44">
        <v>316.10969999999998</v>
      </c>
      <c r="N171" s="113">
        <v>8.9999999999999998E-4</v>
      </c>
      <c r="O171" s="59">
        <v>50.577551999999997</v>
      </c>
      <c r="P171" s="44" t="s">
        <v>125</v>
      </c>
      <c r="Q171" s="44">
        <v>366.687252</v>
      </c>
      <c r="R171" s="71">
        <v>192310.80102899999</v>
      </c>
    </row>
    <row r="172" spans="1:18" x14ac:dyDescent="0.25">
      <c r="A172" s="66"/>
      <c r="B172" s="44" t="s">
        <v>121</v>
      </c>
      <c r="C172" s="60">
        <v>45947</v>
      </c>
      <c r="D172" s="60">
        <v>45950</v>
      </c>
      <c r="E172" s="44">
        <v>154</v>
      </c>
      <c r="F172" s="44" t="s">
        <v>166</v>
      </c>
      <c r="G172" s="44" t="s">
        <v>131</v>
      </c>
      <c r="H172" s="44" t="s">
        <v>94</v>
      </c>
      <c r="I172" s="44"/>
      <c r="J172" s="44"/>
      <c r="K172" s="61">
        <v>1527.1</v>
      </c>
      <c r="L172" s="44">
        <v>152</v>
      </c>
      <c r="M172" s="52">
        <v>232119.2</v>
      </c>
      <c r="N172" s="44"/>
      <c r="O172" s="59"/>
      <c r="P172" s="44" t="s">
        <v>81</v>
      </c>
      <c r="Q172" s="52">
        <v>232119.2</v>
      </c>
      <c r="R172" s="71">
        <v>125749.17115000002</v>
      </c>
    </row>
    <row r="173" spans="1:18" x14ac:dyDescent="0.25">
      <c r="A173" s="66"/>
      <c r="B173" s="44" t="s">
        <v>121</v>
      </c>
      <c r="C173" s="60">
        <v>45947</v>
      </c>
      <c r="D173" s="60">
        <v>45950</v>
      </c>
      <c r="E173" s="44">
        <v>154</v>
      </c>
      <c r="F173" s="44" t="s">
        <v>165</v>
      </c>
      <c r="G173" s="44" t="s">
        <v>131</v>
      </c>
      <c r="H173" s="44" t="s">
        <v>94</v>
      </c>
      <c r="I173" s="44"/>
      <c r="J173" s="44"/>
      <c r="K173" s="61"/>
      <c r="L173" s="44"/>
      <c r="M173" s="44">
        <v>208.90727999999999</v>
      </c>
      <c r="N173" s="113">
        <v>8.9999999999999998E-4</v>
      </c>
      <c r="O173" s="59">
        <v>33.425164000000002</v>
      </c>
      <c r="P173" s="44" t="s">
        <v>125</v>
      </c>
      <c r="Q173" s="44">
        <v>242.33244400000001</v>
      </c>
      <c r="R173" s="71">
        <v>125506.83870600002</v>
      </c>
    </row>
    <row r="174" spans="1:18" x14ac:dyDescent="0.25">
      <c r="A174" s="66" t="s">
        <v>82</v>
      </c>
      <c r="B174" s="44" t="s">
        <v>85</v>
      </c>
      <c r="C174" s="60">
        <v>45947</v>
      </c>
      <c r="D174" s="60">
        <v>45950</v>
      </c>
      <c r="E174" s="44">
        <v>614666</v>
      </c>
      <c r="F174" s="44" t="s">
        <v>83</v>
      </c>
      <c r="G174" s="44" t="s">
        <v>140</v>
      </c>
      <c r="H174" s="44">
        <v>280907</v>
      </c>
      <c r="I174" s="44">
        <v>3</v>
      </c>
      <c r="J174" s="52">
        <v>682.49360146252354</v>
      </c>
      <c r="K174" s="61">
        <v>100.56221600000001</v>
      </c>
      <c r="L174" s="44">
        <v>11725</v>
      </c>
      <c r="M174" s="52">
        <v>1179091.9872390081</v>
      </c>
      <c r="N174" s="44"/>
      <c r="O174" s="59"/>
      <c r="P174" s="44" t="s">
        <v>81</v>
      </c>
      <c r="Q174" s="52">
        <v>1179091.9872390081</v>
      </c>
      <c r="R174" s="71">
        <v>1371402.79</v>
      </c>
    </row>
    <row r="175" spans="1:18" x14ac:dyDescent="0.25">
      <c r="A175" s="66" t="s">
        <v>82</v>
      </c>
      <c r="B175" s="44" t="s">
        <v>86</v>
      </c>
      <c r="C175" s="60">
        <v>45947</v>
      </c>
      <c r="D175" s="60">
        <v>45950</v>
      </c>
      <c r="E175" s="44">
        <v>614666</v>
      </c>
      <c r="F175" s="44" t="s">
        <v>83</v>
      </c>
      <c r="G175" s="44" t="s">
        <v>140</v>
      </c>
      <c r="H175" s="44">
        <v>280907</v>
      </c>
      <c r="I175" s="44">
        <v>3</v>
      </c>
      <c r="J175" s="52">
        <v>35.332504570383946</v>
      </c>
      <c r="K175" s="61">
        <v>100.56221600000001</v>
      </c>
      <c r="L175" s="44">
        <v>607</v>
      </c>
      <c r="M175" s="52">
        <v>61041.265352160161</v>
      </c>
      <c r="N175" s="44"/>
      <c r="O175" s="59"/>
      <c r="P175" s="44" t="s">
        <v>81</v>
      </c>
      <c r="Q175" s="52">
        <v>61041.265352160161</v>
      </c>
      <c r="R175" s="71">
        <v>61038.14</v>
      </c>
    </row>
    <row r="176" spans="1:18" x14ac:dyDescent="0.25">
      <c r="A176" s="66" t="s">
        <v>82</v>
      </c>
      <c r="B176" s="44" t="s">
        <v>121</v>
      </c>
      <c r="C176" s="60">
        <v>45947</v>
      </c>
      <c r="D176" s="60">
        <v>45950</v>
      </c>
      <c r="E176" s="44">
        <v>614666</v>
      </c>
      <c r="F176" s="44" t="s">
        <v>83</v>
      </c>
      <c r="G176" s="44" t="s">
        <v>140</v>
      </c>
      <c r="H176" s="44">
        <v>280907</v>
      </c>
      <c r="I176" s="44">
        <v>3</v>
      </c>
      <c r="J176" s="52">
        <v>492.09389396709378</v>
      </c>
      <c r="K176" s="61">
        <v>100.56221600000001</v>
      </c>
      <c r="L176" s="44">
        <v>8454</v>
      </c>
      <c r="M176" s="52">
        <v>850152.97740883357</v>
      </c>
      <c r="N176" s="44"/>
      <c r="O176" s="59"/>
      <c r="P176" s="44" t="s">
        <v>81</v>
      </c>
      <c r="Q176" s="52">
        <v>850152.97740883357</v>
      </c>
      <c r="R176" s="71">
        <v>975659.82</v>
      </c>
    </row>
    <row r="177" spans="1:18" x14ac:dyDescent="0.25">
      <c r="A177" s="66" t="s">
        <v>82</v>
      </c>
      <c r="B177" s="44" t="s">
        <v>85</v>
      </c>
      <c r="C177" s="60">
        <v>45950</v>
      </c>
      <c r="D177" s="60">
        <v>45950</v>
      </c>
      <c r="E177" s="44">
        <v>615882</v>
      </c>
      <c r="F177" s="44" t="s">
        <v>124</v>
      </c>
      <c r="G177" s="44" t="s">
        <v>140</v>
      </c>
      <c r="H177" s="44">
        <v>280907</v>
      </c>
      <c r="I177" s="44">
        <v>1</v>
      </c>
      <c r="J177" s="44">
        <v>6.95</v>
      </c>
      <c r="K177" s="61">
        <v>100.547988</v>
      </c>
      <c r="L177" s="44">
        <v>13639</v>
      </c>
      <c r="M177" s="52">
        <v>1371374.0057054558</v>
      </c>
      <c r="N177" s="44"/>
      <c r="O177" s="59"/>
      <c r="P177" s="44" t="s">
        <v>125</v>
      </c>
      <c r="Q177" s="52">
        <v>1371374.0057054558</v>
      </c>
      <c r="R177" s="70">
        <v>28.78</v>
      </c>
    </row>
    <row r="178" spans="1:18" x14ac:dyDescent="0.25">
      <c r="A178" s="66" t="s">
        <v>82</v>
      </c>
      <c r="B178" s="44" t="s">
        <v>86</v>
      </c>
      <c r="C178" s="60">
        <v>45950</v>
      </c>
      <c r="D178" s="60">
        <v>45950</v>
      </c>
      <c r="E178" s="44">
        <v>615882</v>
      </c>
      <c r="F178" s="44" t="s">
        <v>124</v>
      </c>
      <c r="G178" s="44" t="s">
        <v>140</v>
      </c>
      <c r="H178" s="44">
        <v>280907</v>
      </c>
      <c r="I178" s="44">
        <v>1</v>
      </c>
      <c r="J178" s="44">
        <v>6.95</v>
      </c>
      <c r="K178" s="61">
        <v>100.547988</v>
      </c>
      <c r="L178" s="44">
        <v>607</v>
      </c>
      <c r="M178" s="52">
        <v>61032.628599106371</v>
      </c>
      <c r="N178" s="44"/>
      <c r="O178" s="59"/>
      <c r="P178" s="44" t="s">
        <v>125</v>
      </c>
      <c r="Q178" s="52">
        <v>61032.628599106371</v>
      </c>
      <c r="R178" s="70">
        <v>5.51</v>
      </c>
    </row>
    <row r="179" spans="1:18" x14ac:dyDescent="0.25">
      <c r="A179" s="66" t="s">
        <v>82</v>
      </c>
      <c r="B179" s="44" t="s">
        <v>121</v>
      </c>
      <c r="C179" s="60">
        <v>45950</v>
      </c>
      <c r="D179" s="60">
        <v>45950</v>
      </c>
      <c r="E179" s="44">
        <v>615882</v>
      </c>
      <c r="F179" s="44" t="s">
        <v>124</v>
      </c>
      <c r="G179" s="44" t="s">
        <v>140</v>
      </c>
      <c r="H179" s="44">
        <v>280907</v>
      </c>
      <c r="I179" s="44">
        <v>1</v>
      </c>
      <c r="J179" s="44">
        <v>6.95</v>
      </c>
      <c r="K179" s="61">
        <v>100.547988</v>
      </c>
      <c r="L179" s="44">
        <v>9703</v>
      </c>
      <c r="M179" s="52">
        <v>975617.12569543498</v>
      </c>
      <c r="N179" s="44"/>
      <c r="O179" s="59"/>
      <c r="P179" s="44" t="s">
        <v>125</v>
      </c>
      <c r="Q179" s="52">
        <v>975617.12569543498</v>
      </c>
      <c r="R179" s="70">
        <v>42.69</v>
      </c>
    </row>
    <row r="180" spans="1:18" x14ac:dyDescent="0.25">
      <c r="A180" s="66" t="s">
        <v>82</v>
      </c>
      <c r="B180" s="44" t="s">
        <v>85</v>
      </c>
      <c r="C180" s="60">
        <v>45950</v>
      </c>
      <c r="D180" s="60">
        <v>45951</v>
      </c>
      <c r="E180" s="44">
        <v>615882</v>
      </c>
      <c r="F180" s="44" t="s">
        <v>83</v>
      </c>
      <c r="G180" s="44" t="s">
        <v>140</v>
      </c>
      <c r="H180" s="44">
        <v>280907</v>
      </c>
      <c r="I180" s="44">
        <v>1</v>
      </c>
      <c r="J180" s="44">
        <v>264.75002380057578</v>
      </c>
      <c r="K180" s="61">
        <v>100.56739899999999</v>
      </c>
      <c r="L180" s="44">
        <v>13639</v>
      </c>
      <c r="M180" s="52">
        <v>1371638.7557292574</v>
      </c>
      <c r="N180" s="44"/>
      <c r="O180" s="59"/>
      <c r="P180" s="44" t="s">
        <v>81</v>
      </c>
      <c r="Q180" s="52">
        <v>1371638.7557292574</v>
      </c>
      <c r="R180" s="71">
        <v>1371667.54</v>
      </c>
    </row>
    <row r="181" spans="1:18" x14ac:dyDescent="0.25">
      <c r="A181" s="66" t="s">
        <v>82</v>
      </c>
      <c r="B181" s="44" t="s">
        <v>86</v>
      </c>
      <c r="C181" s="60">
        <v>45950</v>
      </c>
      <c r="D181" s="60">
        <v>45951</v>
      </c>
      <c r="E181" s="44">
        <v>615882</v>
      </c>
      <c r="F181" s="44" t="s">
        <v>83</v>
      </c>
      <c r="G181" s="44" t="s">
        <v>140</v>
      </c>
      <c r="H181" s="44">
        <v>280907</v>
      </c>
      <c r="I181" s="44">
        <v>1</v>
      </c>
      <c r="J181" s="44">
        <v>11.782628084679926</v>
      </c>
      <c r="K181" s="61">
        <v>100.56739899999999</v>
      </c>
      <c r="L181" s="44">
        <v>607</v>
      </c>
      <c r="M181" s="52">
        <v>61044.411227191093</v>
      </c>
      <c r="N181" s="44"/>
      <c r="O181" s="59"/>
      <c r="P181" s="44" t="s">
        <v>81</v>
      </c>
      <c r="Q181" s="52">
        <v>61044.411227191093</v>
      </c>
      <c r="R181" s="71">
        <v>61049.919999999998</v>
      </c>
    </row>
    <row r="182" spans="1:18" x14ac:dyDescent="0.25">
      <c r="A182" s="66" t="s">
        <v>82</v>
      </c>
      <c r="B182" s="44" t="s">
        <v>121</v>
      </c>
      <c r="C182" s="60">
        <v>45950</v>
      </c>
      <c r="D182" s="60">
        <v>45951</v>
      </c>
      <c r="E182" s="44">
        <v>615882</v>
      </c>
      <c r="F182" s="44" t="s">
        <v>83</v>
      </c>
      <c r="G182" s="44" t="s">
        <v>140</v>
      </c>
      <c r="H182" s="44">
        <v>280907</v>
      </c>
      <c r="I182" s="44">
        <v>1</v>
      </c>
      <c r="J182" s="44">
        <v>188.34734811474354</v>
      </c>
      <c r="K182" s="61">
        <v>100.56739899999999</v>
      </c>
      <c r="L182" s="44">
        <v>9703</v>
      </c>
      <c r="M182" s="52">
        <v>975805.47304355062</v>
      </c>
      <c r="N182" s="44"/>
      <c r="O182" s="59"/>
      <c r="P182" s="44" t="s">
        <v>81</v>
      </c>
      <c r="Q182" s="52">
        <v>975805.47304355062</v>
      </c>
      <c r="R182" s="71">
        <v>975848.16</v>
      </c>
    </row>
    <row r="183" spans="1:18" x14ac:dyDescent="0.25">
      <c r="A183" s="79" t="s">
        <v>82</v>
      </c>
      <c r="B183" s="77" t="s">
        <v>85</v>
      </c>
      <c r="C183" s="92">
        <v>45951</v>
      </c>
      <c r="D183" s="92">
        <v>45951</v>
      </c>
      <c r="E183" s="77">
        <v>617133</v>
      </c>
      <c r="F183" s="77" t="s">
        <v>124</v>
      </c>
      <c r="G183" s="77" t="s">
        <v>140</v>
      </c>
      <c r="H183" s="77">
        <v>280907</v>
      </c>
      <c r="I183" s="77">
        <v>1</v>
      </c>
      <c r="J183" s="77">
        <v>6.95</v>
      </c>
      <c r="K183" s="103">
        <v>100.557608</v>
      </c>
      <c r="L183" s="77">
        <v>13641</v>
      </c>
      <c r="M183" s="78">
        <v>1371706.3268461942</v>
      </c>
      <c r="N183" s="77"/>
      <c r="O183" s="93"/>
      <c r="P183" s="77" t="s">
        <v>125</v>
      </c>
      <c r="Q183" s="78">
        <v>1371706.3268461942</v>
      </c>
      <c r="R183" s="115">
        <v>-38.79</v>
      </c>
    </row>
    <row r="184" spans="1:18" x14ac:dyDescent="0.25">
      <c r="A184" s="79" t="s">
        <v>82</v>
      </c>
      <c r="B184" s="77" t="s">
        <v>86</v>
      </c>
      <c r="C184" s="92">
        <v>45951</v>
      </c>
      <c r="D184" s="92">
        <v>45951</v>
      </c>
      <c r="E184" s="77">
        <v>617133</v>
      </c>
      <c r="F184" s="77" t="s">
        <v>124</v>
      </c>
      <c r="G184" s="77" t="s">
        <v>140</v>
      </c>
      <c r="H184" s="77">
        <v>280907</v>
      </c>
      <c r="I184" s="77">
        <v>1</v>
      </c>
      <c r="J184" s="77">
        <v>6.95</v>
      </c>
      <c r="K184" s="103">
        <v>100.557608</v>
      </c>
      <c r="L184" s="77">
        <v>607</v>
      </c>
      <c r="M184" s="78">
        <v>61038.467883266618</v>
      </c>
      <c r="N184" s="77"/>
      <c r="O184" s="93"/>
      <c r="P184" s="77" t="s">
        <v>125</v>
      </c>
      <c r="Q184" s="78">
        <v>61038.467883266618</v>
      </c>
      <c r="R184" s="115">
        <v>11.45</v>
      </c>
    </row>
    <row r="185" spans="1:18" x14ac:dyDescent="0.25">
      <c r="A185" s="79" t="s">
        <v>82</v>
      </c>
      <c r="B185" s="77" t="s">
        <v>121</v>
      </c>
      <c r="C185" s="92">
        <v>45951</v>
      </c>
      <c r="D185" s="92">
        <v>45951</v>
      </c>
      <c r="E185" s="77">
        <v>617133</v>
      </c>
      <c r="F185" s="77" t="s">
        <v>124</v>
      </c>
      <c r="G185" s="77" t="s">
        <v>140</v>
      </c>
      <c r="H185" s="77">
        <v>280907</v>
      </c>
      <c r="I185" s="77">
        <v>1</v>
      </c>
      <c r="J185" s="77">
        <v>6.95</v>
      </c>
      <c r="K185" s="103">
        <v>100.557608</v>
      </c>
      <c r="L185" s="77">
        <v>9704</v>
      </c>
      <c r="M185" s="78">
        <v>975811.02527054248</v>
      </c>
      <c r="N185" s="77"/>
      <c r="O185" s="93"/>
      <c r="P185" s="77" t="s">
        <v>125</v>
      </c>
      <c r="Q185" s="78">
        <v>975811.02527054248</v>
      </c>
      <c r="R185" s="115">
        <v>37.130000000000003</v>
      </c>
    </row>
    <row r="186" spans="1:18" x14ac:dyDescent="0.25">
      <c r="A186" s="66" t="s">
        <v>82</v>
      </c>
      <c r="B186" s="44" t="s">
        <v>85</v>
      </c>
      <c r="C186" s="60">
        <v>45951</v>
      </c>
      <c r="D186" s="60">
        <v>45952</v>
      </c>
      <c r="E186" s="44">
        <v>617133</v>
      </c>
      <c r="F186" s="44" t="s">
        <v>83</v>
      </c>
      <c r="G186" s="44" t="s">
        <v>140</v>
      </c>
      <c r="H186" s="44">
        <v>280907</v>
      </c>
      <c r="I186" s="44">
        <v>1</v>
      </c>
      <c r="J186" s="44">
        <v>264.81263276553091</v>
      </c>
      <c r="K186" s="44">
        <v>100.577021</v>
      </c>
      <c r="L186" s="44">
        <v>13641</v>
      </c>
      <c r="M186" s="52">
        <v>1371971.1394789601</v>
      </c>
      <c r="N186" s="44"/>
      <c r="O186" s="44"/>
      <c r="P186" s="44" t="s">
        <v>81</v>
      </c>
      <c r="Q186" s="52">
        <v>1371971.1394789601</v>
      </c>
      <c r="R186" s="71">
        <v>1371932.35</v>
      </c>
    </row>
    <row r="187" spans="1:18" x14ac:dyDescent="0.25">
      <c r="A187" s="66" t="s">
        <v>82</v>
      </c>
      <c r="B187" s="44" t="s">
        <v>86</v>
      </c>
      <c r="C187" s="60">
        <v>45951</v>
      </c>
      <c r="D187" s="60">
        <v>45952</v>
      </c>
      <c r="E187" s="44">
        <v>617133</v>
      </c>
      <c r="F187" s="44" t="s">
        <v>83</v>
      </c>
      <c r="G187" s="44" t="s">
        <v>140</v>
      </c>
      <c r="H187" s="44">
        <v>280907</v>
      </c>
      <c r="I187" s="44">
        <v>1</v>
      </c>
      <c r="J187" s="44">
        <v>11.783686539746153</v>
      </c>
      <c r="K187" s="44">
        <v>100.577021</v>
      </c>
      <c r="L187" s="44">
        <v>607</v>
      </c>
      <c r="M187" s="52">
        <v>61050.251569806387</v>
      </c>
      <c r="N187" s="44"/>
      <c r="O187" s="44"/>
      <c r="P187" s="44" t="s">
        <v>81</v>
      </c>
      <c r="Q187" s="52">
        <v>61050.251569806387</v>
      </c>
      <c r="R187" s="71">
        <v>61061.7</v>
      </c>
    </row>
    <row r="188" spans="1:18" x14ac:dyDescent="0.25">
      <c r="A188" s="66" t="s">
        <v>82</v>
      </c>
      <c r="B188" s="44" t="s">
        <v>121</v>
      </c>
      <c r="C188" s="60">
        <v>45951</v>
      </c>
      <c r="D188" s="60">
        <v>45952</v>
      </c>
      <c r="E188" s="44">
        <v>617133</v>
      </c>
      <c r="F188" s="44" t="s">
        <v>83</v>
      </c>
      <c r="G188" s="44" t="s">
        <v>140</v>
      </c>
      <c r="H188" s="44">
        <v>280907</v>
      </c>
      <c r="I188" s="44">
        <v>1</v>
      </c>
      <c r="J188" s="44">
        <v>188.38368069472273</v>
      </c>
      <c r="K188" s="44">
        <v>100.577021</v>
      </c>
      <c r="L188" s="44">
        <v>9704</v>
      </c>
      <c r="M188" s="52">
        <v>975999.40895123733</v>
      </c>
      <c r="N188" s="44"/>
      <c r="O188" s="44"/>
      <c r="P188" s="44" t="s">
        <v>81</v>
      </c>
      <c r="Q188" s="52">
        <v>975999.40895123733</v>
      </c>
      <c r="R188" s="71">
        <v>976036.54</v>
      </c>
    </row>
    <row r="189" spans="1:18" x14ac:dyDescent="0.25">
      <c r="A189" s="66" t="s">
        <v>82</v>
      </c>
      <c r="B189" s="44" t="s">
        <v>85</v>
      </c>
      <c r="C189" s="60">
        <v>45952</v>
      </c>
      <c r="D189" s="60">
        <v>45952</v>
      </c>
      <c r="E189" s="44">
        <v>618367</v>
      </c>
      <c r="F189" s="44" t="s">
        <v>124</v>
      </c>
      <c r="G189" s="44" t="s">
        <v>140</v>
      </c>
      <c r="H189" s="44">
        <v>280907</v>
      </c>
      <c r="I189" s="44">
        <v>1</v>
      </c>
      <c r="J189" s="44">
        <v>6.95</v>
      </c>
      <c r="K189" s="61">
        <v>100.56188</v>
      </c>
      <c r="L189" s="44">
        <v>13643</v>
      </c>
      <c r="M189" s="52">
        <v>1371965.725764554</v>
      </c>
      <c r="N189" s="44"/>
      <c r="O189" s="59"/>
      <c r="P189" s="44" t="s">
        <v>125</v>
      </c>
      <c r="Q189" s="52">
        <v>1371965.725764554</v>
      </c>
      <c r="R189" s="70">
        <v>-33.380000000000003</v>
      </c>
    </row>
    <row r="190" spans="1:18" x14ac:dyDescent="0.25">
      <c r="A190" s="66" t="s">
        <v>82</v>
      </c>
      <c r="B190" s="44" t="s">
        <v>86</v>
      </c>
      <c r="C190" s="60">
        <v>45952</v>
      </c>
      <c r="D190" s="60">
        <v>45952</v>
      </c>
      <c r="E190" s="44">
        <v>618367</v>
      </c>
      <c r="F190" s="44" t="s">
        <v>124</v>
      </c>
      <c r="G190" s="44" t="s">
        <v>140</v>
      </c>
      <c r="H190" s="44">
        <v>280907</v>
      </c>
      <c r="I190" s="44">
        <v>1</v>
      </c>
      <c r="J190" s="44">
        <v>6.95</v>
      </c>
      <c r="K190" s="61">
        <v>100.56188</v>
      </c>
      <c r="L190" s="44">
        <v>607</v>
      </c>
      <c r="M190" s="52">
        <v>61041.061023168237</v>
      </c>
      <c r="N190" s="44"/>
      <c r="O190" s="59"/>
      <c r="P190" s="44" t="s">
        <v>125</v>
      </c>
      <c r="Q190" s="52">
        <v>61041.061023168237</v>
      </c>
      <c r="R190" s="70">
        <v>20.64</v>
      </c>
    </row>
    <row r="191" spans="1:18" x14ac:dyDescent="0.25">
      <c r="A191" s="66" t="s">
        <v>82</v>
      </c>
      <c r="B191" s="44" t="s">
        <v>121</v>
      </c>
      <c r="C191" s="60">
        <v>45952</v>
      </c>
      <c r="D191" s="60">
        <v>45952</v>
      </c>
      <c r="E191" s="44">
        <v>618367</v>
      </c>
      <c r="F191" s="44" t="s">
        <v>124</v>
      </c>
      <c r="G191" s="44" t="s">
        <v>140</v>
      </c>
      <c r="H191" s="44">
        <v>280907</v>
      </c>
      <c r="I191" s="44">
        <v>1</v>
      </c>
      <c r="J191" s="44">
        <v>6.95</v>
      </c>
      <c r="K191" s="61">
        <v>100.56188</v>
      </c>
      <c r="L191" s="44">
        <v>9705</v>
      </c>
      <c r="M191" s="52">
        <v>975953.04321226978</v>
      </c>
      <c r="N191" s="44"/>
      <c r="O191" s="59"/>
      <c r="P191" s="44" t="s">
        <v>125</v>
      </c>
      <c r="Q191" s="52">
        <v>975953.04321226978</v>
      </c>
      <c r="R191" s="70">
        <v>83.5</v>
      </c>
    </row>
    <row r="192" spans="1:18" x14ac:dyDescent="0.25">
      <c r="A192" s="66" t="s">
        <v>82</v>
      </c>
      <c r="B192" s="44" t="s">
        <v>85</v>
      </c>
      <c r="C192" s="60">
        <v>45952</v>
      </c>
      <c r="D192" s="60">
        <v>45953</v>
      </c>
      <c r="E192" s="44">
        <v>618367</v>
      </c>
      <c r="F192" s="44" t="s">
        <v>83</v>
      </c>
      <c r="G192" s="44" t="s">
        <v>140</v>
      </c>
      <c r="H192" s="44">
        <v>280907</v>
      </c>
      <c r="I192" s="44">
        <v>1</v>
      </c>
      <c r="J192" s="44">
        <v>264.86385222291756</v>
      </c>
      <c r="K192" s="61">
        <v>100.581294</v>
      </c>
      <c r="L192" s="44">
        <v>13643</v>
      </c>
      <c r="M192" s="52">
        <v>1372230.5896167839</v>
      </c>
      <c r="N192" s="44"/>
      <c r="O192" s="59"/>
      <c r="P192" s="44" t="s">
        <v>81</v>
      </c>
      <c r="Q192" s="52">
        <v>1372230.5896167839</v>
      </c>
      <c r="R192" s="71">
        <v>1372197.21</v>
      </c>
    </row>
    <row r="193" spans="1:18" x14ac:dyDescent="0.25">
      <c r="A193" s="66" t="s">
        <v>82</v>
      </c>
      <c r="B193" s="44" t="s">
        <v>86</v>
      </c>
      <c r="C193" s="60">
        <v>45952</v>
      </c>
      <c r="D193" s="60">
        <v>45953</v>
      </c>
      <c r="E193" s="44">
        <v>618367</v>
      </c>
      <c r="F193" s="44" t="s">
        <v>83</v>
      </c>
      <c r="G193" s="44" t="s">
        <v>140</v>
      </c>
      <c r="H193" s="44">
        <v>280907</v>
      </c>
      <c r="I193" s="44">
        <v>1</v>
      </c>
      <c r="J193" s="44">
        <v>11.784237946149011</v>
      </c>
      <c r="K193" s="61">
        <v>100.581294</v>
      </c>
      <c r="L193" s="44">
        <v>607</v>
      </c>
      <c r="M193" s="52">
        <v>61052.845261114693</v>
      </c>
      <c r="N193" s="44"/>
      <c r="O193" s="59"/>
      <c r="P193" s="44" t="s">
        <v>81</v>
      </c>
      <c r="Q193" s="52">
        <v>61052.845261114693</v>
      </c>
      <c r="R193" s="71">
        <v>61073.49</v>
      </c>
    </row>
    <row r="194" spans="1:18" x14ac:dyDescent="0.25">
      <c r="A194" s="66" t="s">
        <v>82</v>
      </c>
      <c r="B194" s="44" t="s">
        <v>121</v>
      </c>
      <c r="C194" s="60">
        <v>45952</v>
      </c>
      <c r="D194" s="60">
        <v>45953</v>
      </c>
      <c r="E194" s="44">
        <v>618367</v>
      </c>
      <c r="F194" s="44" t="s">
        <v>83</v>
      </c>
      <c r="G194" s="44" t="s">
        <v>140</v>
      </c>
      <c r="H194" s="44">
        <v>280907</v>
      </c>
      <c r="I194" s="44">
        <v>1</v>
      </c>
      <c r="J194" s="44">
        <v>188.4119098309327</v>
      </c>
      <c r="K194" s="61">
        <v>100.581294</v>
      </c>
      <c r="L194" s="44">
        <v>9705</v>
      </c>
      <c r="M194" s="52">
        <v>976141.45512210554</v>
      </c>
      <c r="N194" s="44"/>
      <c r="O194" s="59"/>
      <c r="P194" s="44" t="s">
        <v>81</v>
      </c>
      <c r="Q194" s="52">
        <v>976141.45512210554</v>
      </c>
      <c r="R194" s="71">
        <v>976224.96</v>
      </c>
    </row>
    <row r="195" spans="1:18" x14ac:dyDescent="0.25">
      <c r="A195" s="66" t="s">
        <v>82</v>
      </c>
      <c r="B195" s="44" t="s">
        <v>85</v>
      </c>
      <c r="C195" s="60">
        <v>45953</v>
      </c>
      <c r="D195" s="60">
        <v>45953</v>
      </c>
      <c r="E195" s="44">
        <v>619597</v>
      </c>
      <c r="F195" s="44" t="s">
        <v>124</v>
      </c>
      <c r="G195" s="44" t="s">
        <v>140</v>
      </c>
      <c r="H195" s="44">
        <v>280907</v>
      </c>
      <c r="I195" s="44">
        <v>1</v>
      </c>
      <c r="J195" s="44">
        <v>6.95</v>
      </c>
      <c r="K195" s="61">
        <v>100.58305799999999</v>
      </c>
      <c r="L195" s="44">
        <v>13642</v>
      </c>
      <c r="M195" s="52">
        <v>1372154.074735967</v>
      </c>
      <c r="N195" s="44"/>
      <c r="O195" s="59"/>
      <c r="P195" s="44" t="s">
        <v>125</v>
      </c>
      <c r="Q195" s="52">
        <v>1372154.074735967</v>
      </c>
      <c r="R195" s="70">
        <v>43.12</v>
      </c>
    </row>
    <row r="196" spans="1:18" x14ac:dyDescent="0.25">
      <c r="A196" s="66" t="s">
        <v>82</v>
      </c>
      <c r="B196" s="44" t="s">
        <v>86</v>
      </c>
      <c r="C196" s="60">
        <v>45953</v>
      </c>
      <c r="D196" s="60">
        <v>45953</v>
      </c>
      <c r="E196" s="44">
        <v>619597</v>
      </c>
      <c r="F196" s="44" t="s">
        <v>124</v>
      </c>
      <c r="G196" s="44" t="s">
        <v>140</v>
      </c>
      <c r="H196" s="44">
        <v>280907</v>
      </c>
      <c r="I196" s="44">
        <v>1</v>
      </c>
      <c r="J196" s="44">
        <v>6.95</v>
      </c>
      <c r="K196" s="61">
        <v>100.58305799999999</v>
      </c>
      <c r="L196" s="44">
        <v>607</v>
      </c>
      <c r="M196" s="52">
        <v>61053.916094761182</v>
      </c>
      <c r="N196" s="44"/>
      <c r="O196" s="59"/>
      <c r="P196" s="44" t="s">
        <v>125</v>
      </c>
      <c r="Q196" s="52">
        <v>61053.916094761182</v>
      </c>
      <c r="R196" s="70">
        <v>19.559999999999999</v>
      </c>
    </row>
    <row r="197" spans="1:18" x14ac:dyDescent="0.25">
      <c r="A197" s="66" t="s">
        <v>82</v>
      </c>
      <c r="B197" s="44" t="s">
        <v>121</v>
      </c>
      <c r="C197" s="60">
        <v>45953</v>
      </c>
      <c r="D197" s="60">
        <v>45953</v>
      </c>
      <c r="E197" s="44">
        <v>619597</v>
      </c>
      <c r="F197" s="44" t="s">
        <v>124</v>
      </c>
      <c r="G197" s="44" t="s">
        <v>140</v>
      </c>
      <c r="H197" s="44">
        <v>280907</v>
      </c>
      <c r="I197" s="44">
        <v>1</v>
      </c>
      <c r="J197" s="44">
        <v>6.95</v>
      </c>
      <c r="K197" s="61">
        <v>100.58305799999999</v>
      </c>
      <c r="L197" s="44">
        <v>9706</v>
      </c>
      <c r="M197" s="52">
        <v>976259.15916927846</v>
      </c>
      <c r="N197" s="44"/>
      <c r="O197" s="59"/>
      <c r="P197" s="44" t="s">
        <v>125</v>
      </c>
      <c r="Q197" s="52">
        <v>976259.15916927846</v>
      </c>
      <c r="R197" s="70">
        <v>-34.19</v>
      </c>
    </row>
    <row r="198" spans="1:18" x14ac:dyDescent="0.25">
      <c r="A198" s="66" t="s">
        <v>82</v>
      </c>
      <c r="B198" s="44" t="s">
        <v>121</v>
      </c>
      <c r="C198" s="60">
        <v>45953</v>
      </c>
      <c r="D198" s="60">
        <v>45954</v>
      </c>
      <c r="E198" s="44">
        <v>183</v>
      </c>
      <c r="F198" s="44" t="s">
        <v>166</v>
      </c>
      <c r="G198" s="44" t="s">
        <v>150</v>
      </c>
      <c r="H198" s="44" t="s">
        <v>94</v>
      </c>
      <c r="I198" s="44"/>
      <c r="J198" s="44"/>
      <c r="K198" s="61">
        <v>762.06</v>
      </c>
      <c r="L198" s="44">
        <v>150</v>
      </c>
      <c r="M198" s="52">
        <v>114309</v>
      </c>
      <c r="N198" s="44"/>
      <c r="O198" s="59"/>
      <c r="P198" s="44" t="s">
        <v>81</v>
      </c>
      <c r="Q198" s="52">
        <v>114309</v>
      </c>
      <c r="R198" s="71">
        <v>114274.81</v>
      </c>
    </row>
    <row r="199" spans="1:18" x14ac:dyDescent="0.25">
      <c r="A199" s="66"/>
      <c r="B199" s="44" t="s">
        <v>121</v>
      </c>
      <c r="C199" s="60">
        <v>45953</v>
      </c>
      <c r="D199" s="60">
        <v>45954</v>
      </c>
      <c r="E199" s="44">
        <v>183</v>
      </c>
      <c r="F199" s="44" t="s">
        <v>165</v>
      </c>
      <c r="G199" s="44" t="s">
        <v>150</v>
      </c>
      <c r="H199" s="44" t="s">
        <v>94</v>
      </c>
      <c r="I199" s="44"/>
      <c r="J199" s="44"/>
      <c r="K199" s="61"/>
      <c r="L199" s="44"/>
      <c r="M199" s="44">
        <v>102.8781</v>
      </c>
      <c r="N199" s="113">
        <v>8.9999999999999998E-4</v>
      </c>
      <c r="O199" s="59">
        <v>16.460495999999999</v>
      </c>
      <c r="P199" s="44" t="s">
        <v>125</v>
      </c>
      <c r="Q199" s="44">
        <v>119.338596</v>
      </c>
      <c r="R199" s="71">
        <v>114155.471404</v>
      </c>
    </row>
    <row r="200" spans="1:18" x14ac:dyDescent="0.25">
      <c r="A200" s="66"/>
      <c r="B200" s="44" t="s">
        <v>85</v>
      </c>
      <c r="C200" s="60">
        <v>45953</v>
      </c>
      <c r="D200" s="60">
        <v>45954</v>
      </c>
      <c r="E200" s="44">
        <v>184</v>
      </c>
      <c r="F200" s="44" t="s">
        <v>166</v>
      </c>
      <c r="G200" s="44" t="s">
        <v>131</v>
      </c>
      <c r="H200" s="44" t="s">
        <v>94</v>
      </c>
      <c r="I200" s="44"/>
      <c r="J200" s="44"/>
      <c r="K200" s="61">
        <v>1525.64</v>
      </c>
      <c r="L200" s="44">
        <v>206</v>
      </c>
      <c r="M200" s="52">
        <v>314281.84000000003</v>
      </c>
      <c r="N200" s="44"/>
      <c r="O200" s="59"/>
      <c r="P200" s="44" t="s">
        <v>81</v>
      </c>
      <c r="Q200" s="52">
        <v>314281.84000000003</v>
      </c>
      <c r="R200" s="71">
        <v>314324.96000000002</v>
      </c>
    </row>
    <row r="201" spans="1:18" x14ac:dyDescent="0.25">
      <c r="A201" s="66"/>
      <c r="B201" s="44" t="s">
        <v>85</v>
      </c>
      <c r="C201" s="60">
        <v>45953</v>
      </c>
      <c r="D201" s="60">
        <v>45954</v>
      </c>
      <c r="E201" s="44">
        <v>184</v>
      </c>
      <c r="F201" s="44" t="s">
        <v>165</v>
      </c>
      <c r="G201" s="44" t="s">
        <v>131</v>
      </c>
      <c r="H201" s="44" t="s">
        <v>94</v>
      </c>
      <c r="I201" s="44"/>
      <c r="J201" s="44"/>
      <c r="K201" s="61"/>
      <c r="L201" s="44"/>
      <c r="M201" s="44">
        <v>282.853656</v>
      </c>
      <c r="N201" s="113">
        <v>8.9999999999999998E-4</v>
      </c>
      <c r="O201" s="59">
        <v>45.256583999999997</v>
      </c>
      <c r="P201" s="44" t="s">
        <v>125</v>
      </c>
      <c r="Q201" s="44">
        <v>328.11023999999998</v>
      </c>
      <c r="R201" s="71">
        <v>313996.84976000001</v>
      </c>
    </row>
    <row r="202" spans="1:18" x14ac:dyDescent="0.25">
      <c r="A202" s="66"/>
      <c r="B202" s="44" t="s">
        <v>121</v>
      </c>
      <c r="C202" s="60">
        <v>45953</v>
      </c>
      <c r="D202" s="60">
        <v>45954</v>
      </c>
      <c r="E202" s="44">
        <v>184</v>
      </c>
      <c r="F202" s="44" t="s">
        <v>166</v>
      </c>
      <c r="G202" s="44" t="s">
        <v>131</v>
      </c>
      <c r="H202" s="44" t="s">
        <v>94</v>
      </c>
      <c r="I202" s="44"/>
      <c r="J202" s="44"/>
      <c r="K202" s="61">
        <v>1525.64</v>
      </c>
      <c r="L202" s="44">
        <v>138</v>
      </c>
      <c r="M202" s="52">
        <v>210538.32</v>
      </c>
      <c r="N202" s="44"/>
      <c r="O202" s="59"/>
      <c r="P202" s="44" t="s">
        <v>81</v>
      </c>
      <c r="Q202" s="52">
        <v>210538.32</v>
      </c>
      <c r="R202" s="71">
        <v>324693.79140400002</v>
      </c>
    </row>
    <row r="203" spans="1:18" x14ac:dyDescent="0.25">
      <c r="A203" s="66"/>
      <c r="B203" s="44" t="s">
        <v>121</v>
      </c>
      <c r="C203" s="60">
        <v>45953</v>
      </c>
      <c r="D203" s="60">
        <v>45954</v>
      </c>
      <c r="E203" s="44">
        <v>184</v>
      </c>
      <c r="F203" s="44" t="s">
        <v>165</v>
      </c>
      <c r="G203" s="44" t="s">
        <v>131</v>
      </c>
      <c r="H203" s="44" t="s">
        <v>94</v>
      </c>
      <c r="I203" s="44"/>
      <c r="J203" s="44"/>
      <c r="K203" s="61"/>
      <c r="L203" s="44"/>
      <c r="M203" s="44">
        <v>189.484488</v>
      </c>
      <c r="N203" s="113">
        <v>8.9999999999999998E-4</v>
      </c>
      <c r="O203" s="59">
        <v>30.317518</v>
      </c>
      <c r="P203" s="44" t="s">
        <v>125</v>
      </c>
      <c r="Q203" s="44">
        <v>219.80200600000001</v>
      </c>
      <c r="R203" s="71">
        <v>324473.98939800001</v>
      </c>
    </row>
    <row r="204" spans="1:18" x14ac:dyDescent="0.25">
      <c r="A204" s="66"/>
      <c r="B204" s="44" t="s">
        <v>85</v>
      </c>
      <c r="C204" s="60">
        <v>45953</v>
      </c>
      <c r="D204" s="60">
        <v>45954</v>
      </c>
      <c r="E204" s="44">
        <v>185</v>
      </c>
      <c r="F204" s="44" t="s">
        <v>164</v>
      </c>
      <c r="G204" s="44" t="s">
        <v>151</v>
      </c>
      <c r="H204" s="44" t="s">
        <v>94</v>
      </c>
      <c r="I204" s="44"/>
      <c r="J204" s="44"/>
      <c r="K204" s="61">
        <v>1487</v>
      </c>
      <c r="L204" s="44">
        <v>30</v>
      </c>
      <c r="M204" s="52">
        <v>44610</v>
      </c>
      <c r="N204" s="44"/>
      <c r="O204" s="59"/>
      <c r="P204" s="44" t="s">
        <v>125</v>
      </c>
      <c r="Q204" s="52">
        <v>44610</v>
      </c>
      <c r="R204" s="71">
        <v>269386.84976000001</v>
      </c>
    </row>
    <row r="205" spans="1:18" x14ac:dyDescent="0.25">
      <c r="A205" s="66"/>
      <c r="B205" s="44" t="s">
        <v>85</v>
      </c>
      <c r="C205" s="60">
        <v>45953</v>
      </c>
      <c r="D205" s="60">
        <v>45954</v>
      </c>
      <c r="E205" s="44">
        <v>185</v>
      </c>
      <c r="F205" s="44" t="s">
        <v>165</v>
      </c>
      <c r="G205" s="44" t="s">
        <v>151</v>
      </c>
      <c r="H205" s="44" t="s">
        <v>94</v>
      </c>
      <c r="I205" s="44"/>
      <c r="J205" s="44"/>
      <c r="K205" s="61"/>
      <c r="L205" s="44"/>
      <c r="M205" s="44">
        <v>40.149000000000001</v>
      </c>
      <c r="N205" s="113">
        <v>8.9999999999999998E-4</v>
      </c>
      <c r="O205" s="59">
        <v>6.4238400000000002</v>
      </c>
      <c r="P205" s="44" t="s">
        <v>125</v>
      </c>
      <c r="Q205" s="44">
        <v>46.572839999999999</v>
      </c>
      <c r="R205" s="71">
        <v>269340.27692000003</v>
      </c>
    </row>
    <row r="206" spans="1:18" x14ac:dyDescent="0.25">
      <c r="A206" s="66"/>
      <c r="B206" s="44" t="s">
        <v>121</v>
      </c>
      <c r="C206" s="60">
        <v>45953</v>
      </c>
      <c r="D206" s="60">
        <v>45954</v>
      </c>
      <c r="E206" s="44">
        <v>185</v>
      </c>
      <c r="F206" s="44" t="s">
        <v>164</v>
      </c>
      <c r="G206" s="44" t="s">
        <v>151</v>
      </c>
      <c r="H206" s="44" t="s">
        <v>94</v>
      </c>
      <c r="I206" s="44"/>
      <c r="J206" s="44"/>
      <c r="K206" s="61">
        <v>1487</v>
      </c>
      <c r="L206" s="44">
        <v>20</v>
      </c>
      <c r="M206" s="52">
        <v>29740</v>
      </c>
      <c r="N206" s="44"/>
      <c r="O206" s="59"/>
      <c r="P206" s="44" t="s">
        <v>125</v>
      </c>
      <c r="Q206" s="52">
        <v>29740</v>
      </c>
      <c r="R206" s="71">
        <v>294733.98939800001</v>
      </c>
    </row>
    <row r="207" spans="1:18" x14ac:dyDescent="0.25">
      <c r="A207" s="66"/>
      <c r="B207" s="44" t="s">
        <v>121</v>
      </c>
      <c r="C207" s="60">
        <v>45953</v>
      </c>
      <c r="D207" s="60">
        <v>45954</v>
      </c>
      <c r="E207" s="44">
        <v>185</v>
      </c>
      <c r="F207" s="44" t="s">
        <v>165</v>
      </c>
      <c r="G207" s="44" t="s">
        <v>151</v>
      </c>
      <c r="H207" s="44" t="s">
        <v>94</v>
      </c>
      <c r="I207" s="44"/>
      <c r="J207" s="44"/>
      <c r="K207" s="61"/>
      <c r="L207" s="44"/>
      <c r="M207" s="44">
        <v>26.765999999999998</v>
      </c>
      <c r="N207" s="113">
        <v>8.9999999999999998E-4</v>
      </c>
      <c r="O207" s="59">
        <v>4.2825600000000001</v>
      </c>
      <c r="P207" s="44" t="s">
        <v>125</v>
      </c>
      <c r="Q207" s="44">
        <v>31.048559999999998</v>
      </c>
      <c r="R207" s="71">
        <v>294702.94083799998</v>
      </c>
    </row>
    <row r="208" spans="1:18" x14ac:dyDescent="0.25">
      <c r="A208" s="66"/>
      <c r="B208" s="44" t="s">
        <v>85</v>
      </c>
      <c r="C208" s="60">
        <v>45953</v>
      </c>
      <c r="D208" s="60">
        <v>45954</v>
      </c>
      <c r="E208" s="44">
        <v>186</v>
      </c>
      <c r="F208" s="44" t="s">
        <v>164</v>
      </c>
      <c r="G208" s="44" t="s">
        <v>152</v>
      </c>
      <c r="H208" s="44" t="s">
        <v>94</v>
      </c>
      <c r="I208" s="44"/>
      <c r="J208" s="44"/>
      <c r="K208" s="61">
        <v>440</v>
      </c>
      <c r="L208" s="44">
        <v>90</v>
      </c>
      <c r="M208" s="52">
        <v>39600</v>
      </c>
      <c r="N208" s="44"/>
      <c r="O208" s="59"/>
      <c r="P208" s="44" t="s">
        <v>125</v>
      </c>
      <c r="Q208" s="52">
        <v>39600</v>
      </c>
      <c r="R208" s="71">
        <v>229740.27692000003</v>
      </c>
    </row>
    <row r="209" spans="1:18" x14ac:dyDescent="0.25">
      <c r="A209" s="66"/>
      <c r="B209" s="44" t="s">
        <v>85</v>
      </c>
      <c r="C209" s="60">
        <v>45953</v>
      </c>
      <c r="D209" s="60">
        <v>45954</v>
      </c>
      <c r="E209" s="44">
        <v>186</v>
      </c>
      <c r="F209" s="44" t="s">
        <v>165</v>
      </c>
      <c r="G209" s="44" t="s">
        <v>152</v>
      </c>
      <c r="H209" s="44" t="s">
        <v>94</v>
      </c>
      <c r="I209" s="44"/>
      <c r="J209" s="44"/>
      <c r="K209" s="61"/>
      <c r="L209" s="44"/>
      <c r="M209" s="44">
        <v>35.64</v>
      </c>
      <c r="N209" s="113">
        <v>8.9999999999999998E-4</v>
      </c>
      <c r="O209" s="59">
        <v>5.7023999999999999</v>
      </c>
      <c r="P209" s="44" t="s">
        <v>125</v>
      </c>
      <c r="Q209" s="44">
        <v>41.342399999999998</v>
      </c>
      <c r="R209" s="71">
        <v>229698.93452000004</v>
      </c>
    </row>
    <row r="210" spans="1:18" x14ac:dyDescent="0.25">
      <c r="A210" s="66"/>
      <c r="B210" s="44" t="s">
        <v>121</v>
      </c>
      <c r="C210" s="60">
        <v>45953</v>
      </c>
      <c r="D210" s="60">
        <v>45954</v>
      </c>
      <c r="E210" s="44">
        <v>186</v>
      </c>
      <c r="F210" s="44" t="s">
        <v>164</v>
      </c>
      <c r="G210" s="44" t="s">
        <v>152</v>
      </c>
      <c r="H210" s="44" t="s">
        <v>94</v>
      </c>
      <c r="I210" s="44"/>
      <c r="J210" s="44"/>
      <c r="K210" s="61">
        <v>438</v>
      </c>
      <c r="L210" s="44">
        <v>60</v>
      </c>
      <c r="M210" s="52">
        <v>26280</v>
      </c>
      <c r="N210" s="44"/>
      <c r="O210" s="59"/>
      <c r="P210" s="44" t="s">
        <v>125</v>
      </c>
      <c r="Q210" s="52">
        <v>26280</v>
      </c>
      <c r="R210" s="71">
        <v>268422.94083799998</v>
      </c>
    </row>
    <row r="211" spans="1:18" x14ac:dyDescent="0.25">
      <c r="A211" s="66"/>
      <c r="B211" s="44" t="s">
        <v>121</v>
      </c>
      <c r="C211" s="60">
        <v>45953</v>
      </c>
      <c r="D211" s="60">
        <v>45954</v>
      </c>
      <c r="E211" s="44">
        <v>186</v>
      </c>
      <c r="F211" s="44" t="s">
        <v>165</v>
      </c>
      <c r="G211" s="44" t="s">
        <v>152</v>
      </c>
      <c r="H211" s="44" t="s">
        <v>94</v>
      </c>
      <c r="I211" s="44"/>
      <c r="J211" s="44"/>
      <c r="K211" s="61"/>
      <c r="L211" s="44"/>
      <c r="M211" s="44">
        <v>23.652000000000001</v>
      </c>
      <c r="N211" s="113">
        <v>8.9999999999999998E-4</v>
      </c>
      <c r="O211" s="59">
        <v>3.7843200000000001</v>
      </c>
      <c r="P211" s="44" t="s">
        <v>125</v>
      </c>
      <c r="Q211" s="44">
        <v>27.436319999999998</v>
      </c>
      <c r="R211" s="71">
        <v>268395.504518</v>
      </c>
    </row>
    <row r="212" spans="1:18" x14ac:dyDescent="0.25">
      <c r="A212" s="66"/>
      <c r="B212" s="44" t="s">
        <v>85</v>
      </c>
      <c r="C212" s="60">
        <v>45953</v>
      </c>
      <c r="D212" s="60">
        <v>45954</v>
      </c>
      <c r="E212" s="44">
        <v>187</v>
      </c>
      <c r="F212" s="44" t="s">
        <v>164</v>
      </c>
      <c r="G212" s="44" t="s">
        <v>155</v>
      </c>
      <c r="H212" s="44" t="s">
        <v>94</v>
      </c>
      <c r="I212" s="44"/>
      <c r="J212" s="44"/>
      <c r="K212" s="61">
        <v>6643</v>
      </c>
      <c r="L212" s="44">
        <v>35</v>
      </c>
      <c r="M212" s="52">
        <v>232505</v>
      </c>
      <c r="N212" s="44"/>
      <c r="O212" s="59"/>
      <c r="P212" s="44" t="s">
        <v>125</v>
      </c>
      <c r="Q212" s="52">
        <v>232505</v>
      </c>
      <c r="R212" s="71">
        <v>-2806.0654799999611</v>
      </c>
    </row>
    <row r="213" spans="1:18" x14ac:dyDescent="0.25">
      <c r="A213" s="66"/>
      <c r="B213" s="44" t="s">
        <v>85</v>
      </c>
      <c r="C213" s="60">
        <v>45953</v>
      </c>
      <c r="D213" s="60">
        <v>45954</v>
      </c>
      <c r="E213" s="44">
        <v>187</v>
      </c>
      <c r="F213" s="44" t="s">
        <v>165</v>
      </c>
      <c r="G213" s="44" t="s">
        <v>155</v>
      </c>
      <c r="H213" s="44" t="s">
        <v>94</v>
      </c>
      <c r="I213" s="44"/>
      <c r="J213" s="44"/>
      <c r="K213" s="61"/>
      <c r="L213" s="44"/>
      <c r="M213" s="44">
        <v>209.25450000000001</v>
      </c>
      <c r="N213" s="113">
        <v>8.9999999999999998E-4</v>
      </c>
      <c r="O213" s="59">
        <v>33.480719999999998</v>
      </c>
      <c r="P213" s="44" t="s">
        <v>125</v>
      </c>
      <c r="Q213" s="44">
        <v>242.73522</v>
      </c>
      <c r="R213" s="71">
        <v>-3048.8006999999611</v>
      </c>
    </row>
    <row r="214" spans="1:18" x14ac:dyDescent="0.25">
      <c r="A214" s="66"/>
      <c r="B214" s="44" t="s">
        <v>121</v>
      </c>
      <c r="C214" s="60">
        <v>45953</v>
      </c>
      <c r="D214" s="60">
        <v>45954</v>
      </c>
      <c r="E214" s="44">
        <v>187</v>
      </c>
      <c r="F214" s="44" t="s">
        <v>164</v>
      </c>
      <c r="G214" s="44" t="s">
        <v>155</v>
      </c>
      <c r="H214" s="44" t="s">
        <v>94</v>
      </c>
      <c r="I214" s="44"/>
      <c r="J214" s="44"/>
      <c r="K214" s="61">
        <v>6643</v>
      </c>
      <c r="L214" s="44">
        <v>10</v>
      </c>
      <c r="M214" s="52">
        <v>66430</v>
      </c>
      <c r="N214" s="44"/>
      <c r="O214" s="59"/>
      <c r="P214" s="44" t="s">
        <v>125</v>
      </c>
      <c r="Q214" s="52">
        <v>66430</v>
      </c>
      <c r="R214" s="71">
        <v>201965.504518</v>
      </c>
    </row>
    <row r="215" spans="1:18" x14ac:dyDescent="0.25">
      <c r="A215" s="66"/>
      <c r="B215" s="44" t="s">
        <v>121</v>
      </c>
      <c r="C215" s="60">
        <v>45953</v>
      </c>
      <c r="D215" s="60">
        <v>45954</v>
      </c>
      <c r="E215" s="44">
        <v>187</v>
      </c>
      <c r="F215" s="44" t="s">
        <v>165</v>
      </c>
      <c r="G215" s="44" t="s">
        <v>155</v>
      </c>
      <c r="H215" s="44" t="s">
        <v>94</v>
      </c>
      <c r="I215" s="44"/>
      <c r="J215" s="44"/>
      <c r="K215" s="61"/>
      <c r="L215" s="44"/>
      <c r="M215" s="44">
        <v>59.786999999999999</v>
      </c>
      <c r="N215" s="113">
        <v>8.9999999999999998E-4</v>
      </c>
      <c r="O215" s="59">
        <v>9.5659200000000002</v>
      </c>
      <c r="P215" s="44" t="s">
        <v>125</v>
      </c>
      <c r="Q215" s="44">
        <v>69.352919999999997</v>
      </c>
      <c r="R215" s="71">
        <v>201896.151598</v>
      </c>
    </row>
    <row r="216" spans="1:18" x14ac:dyDescent="0.25">
      <c r="A216" s="66"/>
      <c r="B216" s="44" t="s">
        <v>121</v>
      </c>
      <c r="C216" s="60">
        <v>45953</v>
      </c>
      <c r="D216" s="60">
        <v>45954</v>
      </c>
      <c r="E216" s="44">
        <v>187</v>
      </c>
      <c r="F216" s="44" t="s">
        <v>164</v>
      </c>
      <c r="G216" s="44" t="s">
        <v>155</v>
      </c>
      <c r="H216" s="44" t="s">
        <v>94</v>
      </c>
      <c r="I216" s="44"/>
      <c r="J216" s="44"/>
      <c r="K216" s="61">
        <v>6643</v>
      </c>
      <c r="L216" s="44">
        <v>5</v>
      </c>
      <c r="M216" s="52">
        <v>33215</v>
      </c>
      <c r="N216" s="44"/>
      <c r="O216" s="59"/>
      <c r="P216" s="44" t="s">
        <v>125</v>
      </c>
      <c r="Q216" s="52">
        <v>33215</v>
      </c>
      <c r="R216" s="71">
        <v>168681.151598</v>
      </c>
    </row>
    <row r="217" spans="1:18" x14ac:dyDescent="0.25">
      <c r="A217" s="66"/>
      <c r="B217" s="44" t="s">
        <v>121</v>
      </c>
      <c r="C217" s="60">
        <v>45953</v>
      </c>
      <c r="D217" s="60">
        <v>45954</v>
      </c>
      <c r="E217" s="44">
        <v>187</v>
      </c>
      <c r="F217" s="44" t="s">
        <v>165</v>
      </c>
      <c r="G217" s="44" t="s">
        <v>155</v>
      </c>
      <c r="H217" s="44" t="s">
        <v>94</v>
      </c>
      <c r="I217" s="44"/>
      <c r="J217" s="44"/>
      <c r="K217" s="61"/>
      <c r="L217" s="44"/>
      <c r="M217" s="44">
        <v>29.8935</v>
      </c>
      <c r="N217" s="113">
        <v>8.9999999999999998E-4</v>
      </c>
      <c r="O217" s="59">
        <v>4.7829600000000001</v>
      </c>
      <c r="P217" s="44" t="s">
        <v>125</v>
      </c>
      <c r="Q217" s="44">
        <v>34.676459999999999</v>
      </c>
      <c r="R217" s="71">
        <v>168646.47513800001</v>
      </c>
    </row>
    <row r="218" spans="1:18" x14ac:dyDescent="0.25">
      <c r="A218" s="66"/>
      <c r="B218" s="44" t="s">
        <v>85</v>
      </c>
      <c r="C218" s="60">
        <v>45953</v>
      </c>
      <c r="D218" s="60">
        <v>45954</v>
      </c>
      <c r="E218" s="44">
        <v>188</v>
      </c>
      <c r="F218" s="44" t="s">
        <v>164</v>
      </c>
      <c r="G218" s="44" t="s">
        <v>146</v>
      </c>
      <c r="H218" s="44">
        <v>12</v>
      </c>
      <c r="I218" s="44"/>
      <c r="J218" s="44"/>
      <c r="K218" s="61">
        <v>8.1199999999999992</v>
      </c>
      <c r="L218" s="44">
        <v>400</v>
      </c>
      <c r="M218" s="52">
        <v>3248</v>
      </c>
      <c r="N218" s="44"/>
      <c r="O218" s="59"/>
      <c r="P218" s="44" t="s">
        <v>125</v>
      </c>
      <c r="Q218" s="52">
        <v>3248</v>
      </c>
      <c r="R218" s="71">
        <v>-6296.8006999999616</v>
      </c>
    </row>
    <row r="219" spans="1:18" x14ac:dyDescent="0.25">
      <c r="A219" s="79"/>
      <c r="B219" s="44" t="s">
        <v>85</v>
      </c>
      <c r="C219" s="92">
        <v>45953</v>
      </c>
      <c r="D219" s="92">
        <v>45954</v>
      </c>
      <c r="E219" s="77">
        <v>188</v>
      </c>
      <c r="F219" s="77" t="s">
        <v>165</v>
      </c>
      <c r="G219" s="77" t="s">
        <v>146</v>
      </c>
      <c r="H219" s="77">
        <v>12</v>
      </c>
      <c r="I219" s="77"/>
      <c r="J219" s="77"/>
      <c r="K219" s="103"/>
      <c r="L219" s="77"/>
      <c r="M219" s="77">
        <v>2.9232</v>
      </c>
      <c r="N219" s="114">
        <v>8.9999999999999998E-4</v>
      </c>
      <c r="O219" s="93">
        <v>0.46771200000000002</v>
      </c>
      <c r="P219" s="77" t="s">
        <v>125</v>
      </c>
      <c r="Q219" s="77">
        <v>3.3909120000000001</v>
      </c>
      <c r="R219" s="94">
        <v>-6300.1916119999614</v>
      </c>
    </row>
    <row r="220" spans="1:18" x14ac:dyDescent="0.25">
      <c r="A220" s="66"/>
      <c r="B220" s="44" t="s">
        <v>85</v>
      </c>
      <c r="C220" s="60">
        <v>45953</v>
      </c>
      <c r="D220" s="60">
        <v>45954</v>
      </c>
      <c r="E220" s="44">
        <v>188</v>
      </c>
      <c r="F220" s="44" t="s">
        <v>164</v>
      </c>
      <c r="G220" s="44" t="s">
        <v>146</v>
      </c>
      <c r="H220" s="44">
        <v>12</v>
      </c>
      <c r="I220" s="44"/>
      <c r="J220" s="44"/>
      <c r="K220" s="44">
        <v>8.1199999999999992</v>
      </c>
      <c r="L220" s="44">
        <v>200</v>
      </c>
      <c r="M220" s="52">
        <v>1624</v>
      </c>
      <c r="N220" s="44"/>
      <c r="O220" s="44"/>
      <c r="P220" s="44" t="s">
        <v>125</v>
      </c>
      <c r="Q220" s="52">
        <v>1624</v>
      </c>
      <c r="R220" s="94">
        <v>-7924.1916119999614</v>
      </c>
    </row>
    <row r="221" spans="1:18" x14ac:dyDescent="0.25">
      <c r="A221" s="66"/>
      <c r="B221" s="44" t="s">
        <v>85</v>
      </c>
      <c r="C221" s="60">
        <v>45953</v>
      </c>
      <c r="D221" s="60">
        <v>45954</v>
      </c>
      <c r="E221" s="44">
        <v>188</v>
      </c>
      <c r="F221" s="44" t="s">
        <v>165</v>
      </c>
      <c r="G221" s="44" t="s">
        <v>146</v>
      </c>
      <c r="H221" s="44">
        <v>12</v>
      </c>
      <c r="I221" s="44"/>
      <c r="J221" s="44"/>
      <c r="K221" s="61"/>
      <c r="L221" s="44"/>
      <c r="M221" s="44">
        <v>1.4616</v>
      </c>
      <c r="N221" s="113">
        <v>8.9999999999999998E-4</v>
      </c>
      <c r="O221" s="59">
        <v>0.23385600000000001</v>
      </c>
      <c r="P221" s="44" t="s">
        <v>125</v>
      </c>
      <c r="Q221" s="44">
        <v>1.6954560000000001</v>
      </c>
      <c r="R221" s="94">
        <v>-7925.8870679999618</v>
      </c>
    </row>
    <row r="222" spans="1:18" x14ac:dyDescent="0.25">
      <c r="A222" s="66"/>
      <c r="B222" s="44" t="s">
        <v>85</v>
      </c>
      <c r="C222" s="60">
        <v>45953</v>
      </c>
      <c r="D222" s="60">
        <v>45954</v>
      </c>
      <c r="E222" s="44">
        <v>188</v>
      </c>
      <c r="F222" s="44" t="s">
        <v>164</v>
      </c>
      <c r="G222" s="44" t="s">
        <v>146</v>
      </c>
      <c r="H222" s="44">
        <v>12</v>
      </c>
      <c r="I222" s="44"/>
      <c r="J222" s="44"/>
      <c r="K222" s="61">
        <v>8.1199999999999992</v>
      </c>
      <c r="L222" s="44">
        <v>59</v>
      </c>
      <c r="M222" s="44">
        <v>479.08</v>
      </c>
      <c r="N222" s="44"/>
      <c r="O222" s="59"/>
      <c r="P222" s="44" t="s">
        <v>125</v>
      </c>
      <c r="Q222" s="44">
        <v>479.08</v>
      </c>
      <c r="R222" s="94">
        <v>-8404.9670679999617</v>
      </c>
    </row>
    <row r="223" spans="1:18" x14ac:dyDescent="0.25">
      <c r="A223" s="66"/>
      <c r="B223" s="44" t="s">
        <v>85</v>
      </c>
      <c r="C223" s="60">
        <v>45953</v>
      </c>
      <c r="D223" s="60">
        <v>45954</v>
      </c>
      <c r="E223" s="44">
        <v>188</v>
      </c>
      <c r="F223" s="44" t="s">
        <v>165</v>
      </c>
      <c r="G223" s="44" t="s">
        <v>146</v>
      </c>
      <c r="H223" s="44">
        <v>12</v>
      </c>
      <c r="I223" s="44"/>
      <c r="J223" s="44"/>
      <c r="K223" s="61"/>
      <c r="L223" s="44"/>
      <c r="M223" s="44">
        <v>0.431172</v>
      </c>
      <c r="N223" s="113">
        <v>8.9999999999999998E-4</v>
      </c>
      <c r="O223" s="59">
        <v>6.8987000000000007E-2</v>
      </c>
      <c r="P223" s="44" t="s">
        <v>125</v>
      </c>
      <c r="Q223" s="44">
        <v>0.50015900000000002</v>
      </c>
      <c r="R223" s="94">
        <v>-8405.467226999961</v>
      </c>
    </row>
    <row r="224" spans="1:18" x14ac:dyDescent="0.25">
      <c r="A224" s="66"/>
      <c r="B224" s="44" t="s">
        <v>85</v>
      </c>
      <c r="C224" s="60">
        <v>45953</v>
      </c>
      <c r="D224" s="60">
        <v>45954</v>
      </c>
      <c r="E224" s="44">
        <v>188</v>
      </c>
      <c r="F224" s="44" t="s">
        <v>164</v>
      </c>
      <c r="G224" s="44" t="s">
        <v>146</v>
      </c>
      <c r="H224" s="44">
        <v>12</v>
      </c>
      <c r="I224" s="44"/>
      <c r="J224" s="44"/>
      <c r="K224" s="61">
        <v>8.1199999999999992</v>
      </c>
      <c r="L224" s="44">
        <v>47</v>
      </c>
      <c r="M224" s="44">
        <v>381.64</v>
      </c>
      <c r="N224" s="44"/>
      <c r="O224" s="59"/>
      <c r="P224" s="44" t="s">
        <v>125</v>
      </c>
      <c r="Q224" s="44">
        <v>381.64</v>
      </c>
      <c r="R224" s="94">
        <v>-8787.1072269999604</v>
      </c>
    </row>
    <row r="225" spans="1:18" x14ac:dyDescent="0.25">
      <c r="A225" s="66"/>
      <c r="B225" s="44" t="s">
        <v>85</v>
      </c>
      <c r="C225" s="60">
        <v>45953</v>
      </c>
      <c r="D225" s="60">
        <v>45954</v>
      </c>
      <c r="E225" s="44">
        <v>188</v>
      </c>
      <c r="F225" s="44" t="s">
        <v>165</v>
      </c>
      <c r="G225" s="44" t="s">
        <v>146</v>
      </c>
      <c r="H225" s="44">
        <v>12</v>
      </c>
      <c r="I225" s="44"/>
      <c r="J225" s="44"/>
      <c r="K225" s="61"/>
      <c r="L225" s="44"/>
      <c r="M225" s="44">
        <v>0.343476</v>
      </c>
      <c r="N225" s="113">
        <v>8.9999999999999998E-4</v>
      </c>
      <c r="O225" s="59">
        <v>5.4955999999999998E-2</v>
      </c>
      <c r="P225" s="44" t="s">
        <v>125</v>
      </c>
      <c r="Q225" s="44">
        <v>0.39843200000000001</v>
      </c>
      <c r="R225" s="94">
        <v>-8787.5056589999604</v>
      </c>
    </row>
    <row r="226" spans="1:18" x14ac:dyDescent="0.25">
      <c r="A226" s="66"/>
      <c r="B226" s="44" t="s">
        <v>85</v>
      </c>
      <c r="C226" s="60">
        <v>45953</v>
      </c>
      <c r="D226" s="60">
        <v>45954</v>
      </c>
      <c r="E226" s="44">
        <v>188</v>
      </c>
      <c r="F226" s="44" t="s">
        <v>164</v>
      </c>
      <c r="G226" s="44" t="s">
        <v>146</v>
      </c>
      <c r="H226" s="44">
        <v>12</v>
      </c>
      <c r="I226" s="44"/>
      <c r="J226" s="44"/>
      <c r="K226" s="61">
        <v>8.1199999999999992</v>
      </c>
      <c r="L226" s="44">
        <v>51</v>
      </c>
      <c r="M226" s="44">
        <v>414.12</v>
      </c>
      <c r="N226" s="44"/>
      <c r="O226" s="59"/>
      <c r="P226" s="44" t="s">
        <v>125</v>
      </c>
      <c r="Q226" s="44">
        <v>414.12</v>
      </c>
      <c r="R226" s="94">
        <v>-9201.6256589999612</v>
      </c>
    </row>
    <row r="227" spans="1:18" x14ac:dyDescent="0.25">
      <c r="A227" s="66"/>
      <c r="B227" s="44" t="s">
        <v>85</v>
      </c>
      <c r="C227" s="60">
        <v>45953</v>
      </c>
      <c r="D227" s="60">
        <v>45954</v>
      </c>
      <c r="E227" s="44">
        <v>188</v>
      </c>
      <c r="F227" s="44" t="s">
        <v>165</v>
      </c>
      <c r="G227" s="44" t="s">
        <v>146</v>
      </c>
      <c r="H227" s="44">
        <v>12</v>
      </c>
      <c r="I227" s="44"/>
      <c r="J227" s="44"/>
      <c r="K227" s="61"/>
      <c r="L227" s="44"/>
      <c r="M227" s="44">
        <v>0.37270799999999998</v>
      </c>
      <c r="N227" s="113">
        <v>8.9999999999999998E-4</v>
      </c>
      <c r="O227" s="59">
        <v>5.9632999999999999E-2</v>
      </c>
      <c r="P227" s="44" t="s">
        <v>125</v>
      </c>
      <c r="Q227" s="44">
        <v>0.43234099999999998</v>
      </c>
      <c r="R227" s="94">
        <v>-9202.0579999999609</v>
      </c>
    </row>
    <row r="228" spans="1:18" x14ac:dyDescent="0.25">
      <c r="A228" s="66"/>
      <c r="B228" s="44" t="s">
        <v>85</v>
      </c>
      <c r="C228" s="60">
        <v>45953</v>
      </c>
      <c r="D228" s="60">
        <v>45954</v>
      </c>
      <c r="E228" s="44">
        <v>188</v>
      </c>
      <c r="F228" s="44" t="s">
        <v>164</v>
      </c>
      <c r="G228" s="44" t="s">
        <v>146</v>
      </c>
      <c r="H228" s="44">
        <v>12</v>
      </c>
      <c r="I228" s="44"/>
      <c r="J228" s="44"/>
      <c r="K228" s="61">
        <v>8.1199999999999992</v>
      </c>
      <c r="L228" s="44">
        <v>4520</v>
      </c>
      <c r="M228" s="52">
        <v>36702.400000000001</v>
      </c>
      <c r="N228" s="44"/>
      <c r="O228" s="59"/>
      <c r="P228" s="44" t="s">
        <v>125</v>
      </c>
      <c r="Q228" s="52">
        <v>36702.400000000001</v>
      </c>
      <c r="R228" s="94">
        <v>-45904.457999999962</v>
      </c>
    </row>
    <row r="229" spans="1:18" x14ac:dyDescent="0.25">
      <c r="A229" s="66"/>
      <c r="B229" s="44" t="s">
        <v>85</v>
      </c>
      <c r="C229" s="60">
        <v>45953</v>
      </c>
      <c r="D229" s="60">
        <v>45954</v>
      </c>
      <c r="E229" s="44">
        <v>188</v>
      </c>
      <c r="F229" s="44" t="s">
        <v>165</v>
      </c>
      <c r="G229" s="44" t="s">
        <v>146</v>
      </c>
      <c r="H229" s="44">
        <v>12</v>
      </c>
      <c r="I229" s="44"/>
      <c r="J229" s="44"/>
      <c r="K229" s="61"/>
      <c r="L229" s="44"/>
      <c r="M229" s="44">
        <v>33.032159999999998</v>
      </c>
      <c r="N229" s="113">
        <v>8.9999999999999998E-4</v>
      </c>
      <c r="O229" s="59">
        <v>5.285145</v>
      </c>
      <c r="P229" s="44" t="s">
        <v>125</v>
      </c>
      <c r="Q229" s="44">
        <v>38.317304999999998</v>
      </c>
      <c r="R229" s="94">
        <v>-45942.775304999959</v>
      </c>
    </row>
    <row r="230" spans="1:18" x14ac:dyDescent="0.25">
      <c r="A230" s="66"/>
      <c r="B230" s="44" t="s">
        <v>85</v>
      </c>
      <c r="C230" s="60">
        <v>45953</v>
      </c>
      <c r="D230" s="60">
        <v>45954</v>
      </c>
      <c r="E230" s="44">
        <v>188</v>
      </c>
      <c r="F230" s="44" t="s">
        <v>164</v>
      </c>
      <c r="G230" s="44" t="s">
        <v>146</v>
      </c>
      <c r="H230" s="44">
        <v>12</v>
      </c>
      <c r="I230" s="44"/>
      <c r="J230" s="44"/>
      <c r="K230" s="61">
        <v>8.14</v>
      </c>
      <c r="L230" s="44">
        <v>100</v>
      </c>
      <c r="M230" s="44">
        <v>814</v>
      </c>
      <c r="N230" s="44"/>
      <c r="O230" s="59"/>
      <c r="P230" s="44" t="s">
        <v>125</v>
      </c>
      <c r="Q230" s="44">
        <v>814</v>
      </c>
      <c r="R230" s="94">
        <v>-46756.775304999959</v>
      </c>
    </row>
    <row r="231" spans="1:18" x14ac:dyDescent="0.25">
      <c r="A231" s="66"/>
      <c r="B231" s="44" t="s">
        <v>85</v>
      </c>
      <c r="C231" s="60">
        <v>45953</v>
      </c>
      <c r="D231" s="60">
        <v>45954</v>
      </c>
      <c r="E231" s="44">
        <v>188</v>
      </c>
      <c r="F231" s="44" t="s">
        <v>165</v>
      </c>
      <c r="G231" s="44" t="s">
        <v>146</v>
      </c>
      <c r="H231" s="44">
        <v>12</v>
      </c>
      <c r="I231" s="44"/>
      <c r="J231" s="44"/>
      <c r="K231" s="61"/>
      <c r="L231" s="44"/>
      <c r="M231" s="44">
        <v>0.73260000000000003</v>
      </c>
      <c r="N231" s="113">
        <v>8.9999999999999998E-4</v>
      </c>
      <c r="O231" s="59">
        <v>0.117216</v>
      </c>
      <c r="P231" s="44" t="s">
        <v>125</v>
      </c>
      <c r="Q231" s="44">
        <v>0.84981600000000002</v>
      </c>
      <c r="R231" s="94">
        <v>-46757.625120999961</v>
      </c>
    </row>
    <row r="232" spans="1:18" x14ac:dyDescent="0.25">
      <c r="A232" s="66"/>
      <c r="B232" s="44" t="s">
        <v>85</v>
      </c>
      <c r="C232" s="60">
        <v>45953</v>
      </c>
      <c r="D232" s="60">
        <v>45954</v>
      </c>
      <c r="E232" s="44">
        <v>188</v>
      </c>
      <c r="F232" s="44" t="s">
        <v>164</v>
      </c>
      <c r="G232" s="44" t="s">
        <v>146</v>
      </c>
      <c r="H232" s="44">
        <v>12</v>
      </c>
      <c r="I232" s="44"/>
      <c r="J232" s="44"/>
      <c r="K232" s="61">
        <v>8.14</v>
      </c>
      <c r="L232" s="44">
        <v>58</v>
      </c>
      <c r="M232" s="44">
        <v>472.12</v>
      </c>
      <c r="N232" s="44"/>
      <c r="O232" s="59"/>
      <c r="P232" s="44" t="s">
        <v>125</v>
      </c>
      <c r="Q232" s="44">
        <v>472.12</v>
      </c>
      <c r="R232" s="94">
        <v>-47229.745120999964</v>
      </c>
    </row>
    <row r="233" spans="1:18" x14ac:dyDescent="0.25">
      <c r="A233" s="66"/>
      <c r="B233" s="44" t="s">
        <v>85</v>
      </c>
      <c r="C233" s="60">
        <v>45953</v>
      </c>
      <c r="D233" s="60">
        <v>45954</v>
      </c>
      <c r="E233" s="44">
        <v>188</v>
      </c>
      <c r="F233" s="44" t="s">
        <v>165</v>
      </c>
      <c r="G233" s="44" t="s">
        <v>146</v>
      </c>
      <c r="H233" s="44">
        <v>12</v>
      </c>
      <c r="I233" s="44"/>
      <c r="J233" s="44"/>
      <c r="K233" s="61"/>
      <c r="L233" s="44"/>
      <c r="M233" s="44">
        <v>0.42490800000000001</v>
      </c>
      <c r="N233" s="113">
        <v>8.9999999999999998E-4</v>
      </c>
      <c r="O233" s="59">
        <v>6.7985000000000004E-2</v>
      </c>
      <c r="P233" s="44" t="s">
        <v>125</v>
      </c>
      <c r="Q233" s="44">
        <v>0.49289300000000003</v>
      </c>
      <c r="R233" s="94">
        <v>-47230.238013999966</v>
      </c>
    </row>
    <row r="234" spans="1:18" x14ac:dyDescent="0.25">
      <c r="A234" s="66"/>
      <c r="B234" s="44" t="s">
        <v>85</v>
      </c>
      <c r="C234" s="60">
        <v>45953</v>
      </c>
      <c r="D234" s="60">
        <v>45954</v>
      </c>
      <c r="E234" s="44">
        <v>188</v>
      </c>
      <c r="F234" s="44" t="s">
        <v>164</v>
      </c>
      <c r="G234" s="44" t="s">
        <v>146</v>
      </c>
      <c r="H234" s="44">
        <v>12</v>
      </c>
      <c r="I234" s="44"/>
      <c r="J234" s="44"/>
      <c r="K234" s="61">
        <v>8.17</v>
      </c>
      <c r="L234" s="44">
        <v>565</v>
      </c>
      <c r="M234" s="52">
        <v>4616.05</v>
      </c>
      <c r="N234" s="44"/>
      <c r="O234" s="59"/>
      <c r="P234" s="44" t="s">
        <v>125</v>
      </c>
      <c r="Q234" s="52">
        <v>4616.05</v>
      </c>
      <c r="R234" s="94">
        <v>-51846.288013999969</v>
      </c>
    </row>
    <row r="235" spans="1:18" x14ac:dyDescent="0.25">
      <c r="A235" s="66"/>
      <c r="B235" s="44" t="s">
        <v>85</v>
      </c>
      <c r="C235" s="60">
        <v>45953</v>
      </c>
      <c r="D235" s="60">
        <v>45954</v>
      </c>
      <c r="E235" s="44">
        <v>188</v>
      </c>
      <c r="F235" s="44" t="s">
        <v>165</v>
      </c>
      <c r="G235" s="44" t="s">
        <v>146</v>
      </c>
      <c r="H235" s="44">
        <v>12</v>
      </c>
      <c r="I235" s="44"/>
      <c r="J235" s="44"/>
      <c r="K235" s="61"/>
      <c r="L235" s="44"/>
      <c r="M235" s="44">
        <v>4.1544449999999999</v>
      </c>
      <c r="N235" s="113">
        <v>8.9999999999999998E-4</v>
      </c>
      <c r="O235" s="59">
        <v>0.66471100000000005</v>
      </c>
      <c r="P235" s="44" t="s">
        <v>125</v>
      </c>
      <c r="Q235" s="44">
        <v>4.8191560000000004</v>
      </c>
      <c r="R235" s="94">
        <v>-51851.107169999967</v>
      </c>
    </row>
    <row r="236" spans="1:18" x14ac:dyDescent="0.25">
      <c r="A236" s="66"/>
      <c r="B236" s="44" t="s">
        <v>121</v>
      </c>
      <c r="C236" s="60">
        <v>45953</v>
      </c>
      <c r="D236" s="60">
        <v>45954</v>
      </c>
      <c r="E236" s="44">
        <v>188</v>
      </c>
      <c r="F236" s="44" t="s">
        <v>164</v>
      </c>
      <c r="G236" s="44" t="s">
        <v>146</v>
      </c>
      <c r="H236" s="44">
        <v>12</v>
      </c>
      <c r="I236" s="44"/>
      <c r="J236" s="44"/>
      <c r="K236" s="61">
        <v>8.14</v>
      </c>
      <c r="L236" s="44">
        <v>51</v>
      </c>
      <c r="M236" s="44">
        <v>415.14</v>
      </c>
      <c r="N236" s="44"/>
      <c r="O236" s="59"/>
      <c r="P236" s="44" t="s">
        <v>125</v>
      </c>
      <c r="Q236" s="44">
        <v>415.14</v>
      </c>
      <c r="R236" s="71">
        <v>168231.33513799999</v>
      </c>
    </row>
    <row r="237" spans="1:18" x14ac:dyDescent="0.25">
      <c r="A237" s="66"/>
      <c r="B237" s="44" t="s">
        <v>121</v>
      </c>
      <c r="C237" s="60">
        <v>45953</v>
      </c>
      <c r="D237" s="60">
        <v>45954</v>
      </c>
      <c r="E237" s="44">
        <v>188</v>
      </c>
      <c r="F237" s="44" t="s">
        <v>165</v>
      </c>
      <c r="G237" s="44" t="s">
        <v>146</v>
      </c>
      <c r="H237" s="44">
        <v>12</v>
      </c>
      <c r="I237" s="44"/>
      <c r="J237" s="44"/>
      <c r="K237" s="61"/>
      <c r="L237" s="44"/>
      <c r="M237" s="44">
        <v>0.37362600000000001</v>
      </c>
      <c r="N237" s="113">
        <v>8.9999999999999998E-4</v>
      </c>
      <c r="O237" s="59">
        <v>5.978E-2</v>
      </c>
      <c r="P237" s="44" t="s">
        <v>125</v>
      </c>
      <c r="Q237" s="44">
        <v>0.43340600000000001</v>
      </c>
      <c r="R237" s="71">
        <v>168230.901732</v>
      </c>
    </row>
    <row r="238" spans="1:18" x14ac:dyDescent="0.25">
      <c r="A238" s="66"/>
      <c r="B238" s="44" t="s">
        <v>121</v>
      </c>
      <c r="C238" s="60">
        <v>45953</v>
      </c>
      <c r="D238" s="60">
        <v>45954</v>
      </c>
      <c r="E238" s="44">
        <v>188</v>
      </c>
      <c r="F238" s="44" t="s">
        <v>164</v>
      </c>
      <c r="G238" s="44" t="s">
        <v>146</v>
      </c>
      <c r="H238" s="44">
        <v>12</v>
      </c>
      <c r="I238" s="44"/>
      <c r="J238" s="44"/>
      <c r="K238" s="61">
        <v>8.17</v>
      </c>
      <c r="L238" s="44">
        <v>524</v>
      </c>
      <c r="M238" s="52">
        <v>4281.08</v>
      </c>
      <c r="N238" s="44"/>
      <c r="O238" s="59"/>
      <c r="P238" s="44" t="s">
        <v>125</v>
      </c>
      <c r="Q238" s="52">
        <v>4281.08</v>
      </c>
      <c r="R238" s="71">
        <v>163949.82173200001</v>
      </c>
    </row>
    <row r="239" spans="1:18" x14ac:dyDescent="0.25">
      <c r="A239" s="66"/>
      <c r="B239" s="44" t="s">
        <v>121</v>
      </c>
      <c r="C239" s="60">
        <v>45953</v>
      </c>
      <c r="D239" s="60">
        <v>45954</v>
      </c>
      <c r="E239" s="44">
        <v>188</v>
      </c>
      <c r="F239" s="44" t="s">
        <v>165</v>
      </c>
      <c r="G239" s="44" t="s">
        <v>146</v>
      </c>
      <c r="H239" s="44">
        <v>12</v>
      </c>
      <c r="I239" s="44"/>
      <c r="J239" s="44"/>
      <c r="K239" s="61"/>
      <c r="L239" s="44"/>
      <c r="M239" s="44">
        <v>3.8529719999999998</v>
      </c>
      <c r="N239" s="113">
        <v>8.9999999999999998E-4</v>
      </c>
      <c r="O239" s="59">
        <v>0.616475</v>
      </c>
      <c r="P239" s="44" t="s">
        <v>125</v>
      </c>
      <c r="Q239" s="44">
        <v>4.4694469999999997</v>
      </c>
      <c r="R239" s="71">
        <v>163945.352285</v>
      </c>
    </row>
    <row r="240" spans="1:18" x14ac:dyDescent="0.25">
      <c r="A240" s="66"/>
      <c r="B240" s="44" t="s">
        <v>121</v>
      </c>
      <c r="C240" s="60">
        <v>45953</v>
      </c>
      <c r="D240" s="60">
        <v>45954</v>
      </c>
      <c r="E240" s="44">
        <v>188</v>
      </c>
      <c r="F240" s="44" t="s">
        <v>164</v>
      </c>
      <c r="G240" s="44" t="s">
        <v>146</v>
      </c>
      <c r="H240" s="44">
        <v>12</v>
      </c>
      <c r="I240" s="44"/>
      <c r="J240" s="44"/>
      <c r="K240" s="61">
        <v>8.17</v>
      </c>
      <c r="L240" s="44">
        <v>200</v>
      </c>
      <c r="M240" s="52">
        <v>1634</v>
      </c>
      <c r="N240" s="44"/>
      <c r="O240" s="59"/>
      <c r="P240" s="44" t="s">
        <v>125</v>
      </c>
      <c r="Q240" s="52">
        <v>1634</v>
      </c>
      <c r="R240" s="71">
        <v>162311.352285</v>
      </c>
    </row>
    <row r="241" spans="1:18" x14ac:dyDescent="0.25">
      <c r="A241" s="66"/>
      <c r="B241" s="44" t="s">
        <v>121</v>
      </c>
      <c r="C241" s="60">
        <v>45953</v>
      </c>
      <c r="D241" s="60">
        <v>45954</v>
      </c>
      <c r="E241" s="44">
        <v>188</v>
      </c>
      <c r="F241" s="44" t="s">
        <v>165</v>
      </c>
      <c r="G241" s="44" t="s">
        <v>146</v>
      </c>
      <c r="H241" s="44">
        <v>12</v>
      </c>
      <c r="I241" s="44"/>
      <c r="J241" s="44"/>
      <c r="K241" s="61"/>
      <c r="L241" s="44"/>
      <c r="M241" s="44">
        <v>1.4705999999999999</v>
      </c>
      <c r="N241" s="113">
        <v>8.9999999999999998E-4</v>
      </c>
      <c r="O241" s="59">
        <v>0.23529600000000001</v>
      </c>
      <c r="P241" s="44" t="s">
        <v>125</v>
      </c>
      <c r="Q241" s="44">
        <v>1.7058960000000001</v>
      </c>
      <c r="R241" s="71">
        <v>162309.646389</v>
      </c>
    </row>
    <row r="242" spans="1:18" x14ac:dyDescent="0.25">
      <c r="A242" s="66"/>
      <c r="B242" s="44" t="s">
        <v>121</v>
      </c>
      <c r="C242" s="60">
        <v>45953</v>
      </c>
      <c r="D242" s="60">
        <v>45954</v>
      </c>
      <c r="E242" s="44">
        <v>188</v>
      </c>
      <c r="F242" s="44" t="s">
        <v>164</v>
      </c>
      <c r="G242" s="44" t="s">
        <v>146</v>
      </c>
      <c r="H242" s="44">
        <v>12</v>
      </c>
      <c r="I242" s="44"/>
      <c r="J242" s="44"/>
      <c r="K242" s="61">
        <v>8.18</v>
      </c>
      <c r="L242" s="44">
        <v>3225</v>
      </c>
      <c r="M242" s="52">
        <v>26380.5</v>
      </c>
      <c r="N242" s="44"/>
      <c r="O242" s="59"/>
      <c r="P242" s="44" t="s">
        <v>125</v>
      </c>
      <c r="Q242" s="52">
        <v>26380.5</v>
      </c>
      <c r="R242" s="71">
        <v>135929.146389</v>
      </c>
    </row>
    <row r="243" spans="1:18" x14ac:dyDescent="0.25">
      <c r="A243" s="66"/>
      <c r="B243" s="44" t="s">
        <v>121</v>
      </c>
      <c r="C243" s="60">
        <v>45953</v>
      </c>
      <c r="D243" s="60">
        <v>45954</v>
      </c>
      <c r="E243" s="44">
        <v>188</v>
      </c>
      <c r="F243" s="44" t="s">
        <v>165</v>
      </c>
      <c r="G243" s="44" t="s">
        <v>146</v>
      </c>
      <c r="H243" s="44">
        <v>12</v>
      </c>
      <c r="I243" s="44"/>
      <c r="J243" s="44"/>
      <c r="K243" s="61"/>
      <c r="L243" s="44"/>
      <c r="M243" s="44">
        <v>23.742450000000002</v>
      </c>
      <c r="N243" s="113">
        <v>8.9999999999999998E-4</v>
      </c>
      <c r="O243" s="59">
        <v>3.7987920000000002</v>
      </c>
      <c r="P243" s="44" t="s">
        <v>125</v>
      </c>
      <c r="Q243" s="44">
        <v>27.541242</v>
      </c>
      <c r="R243" s="71">
        <v>135901.60514699999</v>
      </c>
    </row>
    <row r="244" spans="1:18" x14ac:dyDescent="0.25">
      <c r="A244" s="66"/>
      <c r="B244" s="44" t="s">
        <v>85</v>
      </c>
      <c r="C244" s="60">
        <v>45953</v>
      </c>
      <c r="D244" s="60">
        <v>45954</v>
      </c>
      <c r="E244" s="44">
        <v>189</v>
      </c>
      <c r="F244" s="44" t="s">
        <v>164</v>
      </c>
      <c r="G244" s="44" t="s">
        <v>101</v>
      </c>
      <c r="H244" s="44" t="s">
        <v>102</v>
      </c>
      <c r="I244" s="44"/>
      <c r="J244" s="44"/>
      <c r="K244" s="61">
        <v>177.99</v>
      </c>
      <c r="L244" s="44">
        <v>29</v>
      </c>
      <c r="M244" s="52">
        <v>5161.71</v>
      </c>
      <c r="N244" s="44"/>
      <c r="O244" s="59"/>
      <c r="P244" s="44" t="s">
        <v>125</v>
      </c>
      <c r="Q244" s="52">
        <v>5161.71</v>
      </c>
      <c r="R244" s="71">
        <v>-57012.817169999966</v>
      </c>
    </row>
    <row r="245" spans="1:18" x14ac:dyDescent="0.25">
      <c r="A245" s="79"/>
      <c r="B245" s="44" t="s">
        <v>85</v>
      </c>
      <c r="C245" s="92">
        <v>45953</v>
      </c>
      <c r="D245" s="92">
        <v>45954</v>
      </c>
      <c r="E245" s="77">
        <v>189</v>
      </c>
      <c r="F245" s="77" t="s">
        <v>165</v>
      </c>
      <c r="G245" s="77" t="s">
        <v>101</v>
      </c>
      <c r="H245" s="77" t="s">
        <v>102</v>
      </c>
      <c r="I245" s="77"/>
      <c r="J245" s="77"/>
      <c r="K245" s="103"/>
      <c r="L245" s="77"/>
      <c r="M245" s="77">
        <v>4.6455390000000003</v>
      </c>
      <c r="N245" s="114">
        <v>8.9999999999999998E-4</v>
      </c>
      <c r="O245" s="93">
        <v>0.743286</v>
      </c>
      <c r="P245" s="77" t="s">
        <v>125</v>
      </c>
      <c r="Q245" s="77">
        <v>5.3888249999999998</v>
      </c>
      <c r="R245" s="94">
        <v>-57018.205994999968</v>
      </c>
    </row>
    <row r="246" spans="1:18" x14ac:dyDescent="0.25">
      <c r="A246" s="66"/>
      <c r="B246" s="44" t="s">
        <v>85</v>
      </c>
      <c r="C246" s="60">
        <v>45953</v>
      </c>
      <c r="D246" s="60">
        <v>45954</v>
      </c>
      <c r="E246" s="44">
        <v>189</v>
      </c>
      <c r="F246" s="44" t="s">
        <v>164</v>
      </c>
      <c r="G246" s="44" t="s">
        <v>101</v>
      </c>
      <c r="H246" s="44" t="s">
        <v>102</v>
      </c>
      <c r="I246" s="44"/>
      <c r="J246" s="44"/>
      <c r="K246" s="44">
        <v>177.99</v>
      </c>
      <c r="L246" s="44">
        <v>200</v>
      </c>
      <c r="M246" s="52">
        <v>35598</v>
      </c>
      <c r="N246" s="44"/>
      <c r="O246" s="44"/>
      <c r="P246" s="44" t="s">
        <v>125</v>
      </c>
      <c r="Q246" s="52">
        <v>35598</v>
      </c>
      <c r="R246" s="94">
        <v>-92616.205994999968</v>
      </c>
    </row>
    <row r="247" spans="1:18" x14ac:dyDescent="0.25">
      <c r="A247" s="66"/>
      <c r="B247" s="44" t="s">
        <v>85</v>
      </c>
      <c r="C247" s="60">
        <v>45953</v>
      </c>
      <c r="D247" s="60">
        <v>45954</v>
      </c>
      <c r="E247" s="44">
        <v>189</v>
      </c>
      <c r="F247" s="44" t="s">
        <v>165</v>
      </c>
      <c r="G247" s="44" t="s">
        <v>101</v>
      </c>
      <c r="H247" s="44" t="s">
        <v>102</v>
      </c>
      <c r="I247" s="44"/>
      <c r="J247" s="44"/>
      <c r="K247" s="61"/>
      <c r="L247" s="44"/>
      <c r="M247" s="44">
        <v>32.038200000000003</v>
      </c>
      <c r="N247" s="113">
        <v>8.9999999999999998E-4</v>
      </c>
      <c r="O247" s="59">
        <v>5.126112</v>
      </c>
      <c r="P247" s="44" t="s">
        <v>125</v>
      </c>
      <c r="Q247" s="44">
        <v>37.164312000000002</v>
      </c>
      <c r="R247" s="94">
        <v>-92653.370306999961</v>
      </c>
    </row>
    <row r="248" spans="1:18" x14ac:dyDescent="0.25">
      <c r="A248" s="66"/>
      <c r="B248" s="44" t="s">
        <v>85</v>
      </c>
      <c r="C248" s="60">
        <v>45953</v>
      </c>
      <c r="D248" s="60">
        <v>45954</v>
      </c>
      <c r="E248" s="44">
        <v>189</v>
      </c>
      <c r="F248" s="44" t="s">
        <v>164</v>
      </c>
      <c r="G248" s="44" t="s">
        <v>101</v>
      </c>
      <c r="H248" s="44" t="s">
        <v>102</v>
      </c>
      <c r="I248" s="44"/>
      <c r="J248" s="44"/>
      <c r="K248" s="61">
        <v>177.99</v>
      </c>
      <c r="L248" s="44">
        <v>46</v>
      </c>
      <c r="M248" s="52">
        <v>8187.54</v>
      </c>
      <c r="N248" s="44"/>
      <c r="O248" s="59"/>
      <c r="P248" s="44" t="s">
        <v>125</v>
      </c>
      <c r="Q248" s="52">
        <v>8187.54</v>
      </c>
      <c r="R248" s="94">
        <v>-100840.91030699995</v>
      </c>
    </row>
    <row r="249" spans="1:18" x14ac:dyDescent="0.25">
      <c r="A249" s="66"/>
      <c r="B249" s="44" t="s">
        <v>85</v>
      </c>
      <c r="C249" s="60">
        <v>45953</v>
      </c>
      <c r="D249" s="60">
        <v>45954</v>
      </c>
      <c r="E249" s="44">
        <v>189</v>
      </c>
      <c r="F249" s="44" t="s">
        <v>165</v>
      </c>
      <c r="G249" s="44" t="s">
        <v>101</v>
      </c>
      <c r="H249" s="44" t="s">
        <v>102</v>
      </c>
      <c r="I249" s="44"/>
      <c r="J249" s="44"/>
      <c r="K249" s="61"/>
      <c r="L249" s="44"/>
      <c r="M249" s="44">
        <v>7.3687860000000001</v>
      </c>
      <c r="N249" s="113">
        <v>8.9999999999999998E-4</v>
      </c>
      <c r="O249" s="59">
        <v>1.1790050000000001</v>
      </c>
      <c r="P249" s="44" t="s">
        <v>125</v>
      </c>
      <c r="Q249" s="44">
        <v>8.5477910000000001</v>
      </c>
      <c r="R249" s="94">
        <v>-100849.45809799996</v>
      </c>
    </row>
    <row r="250" spans="1:18" x14ac:dyDescent="0.25">
      <c r="A250" s="66"/>
      <c r="B250" s="44" t="s">
        <v>121</v>
      </c>
      <c r="C250" s="60">
        <v>45953</v>
      </c>
      <c r="D250" s="60">
        <v>45954</v>
      </c>
      <c r="E250" s="44">
        <v>189</v>
      </c>
      <c r="F250" s="44" t="s">
        <v>164</v>
      </c>
      <c r="G250" s="44" t="s">
        <v>101</v>
      </c>
      <c r="H250" s="44" t="s">
        <v>102</v>
      </c>
      <c r="I250" s="44"/>
      <c r="J250" s="44"/>
      <c r="K250" s="61">
        <v>177.99</v>
      </c>
      <c r="L250" s="44">
        <v>198</v>
      </c>
      <c r="M250" s="52">
        <v>35242.019999999997</v>
      </c>
      <c r="N250" s="44"/>
      <c r="O250" s="59"/>
      <c r="P250" s="44" t="s">
        <v>125</v>
      </c>
      <c r="Q250" s="52">
        <v>35242.019999999997</v>
      </c>
      <c r="R250" s="71">
        <v>100659.58514700001</v>
      </c>
    </row>
    <row r="251" spans="1:18" x14ac:dyDescent="0.25">
      <c r="A251" s="66"/>
      <c r="B251" s="44" t="s">
        <v>121</v>
      </c>
      <c r="C251" s="60">
        <v>45953</v>
      </c>
      <c r="D251" s="60">
        <v>45954</v>
      </c>
      <c r="E251" s="44">
        <v>189</v>
      </c>
      <c r="F251" s="44" t="s">
        <v>165</v>
      </c>
      <c r="G251" s="44" t="s">
        <v>101</v>
      </c>
      <c r="H251" s="44" t="s">
        <v>102</v>
      </c>
      <c r="I251" s="44"/>
      <c r="J251" s="44"/>
      <c r="K251" s="61"/>
      <c r="L251" s="44"/>
      <c r="M251" s="44">
        <v>31.717818000000001</v>
      </c>
      <c r="N251" s="113">
        <v>8.9999999999999998E-4</v>
      </c>
      <c r="O251" s="59">
        <v>5.0748499999999996</v>
      </c>
      <c r="P251" s="44" t="s">
        <v>125</v>
      </c>
      <c r="Q251" s="44">
        <v>36.792667999999999</v>
      </c>
      <c r="R251" s="71">
        <v>100622.79247900001</v>
      </c>
    </row>
    <row r="252" spans="1:18" x14ac:dyDescent="0.25">
      <c r="A252" s="66"/>
      <c r="B252" s="44" t="s">
        <v>121</v>
      </c>
      <c r="C252" s="60">
        <v>45953</v>
      </c>
      <c r="D252" s="60">
        <v>45954</v>
      </c>
      <c r="E252" s="44">
        <v>189</v>
      </c>
      <c r="F252" s="44" t="s">
        <v>164</v>
      </c>
      <c r="G252" s="44" t="s">
        <v>101</v>
      </c>
      <c r="H252" s="44" t="s">
        <v>102</v>
      </c>
      <c r="I252" s="44"/>
      <c r="J252" s="44"/>
      <c r="K252" s="61">
        <v>177.99</v>
      </c>
      <c r="L252" s="44">
        <v>77</v>
      </c>
      <c r="M252" s="52">
        <v>13705.23</v>
      </c>
      <c r="N252" s="44"/>
      <c r="O252" s="59"/>
      <c r="P252" s="44" t="s">
        <v>125</v>
      </c>
      <c r="Q252" s="52">
        <v>13705.23</v>
      </c>
      <c r="R252" s="71">
        <v>86917.562479000015</v>
      </c>
    </row>
    <row r="253" spans="1:18" x14ac:dyDescent="0.25">
      <c r="A253" s="66"/>
      <c r="B253" s="44" t="s">
        <v>121</v>
      </c>
      <c r="C253" s="60">
        <v>45953</v>
      </c>
      <c r="D253" s="60">
        <v>45954</v>
      </c>
      <c r="E253" s="44">
        <v>189</v>
      </c>
      <c r="F253" s="44" t="s">
        <v>165</v>
      </c>
      <c r="G253" s="44" t="s">
        <v>101</v>
      </c>
      <c r="H253" s="44" t="s">
        <v>102</v>
      </c>
      <c r="I253" s="44"/>
      <c r="J253" s="44"/>
      <c r="K253" s="61"/>
      <c r="L253" s="44"/>
      <c r="M253" s="44">
        <v>12.334707</v>
      </c>
      <c r="N253" s="113">
        <v>8.9999999999999998E-4</v>
      </c>
      <c r="O253" s="59">
        <v>1.9735529999999999</v>
      </c>
      <c r="P253" s="44" t="s">
        <v>125</v>
      </c>
      <c r="Q253" s="44">
        <v>14.308260000000001</v>
      </c>
      <c r="R253" s="71">
        <v>86903.254219000009</v>
      </c>
    </row>
    <row r="254" spans="1:18" x14ac:dyDescent="0.25">
      <c r="A254" s="66"/>
      <c r="B254" s="44" t="s">
        <v>85</v>
      </c>
      <c r="C254" s="60">
        <v>45953</v>
      </c>
      <c r="D254" s="60">
        <v>45954</v>
      </c>
      <c r="E254" s="44">
        <v>190</v>
      </c>
      <c r="F254" s="44" t="s">
        <v>164</v>
      </c>
      <c r="G254" s="44" t="s">
        <v>98</v>
      </c>
      <c r="H254" s="44" t="s">
        <v>89</v>
      </c>
      <c r="I254" s="44"/>
      <c r="J254" s="44"/>
      <c r="K254" s="61">
        <v>34.369999999999997</v>
      </c>
      <c r="L254" s="44">
        <v>100</v>
      </c>
      <c r="M254" s="52">
        <v>3437</v>
      </c>
      <c r="N254" s="44"/>
      <c r="O254" s="59"/>
      <c r="P254" s="44" t="s">
        <v>125</v>
      </c>
      <c r="Q254" s="52">
        <v>3437</v>
      </c>
      <c r="R254" s="71">
        <v>-104286.45809799996</v>
      </c>
    </row>
    <row r="255" spans="1:18" x14ac:dyDescent="0.25">
      <c r="A255" s="66"/>
      <c r="B255" s="44" t="s">
        <v>85</v>
      </c>
      <c r="C255" s="60">
        <v>45953</v>
      </c>
      <c r="D255" s="60">
        <v>45954</v>
      </c>
      <c r="E255" s="44">
        <v>190</v>
      </c>
      <c r="F255" s="44" t="s">
        <v>165</v>
      </c>
      <c r="G255" s="44" t="s">
        <v>98</v>
      </c>
      <c r="H255" s="44" t="s">
        <v>89</v>
      </c>
      <c r="I255" s="44"/>
      <c r="J255" s="44"/>
      <c r="K255" s="61"/>
      <c r="L255" s="44"/>
      <c r="M255" s="44">
        <v>3.0933000000000002</v>
      </c>
      <c r="N255" s="113">
        <v>8.9999999999999998E-4</v>
      </c>
      <c r="O255" s="59">
        <v>0.49492799999999998</v>
      </c>
      <c r="P255" s="44" t="s">
        <v>125</v>
      </c>
      <c r="Q255" s="44">
        <v>3.588228</v>
      </c>
      <c r="R255" s="71">
        <v>-104290.04632599995</v>
      </c>
    </row>
    <row r="256" spans="1:18" x14ac:dyDescent="0.25">
      <c r="A256" s="66"/>
      <c r="B256" s="44" t="s">
        <v>85</v>
      </c>
      <c r="C256" s="60">
        <v>45953</v>
      </c>
      <c r="D256" s="60">
        <v>45954</v>
      </c>
      <c r="E256" s="44">
        <v>190</v>
      </c>
      <c r="F256" s="44" t="s">
        <v>164</v>
      </c>
      <c r="G256" s="44" t="s">
        <v>98</v>
      </c>
      <c r="H256" s="44" t="s">
        <v>89</v>
      </c>
      <c r="I256" s="44"/>
      <c r="J256" s="44"/>
      <c r="K256" s="61">
        <v>34.369999999999997</v>
      </c>
      <c r="L256" s="44">
        <v>700</v>
      </c>
      <c r="M256" s="52">
        <v>24059</v>
      </c>
      <c r="N256" s="44"/>
      <c r="O256" s="59"/>
      <c r="P256" s="44" t="s">
        <v>125</v>
      </c>
      <c r="Q256" s="52">
        <v>24059</v>
      </c>
      <c r="R256" s="71">
        <v>-128349.04632599995</v>
      </c>
    </row>
    <row r="257" spans="1:18" x14ac:dyDescent="0.25">
      <c r="A257" s="66"/>
      <c r="B257" s="44" t="s">
        <v>85</v>
      </c>
      <c r="C257" s="60">
        <v>45953</v>
      </c>
      <c r="D257" s="60">
        <v>45954</v>
      </c>
      <c r="E257" s="44">
        <v>190</v>
      </c>
      <c r="F257" s="44" t="s">
        <v>165</v>
      </c>
      <c r="G257" s="44" t="s">
        <v>98</v>
      </c>
      <c r="H257" s="44" t="s">
        <v>89</v>
      </c>
      <c r="I257" s="44"/>
      <c r="J257" s="44"/>
      <c r="K257" s="61"/>
      <c r="L257" s="44"/>
      <c r="M257" s="44">
        <v>21.653099999999998</v>
      </c>
      <c r="N257" s="113">
        <v>8.9999999999999998E-4</v>
      </c>
      <c r="O257" s="59">
        <v>3.464496</v>
      </c>
      <c r="P257" s="44" t="s">
        <v>125</v>
      </c>
      <c r="Q257" s="44">
        <v>25.117595999999999</v>
      </c>
      <c r="R257" s="71">
        <v>-128374.16392199995</v>
      </c>
    </row>
    <row r="258" spans="1:18" x14ac:dyDescent="0.25">
      <c r="A258" s="66"/>
      <c r="B258" s="44" t="s">
        <v>85</v>
      </c>
      <c r="C258" s="60">
        <v>45953</v>
      </c>
      <c r="D258" s="60">
        <v>45954</v>
      </c>
      <c r="E258" s="44">
        <v>190</v>
      </c>
      <c r="F258" s="44" t="s">
        <v>164</v>
      </c>
      <c r="G258" s="44" t="s">
        <v>98</v>
      </c>
      <c r="H258" s="44" t="s">
        <v>89</v>
      </c>
      <c r="I258" s="44"/>
      <c r="J258" s="44"/>
      <c r="K258" s="61">
        <v>34.369999999999997</v>
      </c>
      <c r="L258" s="44">
        <v>25</v>
      </c>
      <c r="M258" s="44">
        <v>859.25</v>
      </c>
      <c r="N258" s="44"/>
      <c r="O258" s="59"/>
      <c r="P258" s="44" t="s">
        <v>125</v>
      </c>
      <c r="Q258" s="44">
        <v>859.25</v>
      </c>
      <c r="R258" s="71">
        <v>-129233.41392199995</v>
      </c>
    </row>
    <row r="259" spans="1:18" x14ac:dyDescent="0.25">
      <c r="A259" s="66"/>
      <c r="B259" s="44" t="s">
        <v>85</v>
      </c>
      <c r="C259" s="60">
        <v>45953</v>
      </c>
      <c r="D259" s="60">
        <v>45954</v>
      </c>
      <c r="E259" s="44">
        <v>190</v>
      </c>
      <c r="F259" s="44" t="s">
        <v>165</v>
      </c>
      <c r="G259" s="44" t="s">
        <v>98</v>
      </c>
      <c r="H259" s="44" t="s">
        <v>89</v>
      </c>
      <c r="I259" s="44"/>
      <c r="J259" s="44"/>
      <c r="K259" s="61"/>
      <c r="L259" s="44"/>
      <c r="M259" s="44">
        <v>0.77332500000000004</v>
      </c>
      <c r="N259" s="113">
        <v>8.9999999999999998E-4</v>
      </c>
      <c r="O259" s="59">
        <v>0.12373199999999999</v>
      </c>
      <c r="P259" s="44" t="s">
        <v>125</v>
      </c>
      <c r="Q259" s="44">
        <v>0.89705699999999999</v>
      </c>
      <c r="R259" s="71">
        <v>-129234.31097899994</v>
      </c>
    </row>
    <row r="260" spans="1:18" x14ac:dyDescent="0.25">
      <c r="A260" s="66"/>
      <c r="B260" s="44" t="s">
        <v>121</v>
      </c>
      <c r="C260" s="60">
        <v>45953</v>
      </c>
      <c r="D260" s="60">
        <v>45954</v>
      </c>
      <c r="E260" s="44">
        <v>190</v>
      </c>
      <c r="F260" s="44" t="s">
        <v>164</v>
      </c>
      <c r="G260" s="44" t="s">
        <v>98</v>
      </c>
      <c r="H260" s="44" t="s">
        <v>89</v>
      </c>
      <c r="I260" s="44"/>
      <c r="J260" s="44"/>
      <c r="K260" s="61">
        <v>34.369999999999997</v>
      </c>
      <c r="L260" s="44">
        <v>95</v>
      </c>
      <c r="M260" s="52">
        <v>3265.15</v>
      </c>
      <c r="N260" s="44"/>
      <c r="O260" s="59"/>
      <c r="P260" s="44" t="s">
        <v>125</v>
      </c>
      <c r="Q260" s="52">
        <v>3265.15</v>
      </c>
      <c r="R260" s="71">
        <v>83638.104219000015</v>
      </c>
    </row>
    <row r="261" spans="1:18" x14ac:dyDescent="0.25">
      <c r="A261" s="66"/>
      <c r="B261" s="44" t="s">
        <v>121</v>
      </c>
      <c r="C261" s="60">
        <v>45953</v>
      </c>
      <c r="D261" s="60">
        <v>45954</v>
      </c>
      <c r="E261" s="44">
        <v>190</v>
      </c>
      <c r="F261" s="44" t="s">
        <v>165</v>
      </c>
      <c r="G261" s="44" t="s">
        <v>98</v>
      </c>
      <c r="H261" s="44" t="s">
        <v>89</v>
      </c>
      <c r="I261" s="44"/>
      <c r="J261" s="44"/>
      <c r="K261" s="61"/>
      <c r="L261" s="44"/>
      <c r="M261" s="44">
        <v>2.9386350000000001</v>
      </c>
      <c r="N261" s="113">
        <v>8.9999999999999998E-4</v>
      </c>
      <c r="O261" s="59">
        <v>0.47018100000000002</v>
      </c>
      <c r="P261" s="44" t="s">
        <v>125</v>
      </c>
      <c r="Q261" s="44">
        <v>3.4088159999999998</v>
      </c>
      <c r="R261" s="71">
        <v>83634.69540300002</v>
      </c>
    </row>
    <row r="262" spans="1:18" x14ac:dyDescent="0.25">
      <c r="A262" s="66"/>
      <c r="B262" s="44" t="s">
        <v>121</v>
      </c>
      <c r="C262" s="60">
        <v>45953</v>
      </c>
      <c r="D262" s="60">
        <v>45954</v>
      </c>
      <c r="E262" s="44">
        <v>190</v>
      </c>
      <c r="F262" s="44" t="s">
        <v>164</v>
      </c>
      <c r="G262" s="44" t="s">
        <v>98</v>
      </c>
      <c r="H262" s="44" t="s">
        <v>89</v>
      </c>
      <c r="I262" s="44"/>
      <c r="J262" s="44"/>
      <c r="K262" s="61">
        <v>34.369999999999997</v>
      </c>
      <c r="L262" s="44">
        <v>730</v>
      </c>
      <c r="M262" s="52">
        <v>25090.1</v>
      </c>
      <c r="N262" s="44"/>
      <c r="O262" s="59"/>
      <c r="P262" s="44" t="s">
        <v>125</v>
      </c>
      <c r="Q262" s="52">
        <v>25090.1</v>
      </c>
      <c r="R262" s="71">
        <v>58544.595403000021</v>
      </c>
    </row>
    <row r="263" spans="1:18" x14ac:dyDescent="0.25">
      <c r="A263" s="66"/>
      <c r="B263" s="44" t="s">
        <v>121</v>
      </c>
      <c r="C263" s="60">
        <v>45953</v>
      </c>
      <c r="D263" s="60">
        <v>45954</v>
      </c>
      <c r="E263" s="44">
        <v>190</v>
      </c>
      <c r="F263" s="44" t="s">
        <v>165</v>
      </c>
      <c r="G263" s="44" t="s">
        <v>98</v>
      </c>
      <c r="H263" s="44" t="s">
        <v>89</v>
      </c>
      <c r="I263" s="44"/>
      <c r="J263" s="44"/>
      <c r="K263" s="61"/>
      <c r="L263" s="44"/>
      <c r="M263" s="44">
        <v>22.58109</v>
      </c>
      <c r="N263" s="113">
        <v>8.9999999999999998E-4</v>
      </c>
      <c r="O263" s="59">
        <v>3.6129739999999999</v>
      </c>
      <c r="P263" s="44" t="s">
        <v>125</v>
      </c>
      <c r="Q263" s="44">
        <v>26.194064000000001</v>
      </c>
      <c r="R263" s="71">
        <v>58518.401339000018</v>
      </c>
    </row>
    <row r="264" spans="1:18" x14ac:dyDescent="0.25">
      <c r="A264" s="66"/>
      <c r="B264" s="44" t="s">
        <v>85</v>
      </c>
      <c r="C264" s="60">
        <v>45953</v>
      </c>
      <c r="D264" s="60">
        <v>45954</v>
      </c>
      <c r="E264" s="44">
        <v>191</v>
      </c>
      <c r="F264" s="44" t="s">
        <v>164</v>
      </c>
      <c r="G264" s="44" t="s">
        <v>115</v>
      </c>
      <c r="H264" s="44" t="s">
        <v>94</v>
      </c>
      <c r="I264" s="44"/>
      <c r="J264" s="44"/>
      <c r="K264" s="61">
        <v>50.81</v>
      </c>
      <c r="L264" s="44">
        <v>54</v>
      </c>
      <c r="M264" s="52">
        <v>2743.74</v>
      </c>
      <c r="N264" s="44"/>
      <c r="O264" s="59"/>
      <c r="P264" s="44" t="s">
        <v>125</v>
      </c>
      <c r="Q264" s="52">
        <v>2743.74</v>
      </c>
      <c r="R264" s="71">
        <v>-131978.05097899993</v>
      </c>
    </row>
    <row r="265" spans="1:18" x14ac:dyDescent="0.25">
      <c r="A265" s="66"/>
      <c r="B265" s="44" t="s">
        <v>85</v>
      </c>
      <c r="C265" s="60">
        <v>45953</v>
      </c>
      <c r="D265" s="60">
        <v>45954</v>
      </c>
      <c r="E265" s="44">
        <v>191</v>
      </c>
      <c r="F265" s="44" t="s">
        <v>165</v>
      </c>
      <c r="G265" s="44" t="s">
        <v>115</v>
      </c>
      <c r="H265" s="44" t="s">
        <v>94</v>
      </c>
      <c r="I265" s="44"/>
      <c r="J265" s="44"/>
      <c r="K265" s="61"/>
      <c r="L265" s="44"/>
      <c r="M265" s="44">
        <v>2.4693659999999999</v>
      </c>
      <c r="N265" s="113">
        <v>8.9999999999999998E-4</v>
      </c>
      <c r="O265" s="59">
        <v>0.395098</v>
      </c>
      <c r="P265" s="44" t="s">
        <v>125</v>
      </c>
      <c r="Q265" s="44">
        <v>2.8644639999999999</v>
      </c>
      <c r="R265" s="71">
        <v>-131980.91544299995</v>
      </c>
    </row>
    <row r="266" spans="1:18" x14ac:dyDescent="0.25">
      <c r="A266" s="66"/>
      <c r="B266" s="44" t="s">
        <v>85</v>
      </c>
      <c r="C266" s="60">
        <v>45953</v>
      </c>
      <c r="D266" s="60">
        <v>45954</v>
      </c>
      <c r="E266" s="44">
        <v>191</v>
      </c>
      <c r="F266" s="44" t="s">
        <v>164</v>
      </c>
      <c r="G266" s="44" t="s">
        <v>115</v>
      </c>
      <c r="H266" s="44" t="s">
        <v>94</v>
      </c>
      <c r="I266" s="44"/>
      <c r="J266" s="44"/>
      <c r="K266" s="61">
        <v>50.81</v>
      </c>
      <c r="L266" s="44">
        <v>100</v>
      </c>
      <c r="M266" s="52">
        <v>5081</v>
      </c>
      <c r="N266" s="44"/>
      <c r="O266" s="59"/>
      <c r="P266" s="44" t="s">
        <v>125</v>
      </c>
      <c r="Q266" s="52">
        <v>5081</v>
      </c>
      <c r="R266" s="71">
        <v>-137061.91544299995</v>
      </c>
    </row>
    <row r="267" spans="1:18" x14ac:dyDescent="0.25">
      <c r="A267" s="66"/>
      <c r="B267" s="44" t="s">
        <v>85</v>
      </c>
      <c r="C267" s="60">
        <v>45953</v>
      </c>
      <c r="D267" s="60">
        <v>45954</v>
      </c>
      <c r="E267" s="44">
        <v>191</v>
      </c>
      <c r="F267" s="44" t="s">
        <v>165</v>
      </c>
      <c r="G267" s="44" t="s">
        <v>115</v>
      </c>
      <c r="H267" s="44" t="s">
        <v>94</v>
      </c>
      <c r="I267" s="44"/>
      <c r="J267" s="44"/>
      <c r="K267" s="61"/>
      <c r="L267" s="44"/>
      <c r="M267" s="44">
        <v>4.5728999999999997</v>
      </c>
      <c r="N267" s="113">
        <v>8.9999999999999998E-4</v>
      </c>
      <c r="O267" s="59">
        <v>0.73166399999999998</v>
      </c>
      <c r="P267" s="44" t="s">
        <v>125</v>
      </c>
      <c r="Q267" s="44">
        <v>5.3045640000000001</v>
      </c>
      <c r="R267" s="71">
        <v>-137067.22000699994</v>
      </c>
    </row>
    <row r="268" spans="1:18" x14ac:dyDescent="0.25">
      <c r="A268" s="66"/>
      <c r="B268" s="44" t="s">
        <v>85</v>
      </c>
      <c r="C268" s="60">
        <v>45953</v>
      </c>
      <c r="D268" s="60">
        <v>45954</v>
      </c>
      <c r="E268" s="44">
        <v>191</v>
      </c>
      <c r="F268" s="44" t="s">
        <v>164</v>
      </c>
      <c r="G268" s="44" t="s">
        <v>115</v>
      </c>
      <c r="H268" s="44" t="s">
        <v>94</v>
      </c>
      <c r="I268" s="44"/>
      <c r="J268" s="44"/>
      <c r="K268" s="61">
        <v>50.81</v>
      </c>
      <c r="L268" s="44">
        <v>100</v>
      </c>
      <c r="M268" s="52">
        <v>5081</v>
      </c>
      <c r="N268" s="44"/>
      <c r="O268" s="59"/>
      <c r="P268" s="44" t="s">
        <v>125</v>
      </c>
      <c r="Q268" s="52">
        <v>5081</v>
      </c>
      <c r="R268" s="71">
        <v>-142148.22000699994</v>
      </c>
    </row>
    <row r="269" spans="1:18" x14ac:dyDescent="0.25">
      <c r="A269" s="66"/>
      <c r="B269" s="44" t="s">
        <v>85</v>
      </c>
      <c r="C269" s="60">
        <v>45953</v>
      </c>
      <c r="D269" s="60">
        <v>45954</v>
      </c>
      <c r="E269" s="44">
        <v>191</v>
      </c>
      <c r="F269" s="44" t="s">
        <v>165</v>
      </c>
      <c r="G269" s="44" t="s">
        <v>115</v>
      </c>
      <c r="H269" s="44" t="s">
        <v>94</v>
      </c>
      <c r="I269" s="44"/>
      <c r="J269" s="44"/>
      <c r="K269" s="61"/>
      <c r="L269" s="44"/>
      <c r="M269" s="44">
        <v>4.5728999999999997</v>
      </c>
      <c r="N269" s="113">
        <v>8.9999999999999998E-4</v>
      </c>
      <c r="O269" s="59">
        <v>0.73166399999999998</v>
      </c>
      <c r="P269" s="44" t="s">
        <v>125</v>
      </c>
      <c r="Q269" s="44">
        <v>5.3045640000000001</v>
      </c>
      <c r="R269" s="71">
        <v>-142153.52457099993</v>
      </c>
    </row>
    <row r="270" spans="1:18" x14ac:dyDescent="0.25">
      <c r="A270" s="66"/>
      <c r="B270" s="44" t="s">
        <v>85</v>
      </c>
      <c r="C270" s="60">
        <v>45953</v>
      </c>
      <c r="D270" s="60">
        <v>45954</v>
      </c>
      <c r="E270" s="44">
        <v>191</v>
      </c>
      <c r="F270" s="44" t="s">
        <v>164</v>
      </c>
      <c r="G270" s="44" t="s">
        <v>115</v>
      </c>
      <c r="H270" s="44" t="s">
        <v>94</v>
      </c>
      <c r="I270" s="44"/>
      <c r="J270" s="44"/>
      <c r="K270" s="61">
        <v>50.81</v>
      </c>
      <c r="L270" s="44">
        <v>361</v>
      </c>
      <c r="M270" s="52">
        <v>18342.41</v>
      </c>
      <c r="N270" s="44"/>
      <c r="O270" s="59"/>
      <c r="P270" s="44" t="s">
        <v>125</v>
      </c>
      <c r="Q270" s="52">
        <v>18342.41</v>
      </c>
      <c r="R270" s="71">
        <v>-160495.93457099993</v>
      </c>
    </row>
    <row r="271" spans="1:18" x14ac:dyDescent="0.25">
      <c r="A271" s="79"/>
      <c r="B271" s="44" t="s">
        <v>85</v>
      </c>
      <c r="C271" s="92">
        <v>45953</v>
      </c>
      <c r="D271" s="92">
        <v>45954</v>
      </c>
      <c r="E271" s="77">
        <v>191</v>
      </c>
      <c r="F271" s="77" t="s">
        <v>165</v>
      </c>
      <c r="G271" s="77" t="s">
        <v>115</v>
      </c>
      <c r="H271" s="77" t="s">
        <v>94</v>
      </c>
      <c r="I271" s="77"/>
      <c r="J271" s="77"/>
      <c r="K271" s="103"/>
      <c r="L271" s="77"/>
      <c r="M271" s="77">
        <v>16.508168999999999</v>
      </c>
      <c r="N271" s="114">
        <v>8.9999999999999998E-4</v>
      </c>
      <c r="O271" s="93">
        <v>2.6413069999999998</v>
      </c>
      <c r="P271" s="77" t="s">
        <v>125</v>
      </c>
      <c r="Q271" s="77">
        <v>19.149476</v>
      </c>
      <c r="R271" s="71">
        <v>-160515.08404699992</v>
      </c>
    </row>
    <row r="272" spans="1:18" x14ac:dyDescent="0.25">
      <c r="A272" s="66"/>
      <c r="B272" s="44" t="s">
        <v>85</v>
      </c>
      <c r="C272" s="60">
        <v>45953</v>
      </c>
      <c r="D272" s="60">
        <v>45954</v>
      </c>
      <c r="E272" s="44">
        <v>191</v>
      </c>
      <c r="F272" s="44" t="s">
        <v>164</v>
      </c>
      <c r="G272" s="44" t="s">
        <v>115</v>
      </c>
      <c r="H272" s="44" t="s">
        <v>94</v>
      </c>
      <c r="I272" s="44"/>
      <c r="J272" s="44"/>
      <c r="K272" s="44">
        <v>50.82</v>
      </c>
      <c r="L272" s="44">
        <v>100</v>
      </c>
      <c r="M272" s="52">
        <v>5082</v>
      </c>
      <c r="N272" s="44"/>
      <c r="O272" s="44"/>
      <c r="P272" s="44" t="s">
        <v>125</v>
      </c>
      <c r="Q272" s="52">
        <v>5082</v>
      </c>
      <c r="R272" s="71">
        <v>-165597.08404699992</v>
      </c>
    </row>
    <row r="273" spans="1:18" x14ac:dyDescent="0.25">
      <c r="A273" s="66"/>
      <c r="B273" s="44" t="s">
        <v>85</v>
      </c>
      <c r="C273" s="60">
        <v>45953</v>
      </c>
      <c r="D273" s="60">
        <v>45954</v>
      </c>
      <c r="E273" s="44">
        <v>191</v>
      </c>
      <c r="F273" s="44" t="s">
        <v>165</v>
      </c>
      <c r="G273" s="44" t="s">
        <v>115</v>
      </c>
      <c r="H273" s="44" t="s">
        <v>94</v>
      </c>
      <c r="I273" s="44"/>
      <c r="J273" s="44"/>
      <c r="K273" s="61"/>
      <c r="L273" s="44"/>
      <c r="M273" s="44">
        <v>4.5738000000000003</v>
      </c>
      <c r="N273" s="113">
        <v>8.9999999999999998E-4</v>
      </c>
      <c r="O273" s="59">
        <v>0.73180800000000001</v>
      </c>
      <c r="P273" s="44" t="s">
        <v>125</v>
      </c>
      <c r="Q273" s="44">
        <v>5.3056080000000003</v>
      </c>
      <c r="R273" s="71">
        <v>-165602.38965499992</v>
      </c>
    </row>
    <row r="274" spans="1:18" x14ac:dyDescent="0.25">
      <c r="A274" s="66"/>
      <c r="B274" s="44" t="s">
        <v>85</v>
      </c>
      <c r="C274" s="60">
        <v>45953</v>
      </c>
      <c r="D274" s="60">
        <v>45954</v>
      </c>
      <c r="E274" s="44">
        <v>191</v>
      </c>
      <c r="F274" s="44" t="s">
        <v>164</v>
      </c>
      <c r="G274" s="44" t="s">
        <v>115</v>
      </c>
      <c r="H274" s="44" t="s">
        <v>94</v>
      </c>
      <c r="I274" s="44"/>
      <c r="J274" s="44"/>
      <c r="K274" s="61">
        <v>50.82</v>
      </c>
      <c r="L274" s="44">
        <v>100</v>
      </c>
      <c r="M274" s="52">
        <v>5082</v>
      </c>
      <c r="N274" s="44"/>
      <c r="O274" s="59"/>
      <c r="P274" s="44" t="s">
        <v>125</v>
      </c>
      <c r="Q274" s="52">
        <v>5082</v>
      </c>
      <c r="R274" s="71">
        <v>-170684.38965499992</v>
      </c>
    </row>
    <row r="275" spans="1:18" x14ac:dyDescent="0.25">
      <c r="A275" s="66"/>
      <c r="B275" s="44" t="s">
        <v>85</v>
      </c>
      <c r="C275" s="60">
        <v>45953</v>
      </c>
      <c r="D275" s="60">
        <v>45954</v>
      </c>
      <c r="E275" s="44">
        <v>191</v>
      </c>
      <c r="F275" s="44" t="s">
        <v>165</v>
      </c>
      <c r="G275" s="44" t="s">
        <v>115</v>
      </c>
      <c r="H275" s="44" t="s">
        <v>94</v>
      </c>
      <c r="I275" s="44"/>
      <c r="J275" s="44"/>
      <c r="K275" s="61"/>
      <c r="L275" s="44"/>
      <c r="M275" s="44">
        <v>4.5738000000000003</v>
      </c>
      <c r="N275" s="113">
        <v>8.9999999999999998E-4</v>
      </c>
      <c r="O275" s="59">
        <v>0.73180800000000001</v>
      </c>
      <c r="P275" s="44" t="s">
        <v>125</v>
      </c>
      <c r="Q275" s="44">
        <v>5.3056080000000003</v>
      </c>
      <c r="R275" s="71">
        <v>-170689.69526299991</v>
      </c>
    </row>
    <row r="276" spans="1:18" x14ac:dyDescent="0.25">
      <c r="A276" s="66"/>
      <c r="B276" s="44" t="s">
        <v>85</v>
      </c>
      <c r="C276" s="60">
        <v>45953</v>
      </c>
      <c r="D276" s="60">
        <v>45954</v>
      </c>
      <c r="E276" s="44">
        <v>191</v>
      </c>
      <c r="F276" s="44" t="s">
        <v>164</v>
      </c>
      <c r="G276" s="44" t="s">
        <v>115</v>
      </c>
      <c r="H276" s="44" t="s">
        <v>94</v>
      </c>
      <c r="I276" s="44"/>
      <c r="J276" s="44"/>
      <c r="K276" s="61">
        <v>50.82</v>
      </c>
      <c r="L276" s="44">
        <v>100</v>
      </c>
      <c r="M276" s="52">
        <v>5082</v>
      </c>
      <c r="N276" s="44"/>
      <c r="O276" s="59"/>
      <c r="P276" s="44" t="s">
        <v>125</v>
      </c>
      <c r="Q276" s="52">
        <v>5082</v>
      </c>
      <c r="R276" s="71">
        <v>-175771.69526299991</v>
      </c>
    </row>
    <row r="277" spans="1:18" x14ac:dyDescent="0.25">
      <c r="A277" s="66"/>
      <c r="B277" s="44" t="s">
        <v>85</v>
      </c>
      <c r="C277" s="60">
        <v>45953</v>
      </c>
      <c r="D277" s="60">
        <v>45954</v>
      </c>
      <c r="E277" s="44">
        <v>191</v>
      </c>
      <c r="F277" s="44" t="s">
        <v>165</v>
      </c>
      <c r="G277" s="44" t="s">
        <v>115</v>
      </c>
      <c r="H277" s="44" t="s">
        <v>94</v>
      </c>
      <c r="I277" s="44"/>
      <c r="J277" s="44"/>
      <c r="K277" s="61"/>
      <c r="L277" s="44"/>
      <c r="M277" s="44">
        <v>4.5738000000000003</v>
      </c>
      <c r="N277" s="113">
        <v>8.9999999999999998E-4</v>
      </c>
      <c r="O277" s="59">
        <v>0.73180800000000001</v>
      </c>
      <c r="P277" s="44" t="s">
        <v>125</v>
      </c>
      <c r="Q277" s="44">
        <v>5.3056080000000003</v>
      </c>
      <c r="R277" s="71">
        <v>-175777.00087099991</v>
      </c>
    </row>
    <row r="278" spans="1:18" x14ac:dyDescent="0.25">
      <c r="A278" s="66"/>
      <c r="B278" s="44" t="s">
        <v>85</v>
      </c>
      <c r="C278" s="60">
        <v>45953</v>
      </c>
      <c r="D278" s="60">
        <v>45954</v>
      </c>
      <c r="E278" s="44">
        <v>191</v>
      </c>
      <c r="F278" s="44" t="s">
        <v>164</v>
      </c>
      <c r="G278" s="44" t="s">
        <v>115</v>
      </c>
      <c r="H278" s="44" t="s">
        <v>94</v>
      </c>
      <c r="I278" s="44"/>
      <c r="J278" s="44"/>
      <c r="K278" s="61">
        <v>50.82</v>
      </c>
      <c r="L278" s="44">
        <v>85</v>
      </c>
      <c r="M278" s="52">
        <v>4319.7</v>
      </c>
      <c r="N278" s="44"/>
      <c r="O278" s="59"/>
      <c r="P278" s="44" t="s">
        <v>125</v>
      </c>
      <c r="Q278" s="52">
        <v>4319.7</v>
      </c>
      <c r="R278" s="71">
        <v>-180096.70087099992</v>
      </c>
    </row>
    <row r="279" spans="1:18" x14ac:dyDescent="0.25">
      <c r="A279" s="66"/>
      <c r="B279" s="44" t="s">
        <v>85</v>
      </c>
      <c r="C279" s="60">
        <v>45953</v>
      </c>
      <c r="D279" s="60">
        <v>45954</v>
      </c>
      <c r="E279" s="44">
        <v>191</v>
      </c>
      <c r="F279" s="44" t="s">
        <v>165</v>
      </c>
      <c r="G279" s="44" t="s">
        <v>115</v>
      </c>
      <c r="H279" s="44" t="s">
        <v>94</v>
      </c>
      <c r="I279" s="44"/>
      <c r="J279" s="44"/>
      <c r="K279" s="61"/>
      <c r="L279" s="44"/>
      <c r="M279" s="44">
        <v>3.8877299999999999</v>
      </c>
      <c r="N279" s="113">
        <v>8.9999999999999998E-4</v>
      </c>
      <c r="O279" s="59">
        <v>0.62203600000000003</v>
      </c>
      <c r="P279" s="44" t="s">
        <v>125</v>
      </c>
      <c r="Q279" s="44">
        <v>4.5097659999999999</v>
      </c>
      <c r="R279" s="71">
        <v>-180101.21063699992</v>
      </c>
    </row>
    <row r="280" spans="1:18" x14ac:dyDescent="0.25">
      <c r="A280" s="66"/>
      <c r="B280" s="44" t="s">
        <v>121</v>
      </c>
      <c r="C280" s="60">
        <v>45953</v>
      </c>
      <c r="D280" s="60">
        <v>45954</v>
      </c>
      <c r="E280" s="44">
        <v>191</v>
      </c>
      <c r="F280" s="44" t="s">
        <v>164</v>
      </c>
      <c r="G280" s="44" t="s">
        <v>115</v>
      </c>
      <c r="H280" s="44" t="s">
        <v>94</v>
      </c>
      <c r="I280" s="44"/>
      <c r="J280" s="44"/>
      <c r="K280" s="61">
        <v>50.84</v>
      </c>
      <c r="L280" s="44">
        <v>555</v>
      </c>
      <c r="M280" s="52">
        <v>28216.2</v>
      </c>
      <c r="N280" s="44"/>
      <c r="O280" s="59"/>
      <c r="P280" s="44" t="s">
        <v>125</v>
      </c>
      <c r="Q280" s="52">
        <v>28216.2</v>
      </c>
      <c r="R280" s="71">
        <v>30302.201339000017</v>
      </c>
    </row>
    <row r="281" spans="1:18" x14ac:dyDescent="0.25">
      <c r="A281" s="66"/>
      <c r="B281" s="44" t="s">
        <v>121</v>
      </c>
      <c r="C281" s="60">
        <v>45953</v>
      </c>
      <c r="D281" s="60">
        <v>45954</v>
      </c>
      <c r="E281" s="44">
        <v>191</v>
      </c>
      <c r="F281" s="44" t="s">
        <v>165</v>
      </c>
      <c r="G281" s="44" t="s">
        <v>115</v>
      </c>
      <c r="H281" s="44" t="s">
        <v>94</v>
      </c>
      <c r="I281" s="44"/>
      <c r="J281" s="44"/>
      <c r="K281" s="61"/>
      <c r="L281" s="44"/>
      <c r="M281" s="44">
        <v>25.394580000000001</v>
      </c>
      <c r="N281" s="113">
        <v>8.9999999999999998E-4</v>
      </c>
      <c r="O281" s="59">
        <v>4.0631320000000004</v>
      </c>
      <c r="P281" s="44" t="s">
        <v>125</v>
      </c>
      <c r="Q281" s="44">
        <v>29.457712000000001</v>
      </c>
      <c r="R281" s="71">
        <v>30272.743627000018</v>
      </c>
    </row>
    <row r="282" spans="1:18" x14ac:dyDescent="0.25">
      <c r="A282" s="66"/>
      <c r="B282" s="44" t="s">
        <v>121</v>
      </c>
      <c r="C282" s="60">
        <v>45953</v>
      </c>
      <c r="D282" s="60">
        <v>45954</v>
      </c>
      <c r="E282" s="44">
        <v>191</v>
      </c>
      <c r="F282" s="44" t="s">
        <v>164</v>
      </c>
      <c r="G282" s="44" t="s">
        <v>115</v>
      </c>
      <c r="H282" s="44" t="s">
        <v>94</v>
      </c>
      <c r="I282" s="44"/>
      <c r="J282" s="44"/>
      <c r="K282" s="61">
        <v>50.84</v>
      </c>
      <c r="L282" s="44">
        <v>245</v>
      </c>
      <c r="M282" s="52">
        <v>12455.8</v>
      </c>
      <c r="N282" s="44"/>
      <c r="O282" s="59"/>
      <c r="P282" s="44" t="s">
        <v>125</v>
      </c>
      <c r="Q282" s="52">
        <v>12455.8</v>
      </c>
      <c r="R282" s="71">
        <v>17816.943627000019</v>
      </c>
    </row>
    <row r="283" spans="1:18" x14ac:dyDescent="0.25">
      <c r="A283" s="66"/>
      <c r="B283" s="44" t="s">
        <v>121</v>
      </c>
      <c r="C283" s="60">
        <v>45953</v>
      </c>
      <c r="D283" s="60">
        <v>45954</v>
      </c>
      <c r="E283" s="44">
        <v>191</v>
      </c>
      <c r="F283" s="44" t="s">
        <v>165</v>
      </c>
      <c r="G283" s="44" t="s">
        <v>115</v>
      </c>
      <c r="H283" s="44" t="s">
        <v>94</v>
      </c>
      <c r="I283" s="44"/>
      <c r="J283" s="44"/>
      <c r="K283" s="61"/>
      <c r="L283" s="44"/>
      <c r="M283" s="44">
        <v>11.21022</v>
      </c>
      <c r="N283" s="113">
        <v>8.9999999999999998E-4</v>
      </c>
      <c r="O283" s="59">
        <v>1.7936350000000001</v>
      </c>
      <c r="P283" s="44" t="s">
        <v>125</v>
      </c>
      <c r="Q283" s="44">
        <v>13.003855</v>
      </c>
      <c r="R283" s="71">
        <v>17803.93977200002</v>
      </c>
    </row>
    <row r="284" spans="1:18" x14ac:dyDescent="0.25">
      <c r="A284" s="66" t="s">
        <v>82</v>
      </c>
      <c r="B284" s="117" t="s">
        <v>85</v>
      </c>
      <c r="C284" s="60">
        <v>45953</v>
      </c>
      <c r="D284" s="60">
        <v>45954</v>
      </c>
      <c r="E284" s="44">
        <v>619597</v>
      </c>
      <c r="F284" s="44" t="s">
        <v>83</v>
      </c>
      <c r="G284" s="44" t="s">
        <v>140</v>
      </c>
      <c r="H284" s="44">
        <v>280907</v>
      </c>
      <c r="I284" s="44">
        <v>1</v>
      </c>
      <c r="J284" s="44">
        <v>264.90138676685518</v>
      </c>
      <c r="K284" s="61">
        <v>100.602476</v>
      </c>
      <c r="L284" s="44">
        <v>13642</v>
      </c>
      <c r="M284" s="52">
        <v>1372418.9761227292</v>
      </c>
      <c r="N284" s="44"/>
      <c r="O284" s="59"/>
      <c r="P284" s="44" t="s">
        <v>81</v>
      </c>
      <c r="Q284" s="52">
        <v>1372418.9761227292</v>
      </c>
      <c r="R284" s="71">
        <v>1192317.78</v>
      </c>
    </row>
    <row r="285" spans="1:18" x14ac:dyDescent="0.25">
      <c r="A285" s="66" t="s">
        <v>82</v>
      </c>
      <c r="B285" s="117" t="s">
        <v>86</v>
      </c>
      <c r="C285" s="60">
        <v>45953</v>
      </c>
      <c r="D285" s="60">
        <v>45954</v>
      </c>
      <c r="E285" s="44">
        <v>619597</v>
      </c>
      <c r="F285" s="44" t="s">
        <v>83</v>
      </c>
      <c r="G285" s="44" t="s">
        <v>140</v>
      </c>
      <c r="H285" s="44">
        <v>280907</v>
      </c>
      <c r="I285" s="44">
        <v>1</v>
      </c>
      <c r="J285" s="44">
        <v>11.786771863911529</v>
      </c>
      <c r="K285" s="61">
        <v>100.602476</v>
      </c>
      <c r="L285" s="44">
        <v>607</v>
      </c>
      <c r="M285" s="52">
        <v>61065.702866624888</v>
      </c>
      <c r="N285" s="44"/>
      <c r="O285" s="59"/>
      <c r="P285" s="44" t="s">
        <v>81</v>
      </c>
      <c r="Q285" s="52">
        <v>61065.702866624888</v>
      </c>
      <c r="R285" s="71">
        <v>61085.26</v>
      </c>
    </row>
    <row r="286" spans="1:18" x14ac:dyDescent="0.25">
      <c r="A286" s="66" t="s">
        <v>82</v>
      </c>
      <c r="B286" s="117" t="s">
        <v>121</v>
      </c>
      <c r="C286" s="60">
        <v>45953</v>
      </c>
      <c r="D286" s="60">
        <v>45954</v>
      </c>
      <c r="E286" s="44">
        <v>619597</v>
      </c>
      <c r="F286" s="44" t="s">
        <v>83</v>
      </c>
      <c r="G286" s="44" t="s">
        <v>140</v>
      </c>
      <c r="H286" s="44">
        <v>280907</v>
      </c>
      <c r="I286" s="44">
        <v>1</v>
      </c>
      <c r="J286" s="44">
        <v>188.47184136923445</v>
      </c>
      <c r="K286" s="61">
        <v>100.602476</v>
      </c>
      <c r="L286" s="44">
        <v>9706</v>
      </c>
      <c r="M286" s="52">
        <v>976447.63101064437</v>
      </c>
      <c r="N286" s="44"/>
      <c r="O286" s="59"/>
      <c r="P286" s="44" t="s">
        <v>81</v>
      </c>
      <c r="Q286" s="52">
        <v>976447.63101064437</v>
      </c>
      <c r="R286" s="71">
        <v>994251.57</v>
      </c>
    </row>
    <row r="287" spans="1:18" x14ac:dyDescent="0.25">
      <c r="A287" s="66" t="s">
        <v>80</v>
      </c>
      <c r="B287" s="117" t="s">
        <v>121</v>
      </c>
      <c r="C287" s="60">
        <v>45954</v>
      </c>
      <c r="D287" s="60">
        <v>45954</v>
      </c>
      <c r="E287" s="44">
        <v>620902</v>
      </c>
      <c r="F287" s="44" t="s">
        <v>167</v>
      </c>
      <c r="G287" s="44"/>
      <c r="H287" s="44"/>
      <c r="I287" s="44"/>
      <c r="J287" s="44"/>
      <c r="K287" s="61"/>
      <c r="L287" s="44"/>
      <c r="M287" s="44">
        <v>185.29</v>
      </c>
      <c r="N287" s="44"/>
      <c r="O287" s="59"/>
      <c r="P287" s="44" t="s">
        <v>125</v>
      </c>
      <c r="Q287" s="44">
        <v>185.29</v>
      </c>
      <c r="R287" s="71">
        <v>994066.28</v>
      </c>
    </row>
    <row r="288" spans="1:18" x14ac:dyDescent="0.25">
      <c r="A288" s="66" t="s">
        <v>82</v>
      </c>
      <c r="B288" s="117" t="s">
        <v>85</v>
      </c>
      <c r="C288" s="60">
        <v>45954</v>
      </c>
      <c r="D288" s="60">
        <v>45954</v>
      </c>
      <c r="E288" s="44">
        <v>620923</v>
      </c>
      <c r="F288" s="44" t="s">
        <v>124</v>
      </c>
      <c r="G288" s="44" t="s">
        <v>140</v>
      </c>
      <c r="H288" s="44">
        <v>280907</v>
      </c>
      <c r="I288" s="44">
        <v>3</v>
      </c>
      <c r="J288" s="44">
        <v>6.95</v>
      </c>
      <c r="K288" s="61">
        <v>100.604241</v>
      </c>
      <c r="L288" s="44">
        <v>11852</v>
      </c>
      <c r="M288" s="52">
        <v>1192361.4591861817</v>
      </c>
      <c r="N288" s="44"/>
      <c r="O288" s="59"/>
      <c r="P288" s="44" t="s">
        <v>125</v>
      </c>
      <c r="Q288" s="52">
        <v>1192361.4591861817</v>
      </c>
      <c r="R288" s="70">
        <v>-43.68</v>
      </c>
    </row>
    <row r="289" spans="1:18" x14ac:dyDescent="0.25">
      <c r="A289" s="66" t="s">
        <v>82</v>
      </c>
      <c r="B289" s="117" t="s">
        <v>86</v>
      </c>
      <c r="C289" s="60">
        <v>45954</v>
      </c>
      <c r="D289" s="60">
        <v>45954</v>
      </c>
      <c r="E289" s="44">
        <v>620923</v>
      </c>
      <c r="F289" s="44" t="s">
        <v>124</v>
      </c>
      <c r="G289" s="44" t="s">
        <v>140</v>
      </c>
      <c r="H289" s="44">
        <v>280907</v>
      </c>
      <c r="I289" s="44">
        <v>3</v>
      </c>
      <c r="J289" s="44">
        <v>6.95</v>
      </c>
      <c r="K289" s="61">
        <v>100.604241</v>
      </c>
      <c r="L289" s="44">
        <v>607</v>
      </c>
      <c r="M289" s="52">
        <v>61066.774023456994</v>
      </c>
      <c r="N289" s="44"/>
      <c r="O289" s="59"/>
      <c r="P289" s="44" t="s">
        <v>125</v>
      </c>
      <c r="Q289" s="52">
        <v>61066.774023456994</v>
      </c>
      <c r="R289" s="70">
        <v>18.489999999999998</v>
      </c>
    </row>
    <row r="290" spans="1:18" x14ac:dyDescent="0.25">
      <c r="A290" s="66" t="s">
        <v>82</v>
      </c>
      <c r="B290" s="117" t="s">
        <v>121</v>
      </c>
      <c r="C290" s="60">
        <v>45954</v>
      </c>
      <c r="D290" s="60">
        <v>45954</v>
      </c>
      <c r="E290" s="44">
        <v>620923</v>
      </c>
      <c r="F290" s="44" t="s">
        <v>124</v>
      </c>
      <c r="G290" s="44" t="s">
        <v>140</v>
      </c>
      <c r="H290" s="44">
        <v>280907</v>
      </c>
      <c r="I290" s="44">
        <v>3</v>
      </c>
      <c r="J290" s="44">
        <v>6.95</v>
      </c>
      <c r="K290" s="61">
        <v>100.604241</v>
      </c>
      <c r="L290" s="44">
        <v>9880</v>
      </c>
      <c r="M290" s="52">
        <v>993969.89679037081</v>
      </c>
      <c r="N290" s="44"/>
      <c r="O290" s="59"/>
      <c r="P290" s="44" t="s">
        <v>125</v>
      </c>
      <c r="Q290" s="52">
        <v>993969.89679037081</v>
      </c>
      <c r="R290" s="70">
        <v>96.38</v>
      </c>
    </row>
    <row r="291" spans="1:18" x14ac:dyDescent="0.25">
      <c r="A291" s="66" t="s">
        <v>82</v>
      </c>
      <c r="B291" s="117" t="s">
        <v>85</v>
      </c>
      <c r="C291" s="60">
        <v>45954</v>
      </c>
      <c r="D291" s="60">
        <v>45957</v>
      </c>
      <c r="E291" s="44">
        <v>620923</v>
      </c>
      <c r="F291" s="44" t="s">
        <v>83</v>
      </c>
      <c r="G291" s="44" t="s">
        <v>140</v>
      </c>
      <c r="H291" s="44">
        <v>280907</v>
      </c>
      <c r="I291" s="44">
        <v>3</v>
      </c>
      <c r="J291" s="52">
        <v>690.57172299565741</v>
      </c>
      <c r="K291" s="61">
        <v>100.66250700000001</v>
      </c>
      <c r="L291" s="44">
        <v>11852</v>
      </c>
      <c r="M291" s="52">
        <v>1193052.0309091716</v>
      </c>
      <c r="N291" s="44"/>
      <c r="O291" s="59"/>
      <c r="P291" s="44" t="s">
        <v>81</v>
      </c>
      <c r="Q291" s="52">
        <v>1193052.0309091716</v>
      </c>
      <c r="R291" s="71">
        <v>1193008.3500000001</v>
      </c>
    </row>
    <row r="292" spans="1:18" x14ac:dyDescent="0.25">
      <c r="A292" s="66" t="s">
        <v>82</v>
      </c>
      <c r="B292" s="117" t="s">
        <v>86</v>
      </c>
      <c r="C292" s="60">
        <v>45954</v>
      </c>
      <c r="D292" s="60">
        <v>45957</v>
      </c>
      <c r="E292" s="44">
        <v>620923</v>
      </c>
      <c r="F292" s="44" t="s">
        <v>83</v>
      </c>
      <c r="G292" s="44" t="s">
        <v>140</v>
      </c>
      <c r="H292" s="44">
        <v>280907</v>
      </c>
      <c r="I292" s="44">
        <v>3</v>
      </c>
      <c r="J292" s="52">
        <v>35.367620305295645</v>
      </c>
      <c r="K292" s="61">
        <v>100.66250700000001</v>
      </c>
      <c r="L292" s="44">
        <v>607</v>
      </c>
      <c r="M292" s="52">
        <v>61102.141643761985</v>
      </c>
      <c r="N292" s="44"/>
      <c r="O292" s="59"/>
      <c r="P292" s="44" t="s">
        <v>81</v>
      </c>
      <c r="Q292" s="52">
        <v>61102.141643761985</v>
      </c>
      <c r="R292" s="71">
        <v>61120.63</v>
      </c>
    </row>
    <row r="293" spans="1:18" x14ac:dyDescent="0.25">
      <c r="A293" s="66" t="s">
        <v>82</v>
      </c>
      <c r="B293" s="117" t="s">
        <v>121</v>
      </c>
      <c r="C293" s="60">
        <v>45954</v>
      </c>
      <c r="D293" s="60">
        <v>45957</v>
      </c>
      <c r="E293" s="44">
        <v>620923</v>
      </c>
      <c r="F293" s="44" t="s">
        <v>83</v>
      </c>
      <c r="G293" s="44" t="s">
        <v>140</v>
      </c>
      <c r="H293" s="44">
        <v>280907</v>
      </c>
      <c r="I293" s="44">
        <v>3</v>
      </c>
      <c r="J293" s="52">
        <v>575.67065669904616</v>
      </c>
      <c r="K293" s="61">
        <v>100.66250700000001</v>
      </c>
      <c r="L293" s="44">
        <v>9880</v>
      </c>
      <c r="M293" s="52">
        <v>994545.56744706479</v>
      </c>
      <c r="N293" s="44"/>
      <c r="O293" s="59"/>
      <c r="P293" s="44" t="s">
        <v>81</v>
      </c>
      <c r="Q293" s="52">
        <v>994545.56744706479</v>
      </c>
      <c r="R293" s="71">
        <v>994641.95</v>
      </c>
    </row>
    <row r="294" spans="1:18" x14ac:dyDescent="0.25">
      <c r="A294" s="66" t="s">
        <v>82</v>
      </c>
      <c r="B294" s="117" t="s">
        <v>85</v>
      </c>
      <c r="C294" s="60">
        <v>45957</v>
      </c>
      <c r="D294" s="60">
        <v>45957</v>
      </c>
      <c r="E294" s="44">
        <v>622226</v>
      </c>
      <c r="F294" s="44" t="s">
        <v>124</v>
      </c>
      <c r="G294" s="44" t="s">
        <v>140</v>
      </c>
      <c r="H294" s="44">
        <v>280907</v>
      </c>
      <c r="I294" s="44">
        <v>1</v>
      </c>
      <c r="J294" s="44">
        <v>6.95</v>
      </c>
      <c r="K294" s="61">
        <v>100.66663</v>
      </c>
      <c r="L294" s="44">
        <v>11851</v>
      </c>
      <c r="M294" s="52">
        <v>1193000.2316312981</v>
      </c>
      <c r="N294" s="44"/>
      <c r="O294" s="59"/>
      <c r="P294" s="44" t="s">
        <v>125</v>
      </c>
      <c r="Q294" s="52">
        <v>1193000.2316312981</v>
      </c>
      <c r="R294" s="70">
        <v>8.1199999999999992</v>
      </c>
    </row>
    <row r="295" spans="1:18" x14ac:dyDescent="0.25">
      <c r="A295" s="66" t="s">
        <v>82</v>
      </c>
      <c r="B295" s="117" t="s">
        <v>86</v>
      </c>
      <c r="C295" s="60">
        <v>45957</v>
      </c>
      <c r="D295" s="60">
        <v>45957</v>
      </c>
      <c r="E295" s="44">
        <v>622226</v>
      </c>
      <c r="F295" s="44" t="s">
        <v>124</v>
      </c>
      <c r="G295" s="44" t="s">
        <v>140</v>
      </c>
      <c r="H295" s="44">
        <v>280907</v>
      </c>
      <c r="I295" s="44">
        <v>1</v>
      </c>
      <c r="J295" s="44">
        <v>6.95</v>
      </c>
      <c r="K295" s="61">
        <v>100.66663</v>
      </c>
      <c r="L295" s="44">
        <v>607</v>
      </c>
      <c r="M295" s="52">
        <v>61104.644384456835</v>
      </c>
      <c r="N295" s="44"/>
      <c r="O295" s="59"/>
      <c r="P295" s="44" t="s">
        <v>125</v>
      </c>
      <c r="Q295" s="52">
        <v>61104.644384456835</v>
      </c>
      <c r="R295" s="70">
        <v>15.99</v>
      </c>
    </row>
    <row r="296" spans="1:18" x14ac:dyDescent="0.25">
      <c r="A296" s="66" t="s">
        <v>82</v>
      </c>
      <c r="B296" s="117" t="s">
        <v>121</v>
      </c>
      <c r="C296" s="60">
        <v>45957</v>
      </c>
      <c r="D296" s="60">
        <v>45957</v>
      </c>
      <c r="E296" s="44">
        <v>622226</v>
      </c>
      <c r="F296" s="44" t="s">
        <v>124</v>
      </c>
      <c r="G296" s="44" t="s">
        <v>140</v>
      </c>
      <c r="H296" s="44">
        <v>280907</v>
      </c>
      <c r="I296" s="44">
        <v>1</v>
      </c>
      <c r="J296" s="44">
        <v>6.95</v>
      </c>
      <c r="K296" s="61">
        <v>100.66663</v>
      </c>
      <c r="L296" s="44">
        <v>9880</v>
      </c>
      <c r="M296" s="52">
        <v>994586.3039842397</v>
      </c>
      <c r="N296" s="44"/>
      <c r="O296" s="59"/>
      <c r="P296" s="44" t="s">
        <v>125</v>
      </c>
      <c r="Q296" s="52">
        <v>994586.3039842397</v>
      </c>
      <c r="R296" s="70">
        <v>55.65</v>
      </c>
    </row>
    <row r="297" spans="1:18" x14ac:dyDescent="0.25">
      <c r="A297" s="66" t="s">
        <v>82</v>
      </c>
      <c r="B297" s="117" t="s">
        <v>85</v>
      </c>
      <c r="C297" s="60">
        <v>45957</v>
      </c>
      <c r="D297" s="60">
        <v>45958</v>
      </c>
      <c r="E297" s="44">
        <v>622226</v>
      </c>
      <c r="F297" s="44" t="s">
        <v>83</v>
      </c>
      <c r="G297" s="44" t="s">
        <v>140</v>
      </c>
      <c r="H297" s="44">
        <v>280907</v>
      </c>
      <c r="I297" s="44">
        <v>1</v>
      </c>
      <c r="J297" s="44">
        <v>230.31408899632882</v>
      </c>
      <c r="K297" s="61">
        <v>100.686064</v>
      </c>
      <c r="L297" s="44">
        <v>11851</v>
      </c>
      <c r="M297" s="52">
        <v>1193230.5457203009</v>
      </c>
      <c r="N297" s="44"/>
      <c r="O297" s="59"/>
      <c r="P297" s="44" t="s">
        <v>81</v>
      </c>
      <c r="Q297" s="52">
        <v>1193230.5457203009</v>
      </c>
      <c r="R297" s="71">
        <v>1193238.67</v>
      </c>
    </row>
    <row r="298" spans="1:18" x14ac:dyDescent="0.25">
      <c r="A298" s="66" t="s">
        <v>82</v>
      </c>
      <c r="B298" s="117" t="s">
        <v>86</v>
      </c>
      <c r="C298" s="60">
        <v>45957</v>
      </c>
      <c r="D298" s="60">
        <v>45958</v>
      </c>
      <c r="E298" s="44">
        <v>622226</v>
      </c>
      <c r="F298" s="44" t="s">
        <v>83</v>
      </c>
      <c r="G298" s="44" t="s">
        <v>140</v>
      </c>
      <c r="H298" s="44">
        <v>280907</v>
      </c>
      <c r="I298" s="44">
        <v>1</v>
      </c>
      <c r="J298" s="44">
        <v>11.796527889694673</v>
      </c>
      <c r="K298" s="61">
        <v>100.686064</v>
      </c>
      <c r="L298" s="44">
        <v>607</v>
      </c>
      <c r="M298" s="52">
        <v>61116.440912346858</v>
      </c>
      <c r="N298" s="44"/>
      <c r="O298" s="59"/>
      <c r="P298" s="44" t="s">
        <v>81</v>
      </c>
      <c r="Q298" s="52">
        <v>61116.440912346858</v>
      </c>
      <c r="R298" s="71">
        <v>61132.43</v>
      </c>
    </row>
    <row r="299" spans="1:18" x14ac:dyDescent="0.25">
      <c r="A299" s="66" t="s">
        <v>82</v>
      </c>
      <c r="B299" s="117" t="s">
        <v>121</v>
      </c>
      <c r="C299" s="60">
        <v>45957</v>
      </c>
      <c r="D299" s="60">
        <v>45958</v>
      </c>
      <c r="E299" s="44">
        <v>622226</v>
      </c>
      <c r="F299" s="44" t="s">
        <v>83</v>
      </c>
      <c r="G299" s="44" t="s">
        <v>140</v>
      </c>
      <c r="H299" s="44">
        <v>280907</v>
      </c>
      <c r="I299" s="44">
        <v>1</v>
      </c>
      <c r="J299" s="44">
        <v>192.0093831139759</v>
      </c>
      <c r="K299" s="61">
        <v>100.686064</v>
      </c>
      <c r="L299" s="44">
        <v>9880</v>
      </c>
      <c r="M299" s="52">
        <v>994778.31336735899</v>
      </c>
      <c r="N299" s="44"/>
      <c r="O299" s="59"/>
      <c r="P299" s="44" t="s">
        <v>81</v>
      </c>
      <c r="Q299" s="52">
        <v>994778.31336735899</v>
      </c>
      <c r="R299" s="71">
        <v>994833.96</v>
      </c>
    </row>
    <row r="300" spans="1:18" x14ac:dyDescent="0.25">
      <c r="A300" s="66" t="s">
        <v>82</v>
      </c>
      <c r="B300" s="117" t="s">
        <v>85</v>
      </c>
      <c r="C300" s="60">
        <v>45958</v>
      </c>
      <c r="D300" s="60">
        <v>45958</v>
      </c>
      <c r="E300" s="44">
        <v>623407</v>
      </c>
      <c r="F300" s="44" t="s">
        <v>124</v>
      </c>
      <c r="G300" s="44" t="s">
        <v>140</v>
      </c>
      <c r="H300" s="44">
        <v>280907</v>
      </c>
      <c r="I300" s="44">
        <v>1</v>
      </c>
      <c r="J300" s="44">
        <v>6.95</v>
      </c>
      <c r="K300" s="61">
        <v>100.68141900000001</v>
      </c>
      <c r="L300" s="44">
        <v>11852</v>
      </c>
      <c r="M300" s="52">
        <v>1193276.1731912822</v>
      </c>
      <c r="N300" s="44"/>
      <c r="O300" s="59"/>
      <c r="P300" s="44" t="s">
        <v>125</v>
      </c>
      <c r="Q300" s="52">
        <v>1193276.1731912822</v>
      </c>
      <c r="R300" s="70">
        <v>-37.5</v>
      </c>
    </row>
    <row r="301" spans="1:18" x14ac:dyDescent="0.25">
      <c r="A301" s="66" t="s">
        <v>82</v>
      </c>
      <c r="B301" s="117" t="s">
        <v>86</v>
      </c>
      <c r="C301" s="60">
        <v>45958</v>
      </c>
      <c r="D301" s="60">
        <v>45958</v>
      </c>
      <c r="E301" s="44">
        <v>623407</v>
      </c>
      <c r="F301" s="44" t="s">
        <v>124</v>
      </c>
      <c r="G301" s="44" t="s">
        <v>140</v>
      </c>
      <c r="H301" s="44">
        <v>280907</v>
      </c>
      <c r="I301" s="44">
        <v>1</v>
      </c>
      <c r="J301" s="44">
        <v>6.95</v>
      </c>
      <c r="K301" s="61">
        <v>100.68141900000001</v>
      </c>
      <c r="L301" s="44">
        <v>607</v>
      </c>
      <c r="M301" s="52">
        <v>61113.621087336178</v>
      </c>
      <c r="N301" s="44"/>
      <c r="O301" s="59"/>
      <c r="P301" s="44" t="s">
        <v>125</v>
      </c>
      <c r="Q301" s="52">
        <v>61113.621087336178</v>
      </c>
      <c r="R301" s="70">
        <v>18.809999999999999</v>
      </c>
    </row>
    <row r="302" spans="1:18" x14ac:dyDescent="0.25">
      <c r="A302" s="66" t="s">
        <v>82</v>
      </c>
      <c r="B302" s="117" t="s">
        <v>121</v>
      </c>
      <c r="C302" s="60">
        <v>45958</v>
      </c>
      <c r="D302" s="60">
        <v>45958</v>
      </c>
      <c r="E302" s="44">
        <v>623407</v>
      </c>
      <c r="F302" s="44" t="s">
        <v>124</v>
      </c>
      <c r="G302" s="44" t="s">
        <v>140</v>
      </c>
      <c r="H302" s="44">
        <v>280907</v>
      </c>
      <c r="I302" s="44">
        <v>1</v>
      </c>
      <c r="J302" s="44">
        <v>6.95</v>
      </c>
      <c r="K302" s="61">
        <v>100.68141900000001</v>
      </c>
      <c r="L302" s="44">
        <v>9880</v>
      </c>
      <c r="M302" s="52">
        <v>994732.41572138609</v>
      </c>
      <c r="N302" s="44"/>
      <c r="O302" s="59"/>
      <c r="P302" s="44" t="s">
        <v>125</v>
      </c>
      <c r="Q302" s="52">
        <v>994732.41572138609</v>
      </c>
      <c r="R302" s="70">
        <v>101.54</v>
      </c>
    </row>
    <row r="303" spans="1:18" x14ac:dyDescent="0.25">
      <c r="A303" s="66" t="s">
        <v>82</v>
      </c>
      <c r="B303" s="117" t="s">
        <v>85</v>
      </c>
      <c r="C303" s="60">
        <v>45958</v>
      </c>
      <c r="D303" s="60">
        <v>45959</v>
      </c>
      <c r="E303" s="44">
        <v>623407</v>
      </c>
      <c r="F303" s="44" t="s">
        <v>83</v>
      </c>
      <c r="G303" s="44" t="s">
        <v>140</v>
      </c>
      <c r="H303" s="44">
        <v>280907</v>
      </c>
      <c r="I303" s="44">
        <v>1</v>
      </c>
      <c r="J303" s="44">
        <v>230.36565647522258</v>
      </c>
      <c r="K303" s="61">
        <v>100.700855</v>
      </c>
      <c r="L303" s="44">
        <v>11852</v>
      </c>
      <c r="M303" s="52">
        <v>1193506.5388477533</v>
      </c>
      <c r="N303" s="44"/>
      <c r="O303" s="59"/>
      <c r="P303" s="44" t="s">
        <v>81</v>
      </c>
      <c r="Q303" s="52">
        <v>1193506.5388477533</v>
      </c>
      <c r="R303" s="71">
        <v>1193469.04</v>
      </c>
    </row>
    <row r="304" spans="1:18" x14ac:dyDescent="0.25">
      <c r="A304" s="66" t="s">
        <v>82</v>
      </c>
      <c r="B304" s="117" t="s">
        <v>86</v>
      </c>
      <c r="C304" s="60">
        <v>45958</v>
      </c>
      <c r="D304" s="60">
        <v>45959</v>
      </c>
      <c r="E304" s="44">
        <v>623407</v>
      </c>
      <c r="F304" s="44" t="s">
        <v>83</v>
      </c>
      <c r="G304" s="44" t="s">
        <v>140</v>
      </c>
      <c r="H304" s="44">
        <v>280907</v>
      </c>
      <c r="I304" s="44">
        <v>1</v>
      </c>
      <c r="J304" s="44">
        <v>11.798173597743849</v>
      </c>
      <c r="K304" s="61">
        <v>100.700855</v>
      </c>
      <c r="L304" s="44">
        <v>607</v>
      </c>
      <c r="M304" s="52">
        <v>61125.419260933704</v>
      </c>
      <c r="N304" s="44"/>
      <c r="O304" s="59"/>
      <c r="P304" s="44" t="s">
        <v>81</v>
      </c>
      <c r="Q304" s="52">
        <v>61125.419260933704</v>
      </c>
      <c r="R304" s="71">
        <v>61144.23</v>
      </c>
    </row>
    <row r="305" spans="1:18" x14ac:dyDescent="0.25">
      <c r="A305" s="66" t="s">
        <v>82</v>
      </c>
      <c r="B305" s="117" t="s">
        <v>121</v>
      </c>
      <c r="C305" s="60">
        <v>45958</v>
      </c>
      <c r="D305" s="60">
        <v>45959</v>
      </c>
      <c r="E305" s="44">
        <v>623407</v>
      </c>
      <c r="F305" s="44" t="s">
        <v>83</v>
      </c>
      <c r="G305" s="44" t="s">
        <v>140</v>
      </c>
      <c r="H305" s="44">
        <v>280907</v>
      </c>
      <c r="I305" s="44">
        <v>1</v>
      </c>
      <c r="J305" s="44">
        <v>192.03616992703331</v>
      </c>
      <c r="K305" s="61">
        <v>100.700855</v>
      </c>
      <c r="L305" s="44">
        <v>9880</v>
      </c>
      <c r="M305" s="52">
        <v>994924.4518913097</v>
      </c>
      <c r="N305" s="44"/>
      <c r="O305" s="59"/>
      <c r="P305" s="44" t="s">
        <v>81</v>
      </c>
      <c r="Q305" s="52">
        <v>994924.4518913097</v>
      </c>
      <c r="R305" s="71">
        <v>995025.99</v>
      </c>
    </row>
    <row r="306" spans="1:18" x14ac:dyDescent="0.25">
      <c r="A306" s="66" t="s">
        <v>82</v>
      </c>
      <c r="B306" s="117" t="s">
        <v>85</v>
      </c>
      <c r="C306" s="60">
        <v>45959</v>
      </c>
      <c r="D306" s="60">
        <v>45959</v>
      </c>
      <c r="E306" s="44">
        <v>624713</v>
      </c>
      <c r="F306" s="44" t="s">
        <v>124</v>
      </c>
      <c r="G306" s="44" t="s">
        <v>140</v>
      </c>
      <c r="H306" s="44">
        <v>280907</v>
      </c>
      <c r="I306" s="44">
        <v>1</v>
      </c>
      <c r="J306" s="44">
        <v>6.95</v>
      </c>
      <c r="K306" s="61">
        <v>100.693963</v>
      </c>
      <c r="L306" s="44">
        <v>11852</v>
      </c>
      <c r="M306" s="52">
        <v>1193424.8455592813</v>
      </c>
      <c r="N306" s="44"/>
      <c r="O306" s="59"/>
      <c r="P306" s="44" t="s">
        <v>125</v>
      </c>
      <c r="Q306" s="52">
        <v>1193424.8455592813</v>
      </c>
      <c r="R306" s="70">
        <v>44.19</v>
      </c>
    </row>
    <row r="307" spans="1:18" x14ac:dyDescent="0.25">
      <c r="A307" s="66" t="s">
        <v>82</v>
      </c>
      <c r="B307" s="117" t="s">
        <v>86</v>
      </c>
      <c r="C307" s="60">
        <v>45959</v>
      </c>
      <c r="D307" s="60">
        <v>45959</v>
      </c>
      <c r="E307" s="44">
        <v>624713</v>
      </c>
      <c r="F307" s="44" t="s">
        <v>124</v>
      </c>
      <c r="G307" s="44" t="s">
        <v>140</v>
      </c>
      <c r="H307" s="44">
        <v>280907</v>
      </c>
      <c r="I307" s="44">
        <v>1</v>
      </c>
      <c r="J307" s="44">
        <v>6.95</v>
      </c>
      <c r="K307" s="61">
        <v>100.693963</v>
      </c>
      <c r="L307" s="44">
        <v>607</v>
      </c>
      <c r="M307" s="52">
        <v>61121.235340405321</v>
      </c>
      <c r="N307" s="44"/>
      <c r="O307" s="59"/>
      <c r="P307" s="44" t="s">
        <v>125</v>
      </c>
      <c r="Q307" s="52">
        <v>61121.235340405321</v>
      </c>
      <c r="R307" s="70">
        <v>22.99</v>
      </c>
    </row>
    <row r="308" spans="1:18" x14ac:dyDescent="0.25">
      <c r="A308" s="66" t="s">
        <v>82</v>
      </c>
      <c r="B308" s="117" t="s">
        <v>121</v>
      </c>
      <c r="C308" s="60">
        <v>45959</v>
      </c>
      <c r="D308" s="60">
        <v>45959</v>
      </c>
      <c r="E308" s="44">
        <v>624713</v>
      </c>
      <c r="F308" s="44" t="s">
        <v>124</v>
      </c>
      <c r="G308" s="44" t="s">
        <v>140</v>
      </c>
      <c r="H308" s="44">
        <v>280907</v>
      </c>
      <c r="I308" s="44">
        <v>1</v>
      </c>
      <c r="J308" s="44">
        <v>6.95</v>
      </c>
      <c r="K308" s="61">
        <v>100.693963</v>
      </c>
      <c r="L308" s="44">
        <v>9882</v>
      </c>
      <c r="M308" s="52">
        <v>995057.73910030525</v>
      </c>
      <c r="N308" s="44"/>
      <c r="O308" s="59"/>
      <c r="P308" s="44" t="s">
        <v>125</v>
      </c>
      <c r="Q308" s="52">
        <v>995057.73910030525</v>
      </c>
      <c r="R308" s="70">
        <v>-31.75</v>
      </c>
    </row>
    <row r="309" spans="1:18" x14ac:dyDescent="0.25">
      <c r="A309" s="66" t="s">
        <v>82</v>
      </c>
      <c r="B309" s="117" t="s">
        <v>85</v>
      </c>
      <c r="C309" s="60">
        <v>45959</v>
      </c>
      <c r="D309" s="60">
        <v>45960</v>
      </c>
      <c r="E309" s="44">
        <v>624713</v>
      </c>
      <c r="F309" s="44" t="s">
        <v>83</v>
      </c>
      <c r="G309" s="44" t="s">
        <v>140</v>
      </c>
      <c r="H309" s="44">
        <v>280907</v>
      </c>
      <c r="I309" s="44">
        <v>1</v>
      </c>
      <c r="J309" s="44">
        <v>230.39277919520165</v>
      </c>
      <c r="K309" s="61">
        <v>100.713402</v>
      </c>
      <c r="L309" s="44">
        <v>11852</v>
      </c>
      <c r="M309" s="52">
        <v>1193655.2383384856</v>
      </c>
      <c r="N309" s="44"/>
      <c r="O309" s="59"/>
      <c r="P309" s="44" t="s">
        <v>81</v>
      </c>
      <c r="Q309" s="52">
        <v>1193655.2383384856</v>
      </c>
      <c r="R309" s="71">
        <v>1193699.43</v>
      </c>
    </row>
    <row r="310" spans="1:18" x14ac:dyDescent="0.25">
      <c r="A310" s="66" t="s">
        <v>82</v>
      </c>
      <c r="B310" s="117" t="s">
        <v>86</v>
      </c>
      <c r="C310" s="60">
        <v>45959</v>
      </c>
      <c r="D310" s="60">
        <v>45960</v>
      </c>
      <c r="E310" s="44">
        <v>624713</v>
      </c>
      <c r="F310" s="44" t="s">
        <v>83</v>
      </c>
      <c r="G310" s="44" t="s">
        <v>140</v>
      </c>
      <c r="H310" s="44">
        <v>280907</v>
      </c>
      <c r="I310" s="44">
        <v>1</v>
      </c>
      <c r="J310" s="44">
        <v>11.799562687435657</v>
      </c>
      <c r="K310" s="61">
        <v>100.713402</v>
      </c>
      <c r="L310" s="44">
        <v>607</v>
      </c>
      <c r="M310" s="52">
        <v>61133.034903093205</v>
      </c>
      <c r="N310" s="44"/>
      <c r="O310" s="59"/>
      <c r="P310" s="44" t="s">
        <v>81</v>
      </c>
      <c r="Q310" s="52">
        <v>61133.034903093205</v>
      </c>
      <c r="R310" s="71">
        <v>61156.02</v>
      </c>
    </row>
    <row r="311" spans="1:18" x14ac:dyDescent="0.25">
      <c r="A311" s="66" t="s">
        <v>82</v>
      </c>
      <c r="B311" s="117" t="s">
        <v>121</v>
      </c>
      <c r="C311" s="60">
        <v>45959</v>
      </c>
      <c r="D311" s="60">
        <v>45960</v>
      </c>
      <c r="E311" s="44">
        <v>624713</v>
      </c>
      <c r="F311" s="44" t="s">
        <v>83</v>
      </c>
      <c r="G311" s="44" t="s">
        <v>140</v>
      </c>
      <c r="H311" s="44">
        <v>280907</v>
      </c>
      <c r="I311" s="44">
        <v>1</v>
      </c>
      <c r="J311" s="44">
        <v>192.09765811736273</v>
      </c>
      <c r="K311" s="61">
        <v>100.713402</v>
      </c>
      <c r="L311" s="44">
        <v>9882</v>
      </c>
      <c r="M311" s="52">
        <v>995249.83675843012</v>
      </c>
      <c r="N311" s="44"/>
      <c r="O311" s="59"/>
      <c r="P311" s="44" t="s">
        <v>81</v>
      </c>
      <c r="Q311" s="52">
        <v>995249.83675843012</v>
      </c>
      <c r="R311" s="71">
        <v>995218.09</v>
      </c>
    </row>
    <row r="312" spans="1:18" x14ac:dyDescent="0.25">
      <c r="A312" s="66" t="s">
        <v>82</v>
      </c>
      <c r="B312" s="117" t="s">
        <v>85</v>
      </c>
      <c r="C312" s="60">
        <v>45960</v>
      </c>
      <c r="D312" s="60">
        <v>45960</v>
      </c>
      <c r="E312" s="44">
        <v>626057</v>
      </c>
      <c r="F312" s="44" t="s">
        <v>124</v>
      </c>
      <c r="G312" s="44" t="s">
        <v>140</v>
      </c>
      <c r="H312" s="44">
        <v>280907</v>
      </c>
      <c r="I312" s="44">
        <v>1</v>
      </c>
      <c r="J312" s="44">
        <v>6.95</v>
      </c>
      <c r="K312" s="61">
        <v>100.714162</v>
      </c>
      <c r="L312" s="44">
        <v>11852</v>
      </c>
      <c r="M312" s="52">
        <v>1193664.2463041088</v>
      </c>
      <c r="N312" s="44"/>
      <c r="O312" s="59"/>
      <c r="P312" s="44" t="s">
        <v>125</v>
      </c>
      <c r="Q312" s="52">
        <v>1193664.2463041088</v>
      </c>
      <c r="R312" s="70">
        <v>35.18</v>
      </c>
    </row>
    <row r="313" spans="1:18" x14ac:dyDescent="0.25">
      <c r="A313" s="66" t="s">
        <v>82</v>
      </c>
      <c r="B313" s="117" t="s">
        <v>86</v>
      </c>
      <c r="C313" s="60">
        <v>45960</v>
      </c>
      <c r="D313" s="60">
        <v>45960</v>
      </c>
      <c r="E313" s="44">
        <v>626057</v>
      </c>
      <c r="F313" s="44" t="s">
        <v>124</v>
      </c>
      <c r="G313" s="44" t="s">
        <v>140</v>
      </c>
      <c r="H313" s="44">
        <v>280907</v>
      </c>
      <c r="I313" s="44">
        <v>1</v>
      </c>
      <c r="J313" s="44">
        <v>6.95</v>
      </c>
      <c r="K313" s="61">
        <v>100.714162</v>
      </c>
      <c r="L313" s="44">
        <v>607</v>
      </c>
      <c r="M313" s="52">
        <v>61133.496245915798</v>
      </c>
      <c r="N313" s="44"/>
      <c r="O313" s="59"/>
      <c r="P313" s="44" t="s">
        <v>125</v>
      </c>
      <c r="Q313" s="52">
        <v>61133.496245915798</v>
      </c>
      <c r="R313" s="70">
        <v>22.52</v>
      </c>
    </row>
    <row r="314" spans="1:18" x14ac:dyDescent="0.25">
      <c r="A314" s="66" t="s">
        <v>82</v>
      </c>
      <c r="B314" s="117" t="s">
        <v>121</v>
      </c>
      <c r="C314" s="60">
        <v>45960</v>
      </c>
      <c r="D314" s="60">
        <v>45960</v>
      </c>
      <c r="E314" s="44">
        <v>626057</v>
      </c>
      <c r="F314" s="44" t="s">
        <v>124</v>
      </c>
      <c r="G314" s="44" t="s">
        <v>140</v>
      </c>
      <c r="H314" s="44">
        <v>280907</v>
      </c>
      <c r="I314" s="44">
        <v>1</v>
      </c>
      <c r="J314" s="44">
        <v>6.95</v>
      </c>
      <c r="K314" s="61">
        <v>100.714162</v>
      </c>
      <c r="L314" s="44">
        <v>9882</v>
      </c>
      <c r="M314" s="52">
        <v>995257.34744998347</v>
      </c>
      <c r="N314" s="44"/>
      <c r="O314" s="59"/>
      <c r="P314" s="44" t="s">
        <v>125</v>
      </c>
      <c r="Q314" s="52">
        <v>995257.34744998347</v>
      </c>
      <c r="R314" s="70">
        <v>-39.26</v>
      </c>
    </row>
    <row r="315" spans="1:18" x14ac:dyDescent="0.25">
      <c r="A315" s="66" t="s">
        <v>82</v>
      </c>
      <c r="B315" s="117" t="s">
        <v>85</v>
      </c>
      <c r="C315" s="60">
        <v>45960</v>
      </c>
      <c r="D315" s="60">
        <v>45961</v>
      </c>
      <c r="E315" s="44">
        <v>626057</v>
      </c>
      <c r="F315" s="44" t="s">
        <v>83</v>
      </c>
      <c r="G315" s="44" t="s">
        <v>140</v>
      </c>
      <c r="H315" s="44">
        <v>280907</v>
      </c>
      <c r="I315" s="44">
        <v>1</v>
      </c>
      <c r="J315" s="44">
        <v>230.44052459603424</v>
      </c>
      <c r="K315" s="61">
        <v>100.733605</v>
      </c>
      <c r="L315" s="44">
        <v>11852</v>
      </c>
      <c r="M315" s="52">
        <v>1193894.6868287039</v>
      </c>
      <c r="N315" s="44"/>
      <c r="O315" s="59"/>
      <c r="P315" s="44" t="s">
        <v>81</v>
      </c>
      <c r="Q315" s="52">
        <v>1193894.6868287039</v>
      </c>
      <c r="R315" s="71">
        <v>1193929.8700000001</v>
      </c>
    </row>
    <row r="316" spans="1:18" x14ac:dyDescent="0.25">
      <c r="A316" s="66" t="s">
        <v>82</v>
      </c>
      <c r="B316" s="117" t="s">
        <v>86</v>
      </c>
      <c r="C316" s="60">
        <v>45960</v>
      </c>
      <c r="D316" s="60">
        <v>45961</v>
      </c>
      <c r="E316" s="44">
        <v>626057</v>
      </c>
      <c r="F316" s="44" t="s">
        <v>83</v>
      </c>
      <c r="G316" s="44" t="s">
        <v>140</v>
      </c>
      <c r="H316" s="44">
        <v>280907</v>
      </c>
      <c r="I316" s="44">
        <v>1</v>
      </c>
      <c r="J316" s="44">
        <v>11.802007967414173</v>
      </c>
      <c r="K316" s="61">
        <v>100.733605</v>
      </c>
      <c r="L316" s="44">
        <v>607</v>
      </c>
      <c r="M316" s="52">
        <v>61145.298253883157</v>
      </c>
      <c r="N316" s="44"/>
      <c r="O316" s="59"/>
      <c r="P316" s="44" t="s">
        <v>81</v>
      </c>
      <c r="Q316" s="52">
        <v>61145.298253883157</v>
      </c>
      <c r="R316" s="71">
        <v>61167.82</v>
      </c>
    </row>
    <row r="317" spans="1:18" x14ac:dyDescent="0.25">
      <c r="A317" s="66" t="s">
        <v>82</v>
      </c>
      <c r="B317" s="117" t="s">
        <v>121</v>
      </c>
      <c r="C317" s="60">
        <v>45960</v>
      </c>
      <c r="D317" s="60">
        <v>45961</v>
      </c>
      <c r="E317" s="44">
        <v>626057</v>
      </c>
      <c r="F317" s="44" t="s">
        <v>83</v>
      </c>
      <c r="G317" s="44" t="s">
        <v>140</v>
      </c>
      <c r="H317" s="44">
        <v>280907</v>
      </c>
      <c r="I317" s="44">
        <v>1</v>
      </c>
      <c r="J317" s="44">
        <v>192.13746743655165</v>
      </c>
      <c r="K317" s="61">
        <v>100.733605</v>
      </c>
      <c r="L317" s="44">
        <v>9882</v>
      </c>
      <c r="M317" s="52">
        <v>995449.48491741915</v>
      </c>
      <c r="N317" s="44"/>
      <c r="O317" s="59"/>
      <c r="P317" s="44" t="s">
        <v>81</v>
      </c>
      <c r="Q317" s="52">
        <v>995449.48491741915</v>
      </c>
      <c r="R317" s="71">
        <v>995410.22</v>
      </c>
    </row>
    <row r="318" spans="1:18" x14ac:dyDescent="0.25">
      <c r="A318" s="66" t="s">
        <v>82</v>
      </c>
      <c r="B318" s="117" t="s">
        <v>85</v>
      </c>
      <c r="C318" s="60">
        <v>45961</v>
      </c>
      <c r="D318" s="60">
        <v>45961</v>
      </c>
      <c r="E318" s="44">
        <v>627554</v>
      </c>
      <c r="F318" s="44" t="s">
        <v>124</v>
      </c>
      <c r="G318" s="44" t="s">
        <v>140</v>
      </c>
      <c r="H318" s="44">
        <v>280907</v>
      </c>
      <c r="I318" s="44">
        <v>3</v>
      </c>
      <c r="J318" s="44">
        <v>6.95</v>
      </c>
      <c r="K318" s="61">
        <v>100.726956</v>
      </c>
      <c r="L318" s="44">
        <v>11853</v>
      </c>
      <c r="M318" s="52">
        <v>1193916.6089629438</v>
      </c>
      <c r="N318" s="44"/>
      <c r="O318" s="59"/>
      <c r="P318" s="44" t="s">
        <v>125</v>
      </c>
      <c r="Q318" s="52">
        <v>1193916.6089629438</v>
      </c>
      <c r="R318" s="70">
        <v>13.26</v>
      </c>
    </row>
    <row r="319" spans="1:18" x14ac:dyDescent="0.25">
      <c r="A319" s="66" t="s">
        <v>82</v>
      </c>
      <c r="B319" s="117" t="s">
        <v>86</v>
      </c>
      <c r="C319" s="60">
        <v>45961</v>
      </c>
      <c r="D319" s="60">
        <v>45961</v>
      </c>
      <c r="E319" s="44">
        <v>627554</v>
      </c>
      <c r="F319" s="44" t="s">
        <v>124</v>
      </c>
      <c r="G319" s="44" t="s">
        <v>140</v>
      </c>
      <c r="H319" s="44">
        <v>280907</v>
      </c>
      <c r="I319" s="44">
        <v>3</v>
      </c>
      <c r="J319" s="44">
        <v>6.95</v>
      </c>
      <c r="K319" s="61">
        <v>100.726956</v>
      </c>
      <c r="L319" s="44">
        <v>607</v>
      </c>
      <c r="M319" s="52">
        <v>61141.262266135731</v>
      </c>
      <c r="N319" s="44"/>
      <c r="O319" s="59"/>
      <c r="P319" s="44" t="s">
        <v>125</v>
      </c>
      <c r="Q319" s="52">
        <v>61141.262266135731</v>
      </c>
      <c r="R319" s="70">
        <v>26.56</v>
      </c>
    </row>
    <row r="320" spans="1:18" x14ac:dyDescent="0.25">
      <c r="A320" s="66" t="s">
        <v>82</v>
      </c>
      <c r="B320" s="117" t="s">
        <v>121</v>
      </c>
      <c r="C320" s="60">
        <v>45961</v>
      </c>
      <c r="D320" s="60">
        <v>45961</v>
      </c>
      <c r="E320" s="44">
        <v>627554</v>
      </c>
      <c r="F320" s="44" t="s">
        <v>124</v>
      </c>
      <c r="G320" s="44" t="s">
        <v>140</v>
      </c>
      <c r="H320" s="44">
        <v>280907</v>
      </c>
      <c r="I320" s="44">
        <v>3</v>
      </c>
      <c r="J320" s="44">
        <v>6.95</v>
      </c>
      <c r="K320" s="61">
        <v>100.726956</v>
      </c>
      <c r="L320" s="44">
        <v>9882</v>
      </c>
      <c r="M320" s="52">
        <v>995383.77877092804</v>
      </c>
      <c r="N320" s="44"/>
      <c r="O320" s="59"/>
      <c r="P320" s="44" t="s">
        <v>125</v>
      </c>
      <c r="Q320" s="52">
        <v>995383.77877092804</v>
      </c>
      <c r="R320" s="70">
        <v>26.44</v>
      </c>
    </row>
    <row r="321" spans="1:18" x14ac:dyDescent="0.25">
      <c r="A321" s="95"/>
      <c r="B321" s="96"/>
      <c r="C321" s="96"/>
      <c r="D321" s="96"/>
      <c r="E321" s="96"/>
      <c r="F321" s="96"/>
      <c r="G321" s="96"/>
      <c r="H321" s="96"/>
      <c r="I321" s="96"/>
      <c r="J321" s="96"/>
      <c r="K321" s="96"/>
      <c r="L321" s="96"/>
      <c r="M321" s="96"/>
      <c r="N321" s="96"/>
      <c r="O321" s="96"/>
      <c r="P321" s="96"/>
      <c r="Q321" s="96"/>
      <c r="R321" s="97"/>
    </row>
    <row r="322" spans="1:18" x14ac:dyDescent="0.25">
      <c r="A322" s="64"/>
      <c r="R322" s="65"/>
    </row>
  </sheetData>
  <pageMargins left="0.25" right="0.25" top="0.75" bottom="0.75" header="0.29999999999861121" footer="0.29999999999861121"/>
  <pageSetup scale="90" orientation="landscape" r:id="rId1"/>
  <headerFooter>
    <oddFooter>&amp;RPágina &amp;P&amp;L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3377" r:id="rId4" name="Button 1">
              <controlPr defaultSize="0" print="0" autoFill="0" autoPict="0" macro="[0]!Corregir">
                <anchor moveWithCells="1" sizeWithCells="1">
                  <from>
                    <xdr:col>18</xdr:col>
                    <xdr:colOff>428625</xdr:colOff>
                    <xdr:row>0</xdr:row>
                    <xdr:rowOff>381000</xdr:rowOff>
                  </from>
                  <to>
                    <xdr:col>20</xdr:col>
                    <xdr:colOff>123825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78" r:id="rId5" name="Button 2">
              <controlPr defaultSize="0" print="0" autoFill="0" autoPict="0" macro="[0]!AcualizarMovimientos">
                <anchor moveWithCells="1" sizeWithCells="1">
                  <from>
                    <xdr:col>20</xdr:col>
                    <xdr:colOff>180975</xdr:colOff>
                    <xdr:row>0</xdr:row>
                    <xdr:rowOff>381000</xdr:rowOff>
                  </from>
                  <to>
                    <xdr:col>21</xdr:col>
                    <xdr:colOff>638175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79" r:id="rId6" name="Button 3">
              <controlPr defaultSize="0" print="0" autoFill="0" autoPict="0" macro="[0]!AgregarMovimentos">
                <anchor moveWithCells="1" sizeWithCells="1">
                  <from>
                    <xdr:col>18</xdr:col>
                    <xdr:colOff>428625</xdr:colOff>
                    <xdr:row>2</xdr:row>
                    <xdr:rowOff>104775</xdr:rowOff>
                  </from>
                  <to>
                    <xdr:col>20</xdr:col>
                    <xdr:colOff>123825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80" r:id="rId7" name="Button 4">
              <controlPr defaultSize="0" print="0" autoFill="0" autoPict="0" macro="[0]!PDFActiveSheet">
                <anchor moveWithCells="1" sizeWithCells="1">
                  <from>
                    <xdr:col>20</xdr:col>
                    <xdr:colOff>180975</xdr:colOff>
                    <xdr:row>2</xdr:row>
                    <xdr:rowOff>104775</xdr:rowOff>
                  </from>
                  <to>
                    <xdr:col>22</xdr:col>
                    <xdr:colOff>228600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DBFDB-5AED-4016-82E4-6A504CA84C34}">
  <dimension ref="A1:S63"/>
  <sheetViews>
    <sheetView workbookViewId="0"/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1" width="12.7109375" bestFit="1" customWidth="1"/>
    <col min="12" max="12" width="11.7109375" customWidth="1"/>
    <col min="13" max="13" width="11.5703125" bestFit="1" customWidth="1"/>
    <col min="14" max="14" width="10.7109375" customWidth="1"/>
    <col min="15" max="15" width="11.85546875" bestFit="1" customWidth="1"/>
    <col min="16" max="16" width="10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18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18"/>
      <c r="C4" s="15" t="s">
        <v>143</v>
      </c>
      <c r="F4" s="14"/>
      <c r="G4" s="15"/>
      <c r="I4" s="14" t="s">
        <v>14</v>
      </c>
      <c r="J4" s="15" t="s">
        <v>15</v>
      </c>
      <c r="K4" s="14" t="s">
        <v>23</v>
      </c>
      <c r="L4" s="16">
        <v>45961</v>
      </c>
      <c r="N4" s="14" t="s">
        <v>24</v>
      </c>
      <c r="O4" s="16">
        <v>45961</v>
      </c>
      <c r="R4" s="65"/>
    </row>
    <row r="5" spans="1:19" x14ac:dyDescent="0.25">
      <c r="A5" s="67" t="s">
        <v>25</v>
      </c>
      <c r="B5" s="118"/>
      <c r="C5" s="15" t="s">
        <v>138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B6" s="119"/>
      <c r="R6" s="65"/>
    </row>
    <row r="7" spans="1:19" x14ac:dyDescent="0.25">
      <c r="A7" s="17" t="s">
        <v>31</v>
      </c>
      <c r="B7" s="120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  <c r="S7" s="18" t="s">
        <v>160</v>
      </c>
    </row>
    <row r="8" spans="1:19" x14ac:dyDescent="0.25">
      <c r="A8" s="17"/>
      <c r="B8" s="120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  <c r="S8" s="73"/>
    </row>
    <row r="9" spans="1:19" x14ac:dyDescent="0.25">
      <c r="A9" s="66" t="s">
        <v>82</v>
      </c>
      <c r="B9" s="117" t="s">
        <v>85</v>
      </c>
      <c r="C9" s="44" t="s">
        <v>133</v>
      </c>
      <c r="D9" s="44" t="s">
        <v>89</v>
      </c>
      <c r="E9" s="44">
        <v>17</v>
      </c>
      <c r="F9" s="20">
        <v>0</v>
      </c>
      <c r="G9" s="20">
        <v>0</v>
      </c>
      <c r="H9" s="20">
        <v>0</v>
      </c>
      <c r="I9" s="34">
        <v>10433</v>
      </c>
      <c r="J9" s="88">
        <v>11.105845</v>
      </c>
      <c r="K9" s="52">
        <v>115867.28</v>
      </c>
      <c r="L9" s="88">
        <v>11.11744</v>
      </c>
      <c r="M9" s="52">
        <v>115988.25</v>
      </c>
      <c r="N9" s="89">
        <v>9.4</v>
      </c>
      <c r="O9" s="102">
        <v>97967.82</v>
      </c>
      <c r="P9" s="109">
        <v>-18020.429999999993</v>
      </c>
      <c r="Q9" s="49">
        <v>-0.15540000000000001</v>
      </c>
      <c r="R9" s="68">
        <v>3.2772699646606432E-3</v>
      </c>
      <c r="S9" s="20" t="s">
        <v>161</v>
      </c>
    </row>
    <row r="10" spans="1:19" x14ac:dyDescent="0.25">
      <c r="A10" s="66" t="s">
        <v>82</v>
      </c>
      <c r="B10" s="117" t="s">
        <v>121</v>
      </c>
      <c r="C10" s="44" t="s">
        <v>133</v>
      </c>
      <c r="D10" s="44" t="s">
        <v>89</v>
      </c>
      <c r="E10" s="44">
        <v>17</v>
      </c>
      <c r="F10" s="20">
        <v>0</v>
      </c>
      <c r="G10" s="20">
        <v>0</v>
      </c>
      <c r="H10" s="20">
        <v>0</v>
      </c>
      <c r="I10" s="34">
        <v>3400</v>
      </c>
      <c r="J10" s="88">
        <v>11.105845</v>
      </c>
      <c r="K10" s="52">
        <v>37759.870000000003</v>
      </c>
      <c r="L10" s="88">
        <v>11.11744</v>
      </c>
      <c r="M10" s="52">
        <v>37799.300000000003</v>
      </c>
      <c r="N10" s="89">
        <v>9.4</v>
      </c>
      <c r="O10" s="102">
        <v>31926.63</v>
      </c>
      <c r="P10" s="109">
        <v>-5872.6700000000019</v>
      </c>
      <c r="Q10" s="49">
        <v>-0.15540000000000001</v>
      </c>
      <c r="R10" s="68">
        <v>1.0680260678642582E-3</v>
      </c>
      <c r="S10" s="20" t="s">
        <v>161</v>
      </c>
    </row>
    <row r="11" spans="1:19" x14ac:dyDescent="0.25">
      <c r="A11" s="66" t="s">
        <v>82</v>
      </c>
      <c r="B11" s="117" t="s">
        <v>121</v>
      </c>
      <c r="C11" s="44" t="s">
        <v>95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34">
        <v>79337</v>
      </c>
      <c r="J11" s="88">
        <v>3.4064589999999999</v>
      </c>
      <c r="K11" s="52">
        <v>270258.24</v>
      </c>
      <c r="L11" s="88">
        <v>3.410015</v>
      </c>
      <c r="M11" s="52">
        <v>270540.36</v>
      </c>
      <c r="N11" s="89">
        <v>3.53</v>
      </c>
      <c r="O11" s="102">
        <v>279767.23</v>
      </c>
      <c r="P11" s="110">
        <v>9226.8699999999953</v>
      </c>
      <c r="Q11" s="50">
        <v>3.4099999999999998E-2</v>
      </c>
      <c r="R11" s="68">
        <v>9.3589174483550402E-3</v>
      </c>
      <c r="S11" s="20" t="s">
        <v>161</v>
      </c>
    </row>
    <row r="12" spans="1:19" x14ac:dyDescent="0.25">
      <c r="A12" s="66" t="s">
        <v>82</v>
      </c>
      <c r="B12" s="117" t="s">
        <v>85</v>
      </c>
      <c r="C12" s="44" t="s">
        <v>95</v>
      </c>
      <c r="D12" s="44" t="s">
        <v>94</v>
      </c>
      <c r="E12" s="44">
        <v>0</v>
      </c>
      <c r="F12" s="20">
        <v>0</v>
      </c>
      <c r="G12" s="20">
        <v>0</v>
      </c>
      <c r="H12" s="20">
        <v>0</v>
      </c>
      <c r="I12" s="34">
        <v>19273</v>
      </c>
      <c r="J12" s="88">
        <v>3.4064589999999999</v>
      </c>
      <c r="K12" s="52">
        <v>65652.679999999993</v>
      </c>
      <c r="L12" s="88">
        <v>3.410015</v>
      </c>
      <c r="M12" s="52">
        <v>65721.22</v>
      </c>
      <c r="N12" s="89">
        <v>3.53</v>
      </c>
      <c r="O12" s="102">
        <v>67962.66</v>
      </c>
      <c r="P12" s="110">
        <v>2241.4400000000023</v>
      </c>
      <c r="Q12" s="50">
        <v>3.4099999999999998E-2</v>
      </c>
      <c r="R12" s="68">
        <v>2.2735219007266193E-3</v>
      </c>
      <c r="S12" s="20" t="s">
        <v>161</v>
      </c>
    </row>
    <row r="13" spans="1:19" x14ac:dyDescent="0.25">
      <c r="A13" s="66" t="s">
        <v>82</v>
      </c>
      <c r="B13" s="117" t="s">
        <v>85</v>
      </c>
      <c r="C13" s="44" t="s">
        <v>98</v>
      </c>
      <c r="D13" s="44" t="s">
        <v>89</v>
      </c>
      <c r="E13" s="44">
        <v>0</v>
      </c>
      <c r="F13" s="20">
        <v>0</v>
      </c>
      <c r="G13" s="20">
        <v>0</v>
      </c>
      <c r="H13" s="20">
        <v>0</v>
      </c>
      <c r="I13" s="34">
        <v>9075</v>
      </c>
      <c r="J13" s="88">
        <v>35.412551000000001</v>
      </c>
      <c r="K13" s="52">
        <v>321368.90000000002</v>
      </c>
      <c r="L13" s="88">
        <v>35.449522999999999</v>
      </c>
      <c r="M13" s="52">
        <v>321704.42</v>
      </c>
      <c r="N13" s="89">
        <v>35.46</v>
      </c>
      <c r="O13" s="102">
        <v>321463.53999999998</v>
      </c>
      <c r="P13" s="109">
        <v>-240.88000000000466</v>
      </c>
      <c r="Q13" s="49">
        <v>-6.9999999999999999E-4</v>
      </c>
      <c r="R13" s="68">
        <v>1.0753763882624775E-2</v>
      </c>
      <c r="S13" s="20" t="s">
        <v>161</v>
      </c>
    </row>
    <row r="14" spans="1:19" x14ac:dyDescent="0.25">
      <c r="A14" s="66" t="s">
        <v>82</v>
      </c>
      <c r="B14" s="117" t="s">
        <v>121</v>
      </c>
      <c r="C14" s="44" t="s">
        <v>98</v>
      </c>
      <c r="D14" s="44" t="s">
        <v>89</v>
      </c>
      <c r="E14" s="44">
        <v>0</v>
      </c>
      <c r="F14" s="20">
        <v>0</v>
      </c>
      <c r="G14" s="20">
        <v>0</v>
      </c>
      <c r="H14" s="20">
        <v>0</v>
      </c>
      <c r="I14" s="34">
        <v>9075</v>
      </c>
      <c r="J14" s="88">
        <v>35.412551000000001</v>
      </c>
      <c r="K14" s="52">
        <v>321368.90000000002</v>
      </c>
      <c r="L14" s="88">
        <v>35.449522999999999</v>
      </c>
      <c r="M14" s="52">
        <v>321704.42</v>
      </c>
      <c r="N14" s="89">
        <v>35.46</v>
      </c>
      <c r="O14" s="102">
        <v>321463.53999999998</v>
      </c>
      <c r="P14" s="109">
        <v>-240.88000000000466</v>
      </c>
      <c r="Q14" s="49">
        <v>-6.9999999999999999E-4</v>
      </c>
      <c r="R14" s="68">
        <v>1.0753763882624775E-2</v>
      </c>
      <c r="S14" s="20" t="s">
        <v>161</v>
      </c>
    </row>
    <row r="15" spans="1:19" x14ac:dyDescent="0.25">
      <c r="A15" s="66" t="s">
        <v>82</v>
      </c>
      <c r="B15" s="117" t="s">
        <v>85</v>
      </c>
      <c r="C15" s="44" t="s">
        <v>134</v>
      </c>
      <c r="D15" s="44">
        <v>13</v>
      </c>
      <c r="E15" s="44">
        <v>0</v>
      </c>
      <c r="F15" s="20">
        <v>0</v>
      </c>
      <c r="G15" s="20">
        <v>0</v>
      </c>
      <c r="H15" s="20">
        <v>0</v>
      </c>
      <c r="I15" s="34">
        <v>4761</v>
      </c>
      <c r="J15" s="88">
        <v>20.855626999999998</v>
      </c>
      <c r="K15" s="52">
        <v>99293.64</v>
      </c>
      <c r="L15" s="88">
        <v>20.877400999999999</v>
      </c>
      <c r="M15" s="52">
        <v>99397.31</v>
      </c>
      <c r="N15" s="89">
        <v>28.76</v>
      </c>
      <c r="O15" s="102">
        <v>136783.41</v>
      </c>
      <c r="P15" s="110">
        <v>37386.100000000006</v>
      </c>
      <c r="Q15" s="50">
        <v>0.37609999999999999</v>
      </c>
      <c r="R15" s="68">
        <v>4.57574907001975E-3</v>
      </c>
      <c r="S15" s="20" t="s">
        <v>161</v>
      </c>
    </row>
    <row r="16" spans="1:19" x14ac:dyDescent="0.25">
      <c r="A16" s="66" t="s">
        <v>82</v>
      </c>
      <c r="B16" s="117" t="s">
        <v>121</v>
      </c>
      <c r="C16" s="44" t="s">
        <v>134</v>
      </c>
      <c r="D16" s="44">
        <v>13</v>
      </c>
      <c r="E16" s="44">
        <v>0</v>
      </c>
      <c r="F16" s="20">
        <v>0</v>
      </c>
      <c r="G16" s="20">
        <v>0</v>
      </c>
      <c r="H16" s="20">
        <v>0</v>
      </c>
      <c r="I16" s="34">
        <v>2000</v>
      </c>
      <c r="J16" s="88">
        <v>20.855626999999998</v>
      </c>
      <c r="K16" s="52">
        <v>41711.25</v>
      </c>
      <c r="L16" s="88">
        <v>20.877400999999999</v>
      </c>
      <c r="M16" s="52">
        <v>41754.800000000003</v>
      </c>
      <c r="N16" s="89">
        <v>28.76</v>
      </c>
      <c r="O16" s="102">
        <v>57459.95</v>
      </c>
      <c r="P16" s="110">
        <v>15705.149999999994</v>
      </c>
      <c r="Q16" s="50">
        <v>0.37609999999999999</v>
      </c>
      <c r="R16" s="68">
        <v>1.922179837276182E-3</v>
      </c>
      <c r="S16" s="20" t="s">
        <v>161</v>
      </c>
    </row>
    <row r="17" spans="1:19" x14ac:dyDescent="0.25">
      <c r="A17" s="66" t="s">
        <v>82</v>
      </c>
      <c r="B17" s="117" t="s">
        <v>85</v>
      </c>
      <c r="C17" s="44" t="s">
        <v>135</v>
      </c>
      <c r="D17" s="44">
        <v>18</v>
      </c>
      <c r="E17" s="44">
        <v>0</v>
      </c>
      <c r="F17" s="20">
        <v>0</v>
      </c>
      <c r="G17" s="20">
        <v>0</v>
      </c>
      <c r="H17" s="20">
        <v>0</v>
      </c>
      <c r="I17" s="34">
        <v>22107</v>
      </c>
      <c r="J17" s="88">
        <v>26.328993000000001</v>
      </c>
      <c r="K17" s="52">
        <v>582055.05000000005</v>
      </c>
      <c r="L17" s="88">
        <v>26.356480999999999</v>
      </c>
      <c r="M17" s="52">
        <v>582662.73</v>
      </c>
      <c r="N17" s="89">
        <v>21.98</v>
      </c>
      <c r="O17" s="102">
        <v>485404.57</v>
      </c>
      <c r="P17" s="109">
        <v>-97258.159999999974</v>
      </c>
      <c r="Q17" s="49">
        <v>-0.16689999999999999</v>
      </c>
      <c r="R17" s="68">
        <v>1.6238003642114467E-2</v>
      </c>
      <c r="S17" s="20" t="s">
        <v>161</v>
      </c>
    </row>
    <row r="18" spans="1:19" x14ac:dyDescent="0.25">
      <c r="A18" s="66" t="s">
        <v>82</v>
      </c>
      <c r="B18" s="117" t="s">
        <v>121</v>
      </c>
      <c r="C18" s="44" t="s">
        <v>135</v>
      </c>
      <c r="D18" s="44">
        <v>18</v>
      </c>
      <c r="E18" s="44">
        <v>0</v>
      </c>
      <c r="F18" s="20">
        <v>0</v>
      </c>
      <c r="G18" s="20">
        <v>0</v>
      </c>
      <c r="H18" s="20">
        <v>0</v>
      </c>
      <c r="I18" s="34">
        <v>21679</v>
      </c>
      <c r="J18" s="88">
        <v>26.328993000000001</v>
      </c>
      <c r="K18" s="52">
        <v>570786.24</v>
      </c>
      <c r="L18" s="88">
        <v>26.356480999999999</v>
      </c>
      <c r="M18" s="52">
        <v>571382.15</v>
      </c>
      <c r="N18" s="89">
        <v>21.98</v>
      </c>
      <c r="O18" s="102">
        <v>476006.95</v>
      </c>
      <c r="P18" s="109">
        <v>-95375.200000000012</v>
      </c>
      <c r="Q18" s="49">
        <v>-0.16689999999999999</v>
      </c>
      <c r="R18" s="68">
        <v>1.5923629618426954E-2</v>
      </c>
      <c r="S18" s="20" t="s">
        <v>161</v>
      </c>
    </row>
    <row r="19" spans="1:19" x14ac:dyDescent="0.25">
      <c r="A19" s="66" t="s">
        <v>82</v>
      </c>
      <c r="B19" s="117" t="s">
        <v>121</v>
      </c>
      <c r="C19" s="44" t="s">
        <v>101</v>
      </c>
      <c r="D19" s="44" t="s">
        <v>102</v>
      </c>
      <c r="E19" s="44">
        <v>19</v>
      </c>
      <c r="F19" s="20">
        <v>0</v>
      </c>
      <c r="G19" s="20">
        <v>0</v>
      </c>
      <c r="H19" s="20">
        <v>0</v>
      </c>
      <c r="I19" s="34">
        <v>2845</v>
      </c>
      <c r="J19" s="88">
        <v>188.60163</v>
      </c>
      <c r="K19" s="52">
        <v>536571.64</v>
      </c>
      <c r="L19" s="88">
        <v>188.798531</v>
      </c>
      <c r="M19" s="52">
        <v>537131.81999999995</v>
      </c>
      <c r="N19" s="89">
        <v>175.26</v>
      </c>
      <c r="O19" s="102">
        <v>498094.14</v>
      </c>
      <c r="P19" s="109">
        <v>-39037.679999999935</v>
      </c>
      <c r="Q19" s="49">
        <v>-7.2700000000000001E-2</v>
      </c>
      <c r="R19" s="68">
        <v>1.6662501672441762E-2</v>
      </c>
      <c r="S19" s="20" t="s">
        <v>161</v>
      </c>
    </row>
    <row r="20" spans="1:19" x14ac:dyDescent="0.25">
      <c r="A20" s="66" t="s">
        <v>82</v>
      </c>
      <c r="B20" s="117" t="s">
        <v>85</v>
      </c>
      <c r="C20" s="44" t="s">
        <v>101</v>
      </c>
      <c r="D20" s="44" t="s">
        <v>102</v>
      </c>
      <c r="E20" s="44">
        <v>19</v>
      </c>
      <c r="F20" s="20">
        <v>0</v>
      </c>
      <c r="G20" s="20">
        <v>0</v>
      </c>
      <c r="H20" s="20">
        <v>0</v>
      </c>
      <c r="I20" s="34">
        <v>3040</v>
      </c>
      <c r="J20" s="88">
        <v>188.60163</v>
      </c>
      <c r="K20" s="52">
        <v>573348.96</v>
      </c>
      <c r="L20" s="88">
        <v>188.798531</v>
      </c>
      <c r="M20" s="52">
        <v>573947.53</v>
      </c>
      <c r="N20" s="89">
        <v>175.26</v>
      </c>
      <c r="O20" s="102">
        <v>532234.17000000004</v>
      </c>
      <c r="P20" s="109">
        <v>-41713.359999999986</v>
      </c>
      <c r="Q20" s="49">
        <v>-7.2700000000000001E-2</v>
      </c>
      <c r="R20" s="68">
        <v>1.7804571536930051E-2</v>
      </c>
      <c r="S20" s="20" t="s">
        <v>161</v>
      </c>
    </row>
    <row r="21" spans="1:19" x14ac:dyDescent="0.25">
      <c r="A21" s="66" t="s">
        <v>82</v>
      </c>
      <c r="B21" s="117" t="s">
        <v>85</v>
      </c>
      <c r="C21" s="44" t="s">
        <v>146</v>
      </c>
      <c r="D21" s="44">
        <v>12</v>
      </c>
      <c r="E21" s="44">
        <v>0</v>
      </c>
      <c r="F21" s="20">
        <v>0</v>
      </c>
      <c r="G21" s="20">
        <v>0</v>
      </c>
      <c r="H21" s="20">
        <v>0</v>
      </c>
      <c r="I21" s="34">
        <v>33835</v>
      </c>
      <c r="J21" s="88">
        <v>9.3137659999999993</v>
      </c>
      <c r="K21" s="52">
        <v>315131.27</v>
      </c>
      <c r="L21" s="88">
        <v>9.3234899999999996</v>
      </c>
      <c r="M21" s="52">
        <v>315460.28000000003</v>
      </c>
      <c r="N21" s="89">
        <v>8.5</v>
      </c>
      <c r="O21" s="102">
        <v>287297.25</v>
      </c>
      <c r="P21" s="109">
        <v>-28163.030000000028</v>
      </c>
      <c r="Q21" s="49">
        <v>-8.9300000000000004E-2</v>
      </c>
      <c r="R21" s="68">
        <v>9.6108155550934972E-3</v>
      </c>
      <c r="S21" s="20" t="s">
        <v>161</v>
      </c>
    </row>
    <row r="22" spans="1:19" x14ac:dyDescent="0.25">
      <c r="A22" s="66" t="s">
        <v>82</v>
      </c>
      <c r="B22" s="117" t="s">
        <v>121</v>
      </c>
      <c r="C22" s="44" t="s">
        <v>146</v>
      </c>
      <c r="D22" s="44">
        <v>12</v>
      </c>
      <c r="E22" s="44">
        <v>0</v>
      </c>
      <c r="F22" s="20">
        <v>0</v>
      </c>
      <c r="G22" s="20">
        <v>0</v>
      </c>
      <c r="H22" s="20">
        <v>0</v>
      </c>
      <c r="I22" s="34">
        <v>26525</v>
      </c>
      <c r="J22" s="88">
        <v>9.3137659999999993</v>
      </c>
      <c r="K22" s="52">
        <v>247047.64</v>
      </c>
      <c r="L22" s="88">
        <v>9.3234899999999996</v>
      </c>
      <c r="M22" s="52">
        <v>247305.57</v>
      </c>
      <c r="N22" s="89">
        <v>8.5</v>
      </c>
      <c r="O22" s="102">
        <v>225227.11</v>
      </c>
      <c r="P22" s="109">
        <v>-22078.460000000021</v>
      </c>
      <c r="Q22" s="49">
        <v>-8.9300000000000004E-2</v>
      </c>
      <c r="R22" s="68">
        <v>7.5344132678497764E-3</v>
      </c>
      <c r="S22" s="20" t="s">
        <v>161</v>
      </c>
    </row>
    <row r="23" spans="1:19" x14ac:dyDescent="0.25">
      <c r="A23" s="66" t="s">
        <v>82</v>
      </c>
      <c r="B23" s="117" t="s">
        <v>121</v>
      </c>
      <c r="C23" s="44" t="s">
        <v>141</v>
      </c>
      <c r="D23" s="44">
        <v>11</v>
      </c>
      <c r="E23" s="44">
        <v>0</v>
      </c>
      <c r="F23" s="20">
        <v>0</v>
      </c>
      <c r="G23" s="20">
        <v>0</v>
      </c>
      <c r="H23" s="20">
        <v>0</v>
      </c>
      <c r="I23" s="34">
        <v>19338</v>
      </c>
      <c r="J23" s="88">
        <v>26.248591000000001</v>
      </c>
      <c r="K23" s="52">
        <v>507595.25</v>
      </c>
      <c r="L23" s="88">
        <v>26.275995000000002</v>
      </c>
      <c r="M23" s="52">
        <v>508125.19</v>
      </c>
      <c r="N23" s="89">
        <v>26.96</v>
      </c>
      <c r="O23" s="102">
        <v>520808.19</v>
      </c>
      <c r="P23" s="110">
        <v>12683</v>
      </c>
      <c r="Q23" s="50">
        <v>2.5000000000000001E-2</v>
      </c>
      <c r="R23" s="68">
        <v>1.7422343769987667E-2</v>
      </c>
      <c r="S23" s="20" t="s">
        <v>161</v>
      </c>
    </row>
    <row r="24" spans="1:19" x14ac:dyDescent="0.25">
      <c r="A24" s="66" t="s">
        <v>82</v>
      </c>
      <c r="B24" s="117" t="s">
        <v>85</v>
      </c>
      <c r="C24" s="44" t="s">
        <v>141</v>
      </c>
      <c r="D24" s="44">
        <v>11</v>
      </c>
      <c r="E24" s="44">
        <v>0</v>
      </c>
      <c r="F24" s="20">
        <v>0</v>
      </c>
      <c r="G24" s="20">
        <v>0</v>
      </c>
      <c r="H24" s="20">
        <v>0</v>
      </c>
      <c r="I24" s="34">
        <v>13298</v>
      </c>
      <c r="J24" s="88">
        <v>26.248591000000001</v>
      </c>
      <c r="K24" s="52">
        <v>349053.76</v>
      </c>
      <c r="L24" s="88">
        <v>26.275995000000002</v>
      </c>
      <c r="M24" s="52">
        <v>349418.18</v>
      </c>
      <c r="N24" s="89">
        <v>26.96</v>
      </c>
      <c r="O24" s="102">
        <v>358139.79</v>
      </c>
      <c r="P24" s="110">
        <v>8721.609999999986</v>
      </c>
      <c r="Q24" s="50">
        <v>2.5000000000000001E-2</v>
      </c>
      <c r="R24" s="68">
        <v>1.1980676684618174E-2</v>
      </c>
      <c r="S24" s="20" t="s">
        <v>161</v>
      </c>
    </row>
    <row r="25" spans="1:19" x14ac:dyDescent="0.25">
      <c r="A25" s="66" t="s">
        <v>82</v>
      </c>
      <c r="B25" s="117" t="s">
        <v>121</v>
      </c>
      <c r="C25" s="44" t="s">
        <v>103</v>
      </c>
      <c r="D25" s="44" t="s">
        <v>104</v>
      </c>
      <c r="E25" s="44">
        <v>2</v>
      </c>
      <c r="F25" s="20">
        <v>0</v>
      </c>
      <c r="G25" s="20">
        <v>0</v>
      </c>
      <c r="H25" s="20">
        <v>0</v>
      </c>
      <c r="I25" s="34">
        <v>520</v>
      </c>
      <c r="J25" s="88">
        <v>165.54432299999999</v>
      </c>
      <c r="K25" s="52">
        <v>86083.05</v>
      </c>
      <c r="L25" s="88">
        <v>165.717151</v>
      </c>
      <c r="M25" s="52">
        <v>86172.92</v>
      </c>
      <c r="N25" s="89">
        <v>174.85</v>
      </c>
      <c r="O25" s="102">
        <v>90827.08</v>
      </c>
      <c r="P25" s="110">
        <v>4654.1600000000035</v>
      </c>
      <c r="Q25" s="50">
        <v>5.3999999999999999E-2</v>
      </c>
      <c r="R25" s="68">
        <v>3.0383942529478495E-3</v>
      </c>
      <c r="S25" s="20" t="s">
        <v>161</v>
      </c>
    </row>
    <row r="26" spans="1:19" x14ac:dyDescent="0.25">
      <c r="A26" s="66" t="s">
        <v>82</v>
      </c>
      <c r="B26" s="117" t="s">
        <v>85</v>
      </c>
      <c r="C26" s="44" t="s">
        <v>103</v>
      </c>
      <c r="D26" s="44" t="s">
        <v>104</v>
      </c>
      <c r="E26" s="44">
        <v>2</v>
      </c>
      <c r="F26" s="20">
        <v>0</v>
      </c>
      <c r="G26" s="20">
        <v>0</v>
      </c>
      <c r="H26" s="20">
        <v>0</v>
      </c>
      <c r="I26" s="34">
        <v>620</v>
      </c>
      <c r="J26" s="88">
        <v>165.54432299999999</v>
      </c>
      <c r="K26" s="52">
        <v>102637.48</v>
      </c>
      <c r="L26" s="88">
        <v>165.717151</v>
      </c>
      <c r="M26" s="52">
        <v>102744.63</v>
      </c>
      <c r="N26" s="89">
        <v>174.85</v>
      </c>
      <c r="O26" s="102">
        <v>108293.82</v>
      </c>
      <c r="P26" s="110">
        <v>5549.1900000000023</v>
      </c>
      <c r="Q26" s="50">
        <v>5.3999999999999999E-2</v>
      </c>
      <c r="R26" s="68">
        <v>3.6227006341915747E-3</v>
      </c>
      <c r="S26" s="20" t="s">
        <v>161</v>
      </c>
    </row>
    <row r="27" spans="1:19" x14ac:dyDescent="0.25">
      <c r="A27" s="66" t="s">
        <v>139</v>
      </c>
      <c r="B27" s="117" t="s">
        <v>85</v>
      </c>
      <c r="C27" s="44" t="s">
        <v>151</v>
      </c>
      <c r="D27" s="44" t="s">
        <v>94</v>
      </c>
      <c r="E27" s="44">
        <v>0</v>
      </c>
      <c r="F27" s="20">
        <v>0</v>
      </c>
      <c r="G27" s="20">
        <v>0</v>
      </c>
      <c r="H27" s="20">
        <v>0</v>
      </c>
      <c r="I27" s="34">
        <v>258</v>
      </c>
      <c r="J27" s="88">
        <v>1520.5979159999999</v>
      </c>
      <c r="K27" s="52">
        <v>392314.26</v>
      </c>
      <c r="L27" s="88">
        <v>1522.1854209999999</v>
      </c>
      <c r="M27" s="52">
        <v>392723.84</v>
      </c>
      <c r="N27" s="89">
        <v>1500.6579999999999</v>
      </c>
      <c r="O27" s="102">
        <v>386765.56</v>
      </c>
      <c r="P27" s="109">
        <v>-5958.2800000000279</v>
      </c>
      <c r="Q27" s="49">
        <v>-1.52E-2</v>
      </c>
      <c r="R27" s="68">
        <v>1.2938280683934314E-2</v>
      </c>
      <c r="S27" s="20" t="s">
        <v>162</v>
      </c>
    </row>
    <row r="28" spans="1:19" x14ac:dyDescent="0.25">
      <c r="A28" s="66" t="s">
        <v>139</v>
      </c>
      <c r="B28" s="117" t="s">
        <v>121</v>
      </c>
      <c r="C28" s="44" t="s">
        <v>151</v>
      </c>
      <c r="D28" s="44" t="s">
        <v>94</v>
      </c>
      <c r="E28" s="44">
        <v>0</v>
      </c>
      <c r="F28" s="20">
        <v>0</v>
      </c>
      <c r="G28" s="20">
        <v>0</v>
      </c>
      <c r="H28" s="20">
        <v>0</v>
      </c>
      <c r="I28" s="34">
        <v>222</v>
      </c>
      <c r="J28" s="88">
        <v>1520.5979159999999</v>
      </c>
      <c r="K28" s="52">
        <v>337572.74</v>
      </c>
      <c r="L28" s="88">
        <v>1522.1854209999999</v>
      </c>
      <c r="M28" s="52">
        <v>337925.16</v>
      </c>
      <c r="N28" s="89">
        <v>1500.6579999999999</v>
      </c>
      <c r="O28" s="102">
        <v>332798.27</v>
      </c>
      <c r="P28" s="109">
        <v>-5126.8899999999558</v>
      </c>
      <c r="Q28" s="49">
        <v>-1.52E-2</v>
      </c>
      <c r="R28" s="68">
        <v>1.1132939107576581E-2</v>
      </c>
      <c r="S28" s="20" t="s">
        <v>162</v>
      </c>
    </row>
    <row r="29" spans="1:19" x14ac:dyDescent="0.25">
      <c r="A29" s="66" t="s">
        <v>82</v>
      </c>
      <c r="B29" s="117" t="s">
        <v>121</v>
      </c>
      <c r="C29" s="44" t="s">
        <v>150</v>
      </c>
      <c r="D29" s="44" t="s">
        <v>94</v>
      </c>
      <c r="E29" s="44">
        <v>41</v>
      </c>
      <c r="F29" s="20">
        <v>0</v>
      </c>
      <c r="G29" s="20">
        <v>0</v>
      </c>
      <c r="H29" s="20">
        <v>0</v>
      </c>
      <c r="I29" s="34">
        <v>850</v>
      </c>
      <c r="J29" s="88">
        <v>232.99238</v>
      </c>
      <c r="K29" s="52">
        <v>198043.51999999999</v>
      </c>
      <c r="L29" s="88">
        <v>233.235624</v>
      </c>
      <c r="M29" s="52">
        <v>198250.28</v>
      </c>
      <c r="N29" s="89">
        <v>769.09</v>
      </c>
      <c r="O29" s="102">
        <v>653044.01</v>
      </c>
      <c r="P29" s="110">
        <v>454793.73</v>
      </c>
      <c r="Q29" s="50">
        <v>2.294</v>
      </c>
      <c r="R29" s="68">
        <v>2.1845964517476703E-2</v>
      </c>
      <c r="S29" s="20" t="s">
        <v>161</v>
      </c>
    </row>
    <row r="30" spans="1:19" x14ac:dyDescent="0.25">
      <c r="A30" s="66" t="s">
        <v>139</v>
      </c>
      <c r="B30" s="117" t="s">
        <v>85</v>
      </c>
      <c r="C30" s="44" t="s">
        <v>144</v>
      </c>
      <c r="D30" s="44" t="s">
        <v>94</v>
      </c>
      <c r="E30" s="44">
        <v>0</v>
      </c>
      <c r="F30" s="20">
        <v>0</v>
      </c>
      <c r="G30" s="20">
        <v>0</v>
      </c>
      <c r="H30" s="20">
        <v>0</v>
      </c>
      <c r="I30" s="34">
        <v>1250</v>
      </c>
      <c r="J30" s="88">
        <v>451.02480000000003</v>
      </c>
      <c r="K30" s="52">
        <v>563781</v>
      </c>
      <c r="L30" s="88">
        <v>451.49567000000002</v>
      </c>
      <c r="M30" s="52">
        <v>564369.59</v>
      </c>
      <c r="N30" s="89">
        <v>457.81212499999998</v>
      </c>
      <c r="O30" s="102">
        <v>571667.71</v>
      </c>
      <c r="P30" s="110">
        <v>7298.1199999999953</v>
      </c>
      <c r="Q30" s="50">
        <v>1.29E-2</v>
      </c>
      <c r="R30" s="68">
        <v>1.9123722623911918E-2</v>
      </c>
      <c r="S30" s="20" t="s">
        <v>162</v>
      </c>
    </row>
    <row r="31" spans="1:19" x14ac:dyDescent="0.25">
      <c r="A31" s="66" t="s">
        <v>139</v>
      </c>
      <c r="B31" s="117" t="s">
        <v>121</v>
      </c>
      <c r="C31" s="44" t="s">
        <v>144</v>
      </c>
      <c r="D31" s="44" t="s">
        <v>94</v>
      </c>
      <c r="E31" s="44">
        <v>0</v>
      </c>
      <c r="F31" s="20">
        <v>0</v>
      </c>
      <c r="G31" s="20">
        <v>0</v>
      </c>
      <c r="H31" s="20">
        <v>0</v>
      </c>
      <c r="I31" s="34">
        <v>1250</v>
      </c>
      <c r="J31" s="88">
        <v>451.02480000000003</v>
      </c>
      <c r="K31" s="52">
        <v>563781</v>
      </c>
      <c r="L31" s="88">
        <v>451.49567000000002</v>
      </c>
      <c r="M31" s="52">
        <v>564369.59</v>
      </c>
      <c r="N31" s="89">
        <v>457.81212499999998</v>
      </c>
      <c r="O31" s="102">
        <v>571667.71</v>
      </c>
      <c r="P31" s="110">
        <v>7298.1199999999953</v>
      </c>
      <c r="Q31" s="50">
        <v>1.29E-2</v>
      </c>
      <c r="R31" s="68">
        <v>1.9123722623911918E-2</v>
      </c>
      <c r="S31" s="20" t="s">
        <v>162</v>
      </c>
    </row>
    <row r="32" spans="1:19" x14ac:dyDescent="0.25">
      <c r="A32" s="66" t="s">
        <v>139</v>
      </c>
      <c r="B32" s="117" t="s">
        <v>85</v>
      </c>
      <c r="C32" s="44" t="s">
        <v>149</v>
      </c>
      <c r="D32" s="44" t="s">
        <v>94</v>
      </c>
      <c r="E32" s="44">
        <v>0</v>
      </c>
      <c r="F32" s="20">
        <v>0</v>
      </c>
      <c r="G32" s="20">
        <v>0</v>
      </c>
      <c r="H32" s="20">
        <v>0</v>
      </c>
      <c r="I32" s="34">
        <v>2650</v>
      </c>
      <c r="J32" s="88">
        <v>2147.2374970000001</v>
      </c>
      <c r="K32" s="52">
        <v>5690179.3899999997</v>
      </c>
      <c r="L32" s="88">
        <v>2149.4792130000001</v>
      </c>
      <c r="M32" s="52">
        <v>5696119.9199999999</v>
      </c>
      <c r="N32" s="89">
        <v>2052.0755250000002</v>
      </c>
      <c r="O32" s="102">
        <v>5432322.8700000001</v>
      </c>
      <c r="P32" s="109">
        <v>-263797.04999999981</v>
      </c>
      <c r="Q32" s="49">
        <v>-4.6300000000000001E-2</v>
      </c>
      <c r="R32" s="68">
        <v>0.18172486210461866</v>
      </c>
      <c r="S32" s="20" t="s">
        <v>162</v>
      </c>
    </row>
    <row r="33" spans="1:19" x14ac:dyDescent="0.25">
      <c r="A33" s="66" t="s">
        <v>139</v>
      </c>
      <c r="B33" s="117" t="s">
        <v>121</v>
      </c>
      <c r="C33" s="44" t="s">
        <v>149</v>
      </c>
      <c r="D33" s="44" t="s">
        <v>94</v>
      </c>
      <c r="E33" s="44">
        <v>0</v>
      </c>
      <c r="F33" s="20">
        <v>0</v>
      </c>
      <c r="G33" s="20">
        <v>0</v>
      </c>
      <c r="H33" s="20">
        <v>0</v>
      </c>
      <c r="I33" s="34">
        <v>3265</v>
      </c>
      <c r="J33" s="88">
        <v>2147.2374970000001</v>
      </c>
      <c r="K33" s="52">
        <v>7010730.46</v>
      </c>
      <c r="L33" s="88">
        <v>2149.4792130000001</v>
      </c>
      <c r="M33" s="52">
        <v>7018049.6399999997</v>
      </c>
      <c r="N33" s="89">
        <v>2052.0755250000002</v>
      </c>
      <c r="O33" s="102">
        <v>6693031.7699999996</v>
      </c>
      <c r="P33" s="109">
        <v>-325017.87000000011</v>
      </c>
      <c r="Q33" s="49">
        <v>-4.6300000000000001E-2</v>
      </c>
      <c r="R33" s="68">
        <v>0.22389874544866323</v>
      </c>
      <c r="S33" s="20" t="s">
        <v>162</v>
      </c>
    </row>
    <row r="34" spans="1:19" x14ac:dyDescent="0.25">
      <c r="A34" s="66" t="s">
        <v>139</v>
      </c>
      <c r="B34" s="117" t="s">
        <v>85</v>
      </c>
      <c r="C34" s="44" t="s">
        <v>131</v>
      </c>
      <c r="D34" s="44" t="s">
        <v>94</v>
      </c>
      <c r="E34" s="44">
        <v>0</v>
      </c>
      <c r="F34" s="20">
        <v>0</v>
      </c>
      <c r="G34" s="20">
        <v>0</v>
      </c>
      <c r="H34" s="20">
        <v>0</v>
      </c>
      <c r="I34" s="34">
        <v>2861</v>
      </c>
      <c r="J34" s="88">
        <v>1385.182047</v>
      </c>
      <c r="K34" s="52">
        <v>3963005.86</v>
      </c>
      <c r="L34" s="88">
        <v>1386.6281779999999</v>
      </c>
      <c r="M34" s="52">
        <v>3967143.23</v>
      </c>
      <c r="N34" s="89">
        <v>1541.1460500000001</v>
      </c>
      <c r="O34" s="102">
        <v>4404615.63</v>
      </c>
      <c r="P34" s="110">
        <v>437472.39999999991</v>
      </c>
      <c r="Q34" s="50">
        <v>0.1103</v>
      </c>
      <c r="R34" s="68">
        <v>0.14734547027864675</v>
      </c>
      <c r="S34" s="20" t="s">
        <v>162</v>
      </c>
    </row>
    <row r="35" spans="1:19" x14ac:dyDescent="0.25">
      <c r="A35" s="66" t="s">
        <v>139</v>
      </c>
      <c r="B35" s="117" t="s">
        <v>121</v>
      </c>
      <c r="C35" s="44" t="s">
        <v>131</v>
      </c>
      <c r="D35" s="44" t="s">
        <v>94</v>
      </c>
      <c r="E35" s="44">
        <v>0</v>
      </c>
      <c r="F35" s="20">
        <v>0</v>
      </c>
      <c r="G35" s="20">
        <v>0</v>
      </c>
      <c r="H35" s="20">
        <v>0</v>
      </c>
      <c r="I35" s="34">
        <v>237</v>
      </c>
      <c r="J35" s="88">
        <v>1385.182047</v>
      </c>
      <c r="K35" s="52">
        <v>328288.15000000002</v>
      </c>
      <c r="L35" s="88">
        <v>1386.6281779999999</v>
      </c>
      <c r="M35" s="52">
        <v>328630.88</v>
      </c>
      <c r="N35" s="89">
        <v>1541.1460500000001</v>
      </c>
      <c r="O35" s="102">
        <v>364870.29</v>
      </c>
      <c r="P35" s="110">
        <v>36239.409999999974</v>
      </c>
      <c r="Q35" s="50">
        <v>0.1103</v>
      </c>
      <c r="R35" s="68">
        <v>1.2205828836591631E-2</v>
      </c>
      <c r="S35" s="20" t="s">
        <v>162</v>
      </c>
    </row>
    <row r="36" spans="1:19" x14ac:dyDescent="0.25">
      <c r="A36" s="66" t="s">
        <v>139</v>
      </c>
      <c r="B36" s="117" t="s">
        <v>85</v>
      </c>
      <c r="C36" s="44" t="s">
        <v>147</v>
      </c>
      <c r="D36" s="44" t="s">
        <v>94</v>
      </c>
      <c r="E36" s="44">
        <v>0</v>
      </c>
      <c r="F36" s="20">
        <v>0</v>
      </c>
      <c r="G36" s="20">
        <v>0</v>
      </c>
      <c r="H36" s="20">
        <v>0</v>
      </c>
      <c r="I36" s="34">
        <v>77</v>
      </c>
      <c r="J36" s="88">
        <v>2823</v>
      </c>
      <c r="K36" s="52">
        <v>217371</v>
      </c>
      <c r="L36" s="88">
        <v>2825.947212</v>
      </c>
      <c r="M36" s="52">
        <v>217597.94</v>
      </c>
      <c r="N36" s="89">
        <v>3264.3026</v>
      </c>
      <c r="O36" s="102">
        <v>251088.89</v>
      </c>
      <c r="P36" s="110">
        <v>33490.950000000012</v>
      </c>
      <c r="Q36" s="50">
        <v>0.15390000000000001</v>
      </c>
      <c r="R36" s="68">
        <v>8.3995548503271802E-3</v>
      </c>
      <c r="S36" s="20" t="s">
        <v>162</v>
      </c>
    </row>
    <row r="37" spans="1:19" x14ac:dyDescent="0.25">
      <c r="A37" s="66" t="s">
        <v>139</v>
      </c>
      <c r="B37" s="117" t="s">
        <v>121</v>
      </c>
      <c r="C37" s="44" t="s">
        <v>147</v>
      </c>
      <c r="D37" s="44" t="s">
        <v>94</v>
      </c>
      <c r="E37" s="44">
        <v>0</v>
      </c>
      <c r="F37" s="20">
        <v>0</v>
      </c>
      <c r="G37" s="20">
        <v>0</v>
      </c>
      <c r="H37" s="20">
        <v>0</v>
      </c>
      <c r="I37" s="34">
        <v>63</v>
      </c>
      <c r="J37" s="88">
        <v>2823</v>
      </c>
      <c r="K37" s="52">
        <v>177849</v>
      </c>
      <c r="L37" s="88">
        <v>2825.947212</v>
      </c>
      <c r="M37" s="52">
        <v>178034.67</v>
      </c>
      <c r="N37" s="89">
        <v>3264.3026</v>
      </c>
      <c r="O37" s="102">
        <v>205436.36</v>
      </c>
      <c r="P37" s="110">
        <v>27401.689999999973</v>
      </c>
      <c r="Q37" s="50">
        <v>0.15390000000000001</v>
      </c>
      <c r="R37" s="68">
        <v>6.8723629073017146E-3</v>
      </c>
      <c r="S37" s="20" t="s">
        <v>162</v>
      </c>
    </row>
    <row r="38" spans="1:19" x14ac:dyDescent="0.25">
      <c r="A38" s="66" t="s">
        <v>139</v>
      </c>
      <c r="B38" s="117" t="s">
        <v>85</v>
      </c>
      <c r="C38" s="44" t="s">
        <v>152</v>
      </c>
      <c r="D38" s="44" t="s">
        <v>94</v>
      </c>
      <c r="E38" s="44">
        <v>0</v>
      </c>
      <c r="F38" s="20">
        <v>0</v>
      </c>
      <c r="G38" s="20">
        <v>0</v>
      </c>
      <c r="H38" s="20">
        <v>0</v>
      </c>
      <c r="I38" s="34">
        <v>912</v>
      </c>
      <c r="J38" s="88">
        <v>450.28642500000001</v>
      </c>
      <c r="K38" s="52">
        <v>410661.22</v>
      </c>
      <c r="L38" s="88">
        <v>450.75652400000001</v>
      </c>
      <c r="M38" s="52">
        <v>411089.95</v>
      </c>
      <c r="N38" s="89">
        <v>442.02550000000002</v>
      </c>
      <c r="O38" s="102">
        <v>402706.39</v>
      </c>
      <c r="P38" s="109">
        <v>-8383.5599999999977</v>
      </c>
      <c r="Q38" s="49">
        <v>-2.0400000000000001E-2</v>
      </c>
      <c r="R38" s="68">
        <v>1.347154153806745E-2</v>
      </c>
      <c r="S38" s="20" t="s">
        <v>162</v>
      </c>
    </row>
    <row r="39" spans="1:19" x14ac:dyDescent="0.25">
      <c r="A39" s="66" t="s">
        <v>139</v>
      </c>
      <c r="B39" s="117" t="s">
        <v>121</v>
      </c>
      <c r="C39" s="44" t="s">
        <v>152</v>
      </c>
      <c r="D39" s="44" t="s">
        <v>94</v>
      </c>
      <c r="E39" s="44">
        <v>0</v>
      </c>
      <c r="F39" s="20">
        <v>0</v>
      </c>
      <c r="G39" s="20">
        <v>0</v>
      </c>
      <c r="H39" s="20">
        <v>0</v>
      </c>
      <c r="I39" s="34">
        <v>716</v>
      </c>
      <c r="J39" s="88">
        <v>450.28642500000001</v>
      </c>
      <c r="K39" s="52">
        <v>322405.08</v>
      </c>
      <c r="L39" s="88">
        <v>450.75652400000001</v>
      </c>
      <c r="M39" s="52">
        <v>322741.67</v>
      </c>
      <c r="N39" s="89">
        <v>442.02550000000002</v>
      </c>
      <c r="O39" s="102">
        <v>316159.84000000003</v>
      </c>
      <c r="P39" s="109">
        <v>-6581.8299999999581</v>
      </c>
      <c r="Q39" s="49">
        <v>-2.0400000000000001E-2</v>
      </c>
      <c r="R39" s="68">
        <v>1.0576341779003703E-2</v>
      </c>
      <c r="S39" s="20" t="s">
        <v>162</v>
      </c>
    </row>
    <row r="40" spans="1:19" x14ac:dyDescent="0.25">
      <c r="A40" s="66" t="s">
        <v>139</v>
      </c>
      <c r="B40" s="117" t="s">
        <v>85</v>
      </c>
      <c r="C40" s="44" t="s">
        <v>145</v>
      </c>
      <c r="D40" s="44" t="s">
        <v>94</v>
      </c>
      <c r="E40" s="44">
        <v>0</v>
      </c>
      <c r="F40" s="20">
        <v>0</v>
      </c>
      <c r="G40" s="20">
        <v>0</v>
      </c>
      <c r="H40" s="20">
        <v>0</v>
      </c>
      <c r="I40" s="34">
        <v>550</v>
      </c>
      <c r="J40" s="88">
        <v>284.87090899999998</v>
      </c>
      <c r="K40" s="52">
        <v>156679</v>
      </c>
      <c r="L40" s="88">
        <v>285.16831400000001</v>
      </c>
      <c r="M40" s="52">
        <v>156842.57</v>
      </c>
      <c r="N40" s="89">
        <v>459.669375</v>
      </c>
      <c r="O40" s="102">
        <v>252554.22</v>
      </c>
      <c r="P40" s="110">
        <v>95711.65</v>
      </c>
      <c r="Q40" s="50">
        <v>0.61019999999999996</v>
      </c>
      <c r="R40" s="68">
        <v>8.4485738240811757E-3</v>
      </c>
      <c r="S40" s="20" t="s">
        <v>162</v>
      </c>
    </row>
    <row r="41" spans="1:19" x14ac:dyDescent="0.25">
      <c r="A41" s="66" t="s">
        <v>139</v>
      </c>
      <c r="B41" s="117" t="s">
        <v>121</v>
      </c>
      <c r="C41" s="44" t="s">
        <v>145</v>
      </c>
      <c r="D41" s="44" t="s">
        <v>94</v>
      </c>
      <c r="E41" s="44">
        <v>0</v>
      </c>
      <c r="F41" s="20">
        <v>0</v>
      </c>
      <c r="G41" s="20">
        <v>0</v>
      </c>
      <c r="H41" s="20">
        <v>0</v>
      </c>
      <c r="I41" s="34">
        <v>550</v>
      </c>
      <c r="J41" s="88">
        <v>284.87090899999998</v>
      </c>
      <c r="K41" s="52">
        <v>156679</v>
      </c>
      <c r="L41" s="88">
        <v>285.16831400000001</v>
      </c>
      <c r="M41" s="52">
        <v>156842.57</v>
      </c>
      <c r="N41" s="89">
        <v>459.669375</v>
      </c>
      <c r="O41" s="102">
        <v>252554.22</v>
      </c>
      <c r="P41" s="110">
        <v>95711.65</v>
      </c>
      <c r="Q41" s="50">
        <v>0.61019999999999996</v>
      </c>
      <c r="R41" s="68">
        <v>8.4485738240811757E-3</v>
      </c>
      <c r="S41" s="20" t="s">
        <v>162</v>
      </c>
    </row>
    <row r="42" spans="1:19" x14ac:dyDescent="0.25">
      <c r="A42" s="66" t="s">
        <v>139</v>
      </c>
      <c r="B42" s="117" t="s">
        <v>85</v>
      </c>
      <c r="C42" s="44" t="s">
        <v>155</v>
      </c>
      <c r="D42" s="44" t="s">
        <v>94</v>
      </c>
      <c r="E42" s="44">
        <v>0</v>
      </c>
      <c r="F42" s="20">
        <v>0</v>
      </c>
      <c r="G42" s="20">
        <v>0</v>
      </c>
      <c r="H42" s="20">
        <v>0</v>
      </c>
      <c r="I42" s="34">
        <v>70</v>
      </c>
      <c r="J42" s="88">
        <v>6249.7647049999996</v>
      </c>
      <c r="K42" s="52">
        <v>437483.53</v>
      </c>
      <c r="L42" s="88">
        <v>6256.28946</v>
      </c>
      <c r="M42" s="52">
        <v>437940.26</v>
      </c>
      <c r="N42" s="89">
        <v>6343.6230999999998</v>
      </c>
      <c r="O42" s="102">
        <v>443590.02</v>
      </c>
      <c r="P42" s="110">
        <v>5649.7600000000093</v>
      </c>
      <c r="Q42" s="50">
        <v>1.29E-2</v>
      </c>
      <c r="R42" s="68">
        <v>1.4839201782475244E-2</v>
      </c>
      <c r="S42" s="20" t="s">
        <v>162</v>
      </c>
    </row>
    <row r="43" spans="1:19" x14ac:dyDescent="0.25">
      <c r="A43" s="66" t="s">
        <v>139</v>
      </c>
      <c r="B43" s="117" t="s">
        <v>121</v>
      </c>
      <c r="C43" s="44" t="s">
        <v>155</v>
      </c>
      <c r="D43" s="44" t="s">
        <v>94</v>
      </c>
      <c r="E43" s="44">
        <v>0</v>
      </c>
      <c r="F43" s="20">
        <v>0</v>
      </c>
      <c r="G43" s="20">
        <v>0</v>
      </c>
      <c r="H43" s="20">
        <v>0</v>
      </c>
      <c r="I43" s="34">
        <v>15</v>
      </c>
      <c r="J43" s="88">
        <v>6249.7647049999996</v>
      </c>
      <c r="K43" s="52">
        <v>93746.47</v>
      </c>
      <c r="L43" s="88">
        <v>6256.28946</v>
      </c>
      <c r="M43" s="52">
        <v>93844.34</v>
      </c>
      <c r="N43" s="89">
        <v>6343.6230999999998</v>
      </c>
      <c r="O43" s="102">
        <v>95055</v>
      </c>
      <c r="P43" s="110">
        <v>1210.6600000000035</v>
      </c>
      <c r="Q43" s="50">
        <v>1.29E-2</v>
      </c>
      <c r="R43" s="68">
        <v>3.1798288100196308E-3</v>
      </c>
      <c r="S43" s="20" t="s">
        <v>162</v>
      </c>
    </row>
    <row r="44" spans="1:19" x14ac:dyDescent="0.25">
      <c r="A44" s="66" t="s">
        <v>82</v>
      </c>
      <c r="B44" s="117" t="s">
        <v>121</v>
      </c>
      <c r="C44" s="44" t="s">
        <v>115</v>
      </c>
      <c r="D44" s="44" t="s">
        <v>94</v>
      </c>
      <c r="E44" s="44">
        <v>0</v>
      </c>
      <c r="F44" s="20">
        <v>0</v>
      </c>
      <c r="G44" s="20">
        <v>0</v>
      </c>
      <c r="H44" s="20">
        <v>0</v>
      </c>
      <c r="I44" s="34">
        <v>11800</v>
      </c>
      <c r="J44" s="88">
        <v>52.596811000000002</v>
      </c>
      <c r="K44" s="52">
        <v>620642.37</v>
      </c>
      <c r="L44" s="88">
        <v>52.651722999999997</v>
      </c>
      <c r="M44" s="52">
        <v>621290.32999999996</v>
      </c>
      <c r="N44" s="89">
        <v>56.4</v>
      </c>
      <c r="O44" s="102">
        <v>664825.18999999994</v>
      </c>
      <c r="P44" s="110">
        <v>43534.859999999986</v>
      </c>
      <c r="Q44" s="50">
        <v>7.0099999999999996E-2</v>
      </c>
      <c r="R44" s="68">
        <v>2.224007461773473E-2</v>
      </c>
      <c r="S44" s="20" t="s">
        <v>161</v>
      </c>
    </row>
    <row r="45" spans="1:19" x14ac:dyDescent="0.25">
      <c r="A45" s="66" t="s">
        <v>82</v>
      </c>
      <c r="B45" s="117" t="s">
        <v>85</v>
      </c>
      <c r="C45" s="44" t="s">
        <v>115</v>
      </c>
      <c r="D45" s="44" t="s">
        <v>94</v>
      </c>
      <c r="E45" s="44">
        <v>0</v>
      </c>
      <c r="F45" s="20">
        <v>0</v>
      </c>
      <c r="G45" s="20">
        <v>0</v>
      </c>
      <c r="H45" s="20">
        <v>0</v>
      </c>
      <c r="I45" s="34">
        <v>8000</v>
      </c>
      <c r="J45" s="88">
        <v>52.596811000000002</v>
      </c>
      <c r="K45" s="52">
        <v>420774.49</v>
      </c>
      <c r="L45" s="88">
        <v>52.651722999999997</v>
      </c>
      <c r="M45" s="52">
        <v>421213.78</v>
      </c>
      <c r="N45" s="89">
        <v>56.4</v>
      </c>
      <c r="O45" s="102">
        <v>450728.95</v>
      </c>
      <c r="P45" s="110">
        <v>29515.169999999984</v>
      </c>
      <c r="Q45" s="50">
        <v>7.0099999999999996E-2</v>
      </c>
      <c r="R45" s="68">
        <v>1.507801694513595E-2</v>
      </c>
      <c r="S45" s="20" t="s">
        <v>161</v>
      </c>
    </row>
    <row r="46" spans="1:19" x14ac:dyDescent="0.25">
      <c r="A46" s="98"/>
      <c r="B46" s="121"/>
      <c r="C46" s="24" t="s">
        <v>116</v>
      </c>
      <c r="D46" s="24" t="s">
        <v>50</v>
      </c>
      <c r="E46" s="24"/>
      <c r="F46" s="25"/>
      <c r="G46" s="25"/>
      <c r="H46" s="25"/>
      <c r="I46" s="25"/>
      <c r="J46" s="24"/>
      <c r="K46" s="39">
        <v>27205578.68</v>
      </c>
      <c r="L46" s="24"/>
      <c r="M46" s="39">
        <v>27233981.309999999</v>
      </c>
      <c r="N46" s="24"/>
      <c r="O46" s="39">
        <v>27642610.75</v>
      </c>
      <c r="P46" s="90">
        <v>408629.45</v>
      </c>
      <c r="Q46" s="91">
        <v>1.4999999999999999E-2</v>
      </c>
      <c r="R46" s="99">
        <v>0.92471484979231344</v>
      </c>
      <c r="S46" s="74"/>
    </row>
    <row r="47" spans="1:19" x14ac:dyDescent="0.25">
      <c r="A47" s="100"/>
      <c r="B47" s="122"/>
      <c r="C47" s="21"/>
      <c r="D47" s="21"/>
      <c r="E47" s="21"/>
      <c r="F47" s="22"/>
      <c r="G47" s="22"/>
      <c r="H47" s="22"/>
      <c r="I47" s="22"/>
      <c r="J47" s="21"/>
      <c r="K47" s="21"/>
      <c r="L47" s="21"/>
      <c r="M47" s="21"/>
      <c r="N47" s="21"/>
      <c r="O47" s="21"/>
      <c r="P47" s="23"/>
      <c r="Q47" s="23"/>
      <c r="R47" s="101"/>
      <c r="S47" s="72"/>
    </row>
    <row r="48" spans="1:19" x14ac:dyDescent="0.25">
      <c r="A48" s="66" t="s">
        <v>63</v>
      </c>
      <c r="B48" s="117" t="s">
        <v>85</v>
      </c>
      <c r="C48" s="44" t="s">
        <v>140</v>
      </c>
      <c r="D48" s="44">
        <v>280907</v>
      </c>
      <c r="E48" s="44" t="s">
        <v>21</v>
      </c>
      <c r="F48" s="20">
        <v>3</v>
      </c>
      <c r="G48" s="20">
        <v>6.95</v>
      </c>
      <c r="H48" s="20">
        <v>3</v>
      </c>
      <c r="I48" s="34">
        <v>11853</v>
      </c>
      <c r="J48" s="88">
        <v>100.726955</v>
      </c>
      <c r="K48" s="52">
        <v>1193916.6100000001</v>
      </c>
      <c r="L48" s="88">
        <v>100.726956</v>
      </c>
      <c r="M48" s="52">
        <v>1193916.6100000001</v>
      </c>
      <c r="N48" s="89">
        <v>100.726956</v>
      </c>
      <c r="O48" s="102">
        <v>1193916.6100000001</v>
      </c>
      <c r="P48" s="109">
        <v>0</v>
      </c>
      <c r="Q48" s="35"/>
      <c r="R48" s="68">
        <v>3.9939513263257821E-2</v>
      </c>
      <c r="S48" s="20"/>
    </row>
    <row r="49" spans="1:19" x14ac:dyDescent="0.25">
      <c r="A49" s="66" t="s">
        <v>63</v>
      </c>
      <c r="B49" s="117" t="s">
        <v>86</v>
      </c>
      <c r="C49" s="44" t="s">
        <v>140</v>
      </c>
      <c r="D49" s="44">
        <v>280907</v>
      </c>
      <c r="E49" s="44" t="s">
        <v>21</v>
      </c>
      <c r="F49" s="20">
        <v>3</v>
      </c>
      <c r="G49" s="20">
        <v>6.95</v>
      </c>
      <c r="H49" s="20">
        <v>3</v>
      </c>
      <c r="I49" s="34">
        <v>607</v>
      </c>
      <c r="J49" s="88">
        <v>100.726955</v>
      </c>
      <c r="K49" s="52">
        <v>61141.26</v>
      </c>
      <c r="L49" s="88">
        <v>100.726956</v>
      </c>
      <c r="M49" s="52">
        <v>61141.26</v>
      </c>
      <c r="N49" s="89">
        <v>100.726956</v>
      </c>
      <c r="O49" s="102">
        <v>61141.26</v>
      </c>
      <c r="P49" s="109">
        <v>0</v>
      </c>
      <c r="Q49" s="35"/>
      <c r="R49" s="68">
        <v>2.0453289151428212E-3</v>
      </c>
      <c r="S49" s="20"/>
    </row>
    <row r="50" spans="1:19" x14ac:dyDescent="0.25">
      <c r="A50" s="66" t="s">
        <v>63</v>
      </c>
      <c r="B50" s="117" t="s">
        <v>121</v>
      </c>
      <c r="C50" s="44" t="s">
        <v>140</v>
      </c>
      <c r="D50" s="44">
        <v>280907</v>
      </c>
      <c r="E50" s="44" t="s">
        <v>21</v>
      </c>
      <c r="F50" s="20">
        <v>3</v>
      </c>
      <c r="G50" s="20">
        <v>6.95</v>
      </c>
      <c r="H50" s="20">
        <v>3</v>
      </c>
      <c r="I50" s="34">
        <v>9882</v>
      </c>
      <c r="J50" s="88">
        <v>100.726955</v>
      </c>
      <c r="K50" s="52">
        <v>995383.78</v>
      </c>
      <c r="L50" s="88">
        <v>100.726956</v>
      </c>
      <c r="M50" s="52">
        <v>995383.78</v>
      </c>
      <c r="N50" s="89">
        <v>100.726956</v>
      </c>
      <c r="O50" s="102">
        <v>995383.78</v>
      </c>
      <c r="P50" s="109">
        <v>0</v>
      </c>
      <c r="Q50" s="35"/>
      <c r="R50" s="68">
        <v>3.3298090796593995E-2</v>
      </c>
      <c r="S50" s="20"/>
    </row>
    <row r="51" spans="1:19" x14ac:dyDescent="0.25">
      <c r="A51" s="98"/>
      <c r="B51" s="121"/>
      <c r="C51" s="24" t="s">
        <v>49</v>
      </c>
      <c r="D51" s="24" t="s">
        <v>50</v>
      </c>
      <c r="E51" s="24"/>
      <c r="F51" s="25"/>
      <c r="G51" s="25"/>
      <c r="H51" s="25"/>
      <c r="I51" s="25"/>
      <c r="J51" s="24"/>
      <c r="K51" s="39">
        <v>2250441.65</v>
      </c>
      <c r="L51" s="24"/>
      <c r="M51" s="39">
        <v>2250441.65</v>
      </c>
      <c r="N51" s="24"/>
      <c r="O51" s="39">
        <v>2250441.65</v>
      </c>
      <c r="P51" s="75">
        <v>0</v>
      </c>
      <c r="Q51" s="26"/>
      <c r="R51" s="99">
        <v>7.5283000000000003E-2</v>
      </c>
      <c r="S51" s="74"/>
    </row>
    <row r="52" spans="1:19" x14ac:dyDescent="0.25">
      <c r="A52" s="104"/>
      <c r="B52" s="105"/>
      <c r="C52" s="105"/>
      <c r="D52" s="105"/>
      <c r="E52" s="105"/>
      <c r="F52" s="106"/>
      <c r="G52" s="106"/>
      <c r="H52" s="106"/>
      <c r="I52" s="106"/>
      <c r="J52" s="105"/>
      <c r="K52" s="105"/>
      <c r="L52" s="105"/>
      <c r="M52" s="105"/>
      <c r="N52" s="105"/>
      <c r="O52" s="105"/>
      <c r="P52" s="107"/>
      <c r="Q52" s="107"/>
      <c r="R52" s="108"/>
    </row>
    <row r="53" spans="1:19" x14ac:dyDescent="0.25">
      <c r="A53" s="21"/>
      <c r="B53" s="21" t="s">
        <v>85</v>
      </c>
      <c r="C53" s="21" t="s">
        <v>51</v>
      </c>
      <c r="D53" s="21" t="s">
        <v>50</v>
      </c>
      <c r="E53" s="21"/>
      <c r="F53" s="22"/>
      <c r="G53" s="22"/>
      <c r="H53" s="22"/>
      <c r="I53" s="22"/>
      <c r="J53" s="21"/>
      <c r="K53" s="21"/>
      <c r="L53" s="21"/>
      <c r="M53" s="21"/>
      <c r="N53" s="21"/>
      <c r="O53" s="40">
        <v>13.26</v>
      </c>
      <c r="P53" s="23"/>
      <c r="Q53" s="23"/>
      <c r="R53" s="22"/>
    </row>
    <row r="54" spans="1:19" x14ac:dyDescent="0.25">
      <c r="A54" s="21"/>
      <c r="B54" s="21" t="s">
        <v>86</v>
      </c>
      <c r="C54" s="21" t="s">
        <v>51</v>
      </c>
      <c r="D54" s="21" t="s">
        <v>50</v>
      </c>
      <c r="E54" s="21"/>
      <c r="F54" s="22"/>
      <c r="G54" s="22"/>
      <c r="H54" s="22"/>
      <c r="I54" s="22"/>
      <c r="J54" s="21"/>
      <c r="K54" s="21"/>
      <c r="L54" s="21"/>
      <c r="M54" s="21"/>
      <c r="N54" s="21"/>
      <c r="O54" s="40">
        <v>26.56</v>
      </c>
      <c r="P54" s="23"/>
      <c r="Q54" s="23"/>
      <c r="R54" s="22"/>
    </row>
    <row r="55" spans="1:19" x14ac:dyDescent="0.25">
      <c r="A55" s="21"/>
      <c r="B55" s="21" t="s">
        <v>121</v>
      </c>
      <c r="C55" s="21" t="s">
        <v>51</v>
      </c>
      <c r="D55" s="21" t="s">
        <v>50</v>
      </c>
      <c r="E55" s="21"/>
      <c r="F55" s="22"/>
      <c r="G55" s="22"/>
      <c r="H55" s="22"/>
      <c r="I55" s="22"/>
      <c r="J55" s="21"/>
      <c r="K55" s="21"/>
      <c r="L55" s="21"/>
      <c r="M55" s="21"/>
      <c r="N55" s="21"/>
      <c r="O55" s="40">
        <v>26.44</v>
      </c>
      <c r="P55" s="23"/>
      <c r="Q55" s="23"/>
      <c r="R55" s="22"/>
    </row>
    <row r="57" spans="1:19" x14ac:dyDescent="0.25">
      <c r="A57" s="24"/>
      <c r="B57" s="24"/>
      <c r="C57" s="24" t="s">
        <v>52</v>
      </c>
      <c r="D57" s="24" t="s">
        <v>50</v>
      </c>
      <c r="E57" s="24"/>
      <c r="F57" s="25"/>
      <c r="G57" s="25"/>
      <c r="H57" s="25"/>
      <c r="I57" s="25"/>
      <c r="J57" s="24"/>
      <c r="K57" s="24"/>
      <c r="L57" s="24"/>
      <c r="M57" s="24"/>
      <c r="N57" s="24"/>
      <c r="O57" s="39">
        <v>0</v>
      </c>
      <c r="P57" s="26"/>
      <c r="Q57" s="26"/>
      <c r="R57" s="25"/>
    </row>
    <row r="59" spans="1:19" x14ac:dyDescent="0.25">
      <c r="A59" s="27"/>
      <c r="B59" s="27"/>
      <c r="C59" s="27" t="s">
        <v>53</v>
      </c>
      <c r="D59" s="27"/>
      <c r="E59" s="27"/>
      <c r="F59" s="28"/>
      <c r="G59" s="28"/>
      <c r="H59" s="28"/>
      <c r="I59" s="28"/>
      <c r="J59" s="27"/>
      <c r="K59" s="27"/>
      <c r="L59" s="27"/>
      <c r="M59" s="27"/>
      <c r="N59" s="27"/>
      <c r="O59" s="41">
        <v>29893118.68</v>
      </c>
      <c r="P59" s="29"/>
      <c r="Q59" s="29"/>
      <c r="R59" s="28"/>
    </row>
    <row r="61" spans="1:19" x14ac:dyDescent="0.25">
      <c r="A61" s="21"/>
      <c r="B61" s="21"/>
      <c r="C61" s="21" t="s">
        <v>26</v>
      </c>
      <c r="D61" s="21"/>
      <c r="E61" s="21"/>
      <c r="F61" s="22"/>
      <c r="G61" s="22"/>
      <c r="H61" s="22"/>
      <c r="I61" s="22"/>
      <c r="J61" s="21"/>
      <c r="K61" s="21"/>
      <c r="L61" s="21"/>
      <c r="M61" s="21"/>
      <c r="N61" s="21"/>
      <c r="O61" s="40">
        <v>66.27</v>
      </c>
      <c r="P61" s="23"/>
      <c r="Q61" s="23"/>
      <c r="R61" s="22"/>
    </row>
    <row r="62" spans="1:19" x14ac:dyDescent="0.25">
      <c r="A62" s="21"/>
      <c r="B62" s="21"/>
      <c r="C62" s="21" t="s">
        <v>54</v>
      </c>
      <c r="D62" s="21"/>
      <c r="E62" s="21"/>
      <c r="F62" s="22"/>
      <c r="G62" s="22"/>
      <c r="H62" s="22"/>
      <c r="I62" s="22"/>
      <c r="J62" s="21"/>
      <c r="K62" s="21"/>
      <c r="L62" s="21"/>
      <c r="M62" s="21"/>
      <c r="N62" s="21"/>
      <c r="O62" s="40">
        <v>2250507.92</v>
      </c>
      <c r="P62" s="23"/>
      <c r="Q62" s="23"/>
      <c r="R62" s="22"/>
    </row>
    <row r="63" spans="1:19" x14ac:dyDescent="0.25">
      <c r="A63" s="21"/>
      <c r="B63" s="21"/>
      <c r="C63" s="21" t="s">
        <v>55</v>
      </c>
      <c r="D63" s="21"/>
      <c r="E63" s="21"/>
      <c r="F63" s="22"/>
      <c r="G63" s="22"/>
      <c r="H63" s="22"/>
      <c r="I63" s="22"/>
      <c r="J63" s="21"/>
      <c r="K63" s="21"/>
      <c r="L63" s="21"/>
      <c r="M63" s="21"/>
      <c r="N63" s="21"/>
      <c r="O63" s="40">
        <v>0</v>
      </c>
      <c r="P63" s="23"/>
      <c r="Q63" s="23"/>
      <c r="R63" s="22"/>
    </row>
  </sheetData>
  <pageMargins left="0.25" right="0.25" top="0.75" bottom="0.75" header="0.29999999999861121" footer="0.29999999999861121"/>
  <pageSetup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7473" r:id="rId4" name="Button 1">
              <controlPr defaultSize="0" print="0" autoFill="0" autoPict="0" macro="[0]!ActualizarPosicion">
                <anchor moveWithCells="1" sizeWithCells="1">
                  <from>
                    <xdr:col>18</xdr:col>
                    <xdr:colOff>638175</xdr:colOff>
                    <xdr:row>0</xdr:row>
                    <xdr:rowOff>123825</xdr:rowOff>
                  </from>
                  <to>
                    <xdr:col>20</xdr:col>
                    <xdr:colOff>381000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474" r:id="rId5" name="Button 2">
              <controlPr defaultSize="0" print="0" autoFill="0" autoPict="0" macro="[0]!PDF">
                <anchor moveWithCells="1" sizeWithCells="1">
                  <from>
                    <xdr:col>18</xdr:col>
                    <xdr:colOff>638175</xdr:colOff>
                    <xdr:row>1</xdr:row>
                    <xdr:rowOff>38100</xdr:rowOff>
                  </from>
                  <to>
                    <xdr:col>20</xdr:col>
                    <xdr:colOff>381000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475" r:id="rId6" name="Button 3">
              <controlPr defaultSize="0" print="0" autoFill="0" autoPict="0" macro="[0]!ActualizarEstrategia">
                <anchor moveWithCells="1" sizeWithCells="1">
                  <from>
                    <xdr:col>18</xdr:col>
                    <xdr:colOff>638175</xdr:colOff>
                    <xdr:row>3</xdr:row>
                    <xdr:rowOff>171450</xdr:rowOff>
                  </from>
                  <to>
                    <xdr:col>20</xdr:col>
                    <xdr:colOff>381000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29"/>
  <sheetViews>
    <sheetView workbookViewId="0">
      <selection activeCell="E20" sqref="E20"/>
    </sheetView>
  </sheetViews>
  <sheetFormatPr baseColWidth="10" defaultRowHeight="15" x14ac:dyDescent="0.25"/>
  <sheetData>
    <row r="1" spans="1:3" x14ac:dyDescent="0.25">
      <c r="A1" s="19" t="s">
        <v>126</v>
      </c>
      <c r="B1" s="19" t="s">
        <v>129</v>
      </c>
      <c r="C1" s="19" t="s">
        <v>127</v>
      </c>
    </row>
    <row r="2" spans="1:3" x14ac:dyDescent="0.25">
      <c r="A2" s="44" t="s">
        <v>93</v>
      </c>
      <c r="B2" s="44" t="s">
        <v>94</v>
      </c>
      <c r="C2" s="44" t="s">
        <v>128</v>
      </c>
    </row>
    <row r="3" spans="1:3" x14ac:dyDescent="0.25">
      <c r="A3" s="44" t="s">
        <v>92</v>
      </c>
      <c r="B3" s="44" t="s">
        <v>97</v>
      </c>
      <c r="C3" s="44" t="s">
        <v>128</v>
      </c>
    </row>
    <row r="4" spans="1:3" x14ac:dyDescent="0.25">
      <c r="A4" s="44" t="s">
        <v>95</v>
      </c>
      <c r="B4" s="44" t="s">
        <v>94</v>
      </c>
      <c r="C4" s="44" t="s">
        <v>128</v>
      </c>
    </row>
    <row r="5" spans="1:3" x14ac:dyDescent="0.25">
      <c r="A5" s="44" t="s">
        <v>96</v>
      </c>
      <c r="B5" s="44" t="s">
        <v>97</v>
      </c>
      <c r="C5" s="44" t="s">
        <v>128</v>
      </c>
    </row>
    <row r="6" spans="1:3" x14ac:dyDescent="0.25">
      <c r="A6" s="44" t="s">
        <v>98</v>
      </c>
      <c r="B6" s="44" t="s">
        <v>89</v>
      </c>
      <c r="C6" s="44" t="s">
        <v>128</v>
      </c>
    </row>
    <row r="7" spans="1:3" x14ac:dyDescent="0.25">
      <c r="A7" s="44" t="s">
        <v>99</v>
      </c>
      <c r="B7" s="44" t="s">
        <v>100</v>
      </c>
      <c r="C7" s="44" t="s">
        <v>128</v>
      </c>
    </row>
    <row r="8" spans="1:3" x14ac:dyDescent="0.25">
      <c r="A8" s="44" t="s">
        <v>101</v>
      </c>
      <c r="B8" s="44" t="s">
        <v>102</v>
      </c>
      <c r="C8" s="44" t="s">
        <v>128</v>
      </c>
    </row>
    <row r="9" spans="1:3" x14ac:dyDescent="0.25">
      <c r="A9" s="44" t="s">
        <v>103</v>
      </c>
      <c r="B9" s="44" t="s">
        <v>104</v>
      </c>
      <c r="C9" s="44" t="s">
        <v>128</v>
      </c>
    </row>
    <row r="10" spans="1:3" x14ac:dyDescent="0.25">
      <c r="A10" s="44" t="s">
        <v>105</v>
      </c>
      <c r="B10" s="44" t="s">
        <v>97</v>
      </c>
      <c r="C10" s="44" t="s">
        <v>128</v>
      </c>
    </row>
    <row r="11" spans="1:3" x14ac:dyDescent="0.25">
      <c r="A11" s="44" t="s">
        <v>106</v>
      </c>
      <c r="B11" s="44" t="s">
        <v>97</v>
      </c>
      <c r="C11" s="44" t="s">
        <v>128</v>
      </c>
    </row>
    <row r="12" spans="1:3" x14ac:dyDescent="0.25">
      <c r="A12" s="44" t="s">
        <v>107</v>
      </c>
      <c r="B12" s="44" t="s">
        <v>108</v>
      </c>
      <c r="C12" s="44" t="s">
        <v>128</v>
      </c>
    </row>
    <row r="13" spans="1:3" x14ac:dyDescent="0.25">
      <c r="A13" s="44" t="s">
        <v>119</v>
      </c>
      <c r="B13" s="44" t="s">
        <v>120</v>
      </c>
      <c r="C13" s="44" t="s">
        <v>128</v>
      </c>
    </row>
    <row r="14" spans="1:3" x14ac:dyDescent="0.25">
      <c r="A14" s="44" t="s">
        <v>109</v>
      </c>
      <c r="B14" s="44" t="s">
        <v>100</v>
      </c>
      <c r="C14" s="44" t="s">
        <v>128</v>
      </c>
    </row>
    <row r="15" spans="1:3" x14ac:dyDescent="0.25">
      <c r="A15" s="44" t="s">
        <v>90</v>
      </c>
      <c r="B15" s="44" t="s">
        <v>89</v>
      </c>
      <c r="C15" s="44" t="s">
        <v>128</v>
      </c>
    </row>
    <row r="16" spans="1:3" x14ac:dyDescent="0.25">
      <c r="A16" s="44" t="s">
        <v>110</v>
      </c>
      <c r="B16" s="44" t="s">
        <v>94</v>
      </c>
      <c r="C16" s="44" t="s">
        <v>128</v>
      </c>
    </row>
    <row r="17" spans="1:3" x14ac:dyDescent="0.25">
      <c r="A17" s="44" t="s">
        <v>63</v>
      </c>
      <c r="B17" s="44" t="s">
        <v>89</v>
      </c>
      <c r="C17" s="44" t="s">
        <v>128</v>
      </c>
    </row>
    <row r="18" spans="1:3" x14ac:dyDescent="0.25">
      <c r="A18" s="44" t="s">
        <v>111</v>
      </c>
      <c r="B18" s="44">
        <v>13</v>
      </c>
      <c r="C18" s="44" t="s">
        <v>128</v>
      </c>
    </row>
    <row r="19" spans="1:3" x14ac:dyDescent="0.25">
      <c r="A19" s="44" t="s">
        <v>112</v>
      </c>
      <c r="B19" s="44" t="s">
        <v>100</v>
      </c>
      <c r="C19" s="44" t="s">
        <v>128</v>
      </c>
    </row>
    <row r="20" spans="1:3" x14ac:dyDescent="0.25">
      <c r="A20" s="44" t="s">
        <v>113</v>
      </c>
      <c r="B20" s="44" t="s">
        <v>89</v>
      </c>
      <c r="C20" s="44" t="s">
        <v>128</v>
      </c>
    </row>
    <row r="21" spans="1:3" x14ac:dyDescent="0.25">
      <c r="A21" s="44" t="s">
        <v>114</v>
      </c>
      <c r="B21" s="44" t="s">
        <v>94</v>
      </c>
      <c r="C21" s="44" t="s">
        <v>128</v>
      </c>
    </row>
    <row r="22" spans="1:3" x14ac:dyDescent="0.25">
      <c r="A22" s="44" t="s">
        <v>115</v>
      </c>
      <c r="B22" s="44" t="s">
        <v>94</v>
      </c>
      <c r="C22" s="44" t="s">
        <v>128</v>
      </c>
    </row>
    <row r="23" spans="1:3" x14ac:dyDescent="0.25">
      <c r="A23" s="44" t="s">
        <v>133</v>
      </c>
      <c r="B23" s="44" t="s">
        <v>89</v>
      </c>
      <c r="C23" s="44" t="s">
        <v>137</v>
      </c>
    </row>
    <row r="24" spans="1:3" x14ac:dyDescent="0.25">
      <c r="A24" s="44" t="s">
        <v>134</v>
      </c>
      <c r="B24" s="44">
        <v>13</v>
      </c>
      <c r="C24" s="44" t="s">
        <v>137</v>
      </c>
    </row>
    <row r="25" spans="1:3" x14ac:dyDescent="0.25">
      <c r="A25" s="44" t="s">
        <v>135</v>
      </c>
      <c r="B25" s="44">
        <v>18</v>
      </c>
      <c r="C25" s="44" t="s">
        <v>137</v>
      </c>
    </row>
    <row r="26" spans="1:3" x14ac:dyDescent="0.25">
      <c r="A26" s="77" t="s">
        <v>136</v>
      </c>
      <c r="B26" s="77" t="s">
        <v>94</v>
      </c>
      <c r="C26" s="44" t="s">
        <v>137</v>
      </c>
    </row>
    <row r="27" spans="1:3" x14ac:dyDescent="0.25">
      <c r="A27" s="44" t="s">
        <v>141</v>
      </c>
      <c r="B27" s="44">
        <v>11</v>
      </c>
      <c r="C27" s="44" t="s">
        <v>137</v>
      </c>
    </row>
    <row r="28" spans="1:3" x14ac:dyDescent="0.25">
      <c r="A28" s="44" t="s">
        <v>131</v>
      </c>
      <c r="B28" s="77" t="s">
        <v>94</v>
      </c>
      <c r="C28" s="44" t="s">
        <v>142</v>
      </c>
    </row>
    <row r="29" spans="1:3" x14ac:dyDescent="0.25">
      <c r="A29" s="44" t="s">
        <v>146</v>
      </c>
      <c r="B29" s="77">
        <v>12</v>
      </c>
      <c r="C29" s="44" t="s">
        <v>137</v>
      </c>
    </row>
  </sheetData>
  <pageMargins left="0.7" right="0.7" top="0.75" bottom="0.75" header="0.3" footer="0.3"/>
  <pageSetup orientation="portrait" verticalDpi="597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e35fb821-df92-4cd4-98e1-e2abc4ef8ea7</TitusGUID>
  <TitusMetadata xmlns="">eyJucyI6Imh0dHA6XC9cL3d3dy50aXR1cy5jb21cL25zXC9FbGVrdHJhIiwicHJvcHMiOlt7Im4iOiJDbGFzaWZpY2FjaW9uIiwidmFscyI6W3sidmFsdWUiOiJTSU5DLUxBU0kifV19XX0=</TitusMetadata>
</titus>
</file>

<file path=customXml/itemProps1.xml><?xml version="1.0" encoding="utf-8"?>
<ds:datastoreItem xmlns:ds="http://schemas.openxmlformats.org/officeDocument/2006/customXml" ds:itemID="{03476D9E-5A45-499A-9A1E-19F136FEA7DC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Lay Out</vt:lpstr>
      <vt:lpstr>Subcuentas</vt:lpstr>
      <vt:lpstr>Hoja1</vt:lpstr>
      <vt:lpstr>Posición del mes anterior</vt:lpstr>
      <vt:lpstr>Movimientos</vt:lpstr>
      <vt:lpstr>Posición</vt:lpstr>
      <vt:lpstr>Estrategias</vt:lpstr>
      <vt:lpstr>Hoja1!Área_de_impresión</vt:lpstr>
      <vt:lpstr>Movimientos!Área_de_impresión</vt:lpstr>
      <vt:lpstr>Posición!Área_de_impresión</vt:lpstr>
      <vt:lpstr>'Posición del mes anterior'!Área_de_impresión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didiazl</dc:creator>
  <cp:lastModifiedBy>Miguel Angel Tebar Pedroza</cp:lastModifiedBy>
  <cp:lastPrinted>2024-07-04T16:53:03Z</cp:lastPrinted>
  <dcterms:created xsi:type="dcterms:W3CDTF">2022-02-25T18:22:20Z</dcterms:created>
  <dcterms:modified xsi:type="dcterms:W3CDTF">2026-01-16T19:32:34Z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ae3a633-3d5f-462b-ba19-31157bb9a57b_Enabled">
    <vt:lpwstr>true</vt:lpwstr>
  </property>
  <property fmtid="{D5CDD505-2E9C-101B-9397-08002B2CF9AE}" pid="3" name="MSIP_Label_8ae3a633-3d5f-462b-ba19-31157bb9a57b_SetDate">
    <vt:lpwstr>2023-09-18T20:42:13Z</vt:lpwstr>
  </property>
  <property fmtid="{D5CDD505-2E9C-101B-9397-08002B2CF9AE}" pid="4" name="MSIP_Label_8ae3a633-3d5f-462b-ba19-31157bb9a57b_Method">
    <vt:lpwstr>Standard</vt:lpwstr>
  </property>
  <property fmtid="{D5CDD505-2E9C-101B-9397-08002B2CF9AE}" pid="5" name="MSIP_Label_8ae3a633-3d5f-462b-ba19-31157bb9a57b_Name">
    <vt:lpwstr>Uso interno</vt:lpwstr>
  </property>
  <property fmtid="{D5CDD505-2E9C-101B-9397-08002B2CF9AE}" pid="6" name="MSIP_Label_8ae3a633-3d5f-462b-ba19-31157bb9a57b_SiteId">
    <vt:lpwstr>5448d52d-fbb8-4285-8d6f-aa67453bc50c</vt:lpwstr>
  </property>
  <property fmtid="{D5CDD505-2E9C-101B-9397-08002B2CF9AE}" pid="7" name="MSIP_Label_8ae3a633-3d5f-462b-ba19-31157bb9a57b_ActionId">
    <vt:lpwstr>56995ccf-2dd2-40d7-a7fa-8d1f15707e7b</vt:lpwstr>
  </property>
  <property fmtid="{D5CDD505-2E9C-101B-9397-08002B2CF9AE}" pid="8" name="MSIP_Label_8ae3a633-3d5f-462b-ba19-31157bb9a57b_ContentBits">
    <vt:lpwstr>0</vt:lpwstr>
  </property>
  <property fmtid="{D5CDD505-2E9C-101B-9397-08002B2CF9AE}" pid="9" name="TitusGUID">
    <vt:lpwstr>e35fb821-df92-4cd4-98e1-e2abc4ef8ea7</vt:lpwstr>
  </property>
  <property fmtid="{D5CDD505-2E9C-101B-9397-08002B2CF9AE}" pid="10" name="dlp-metadata">
    <vt:lpwstr>SINC-LASI</vt:lpwstr>
  </property>
  <property fmtid="{D5CDD505-2E9C-101B-9397-08002B2CF9AE}" pid="11" name="Clasificacion">
    <vt:lpwstr>SINC-LASI</vt:lpwstr>
  </property>
</Properties>
</file>