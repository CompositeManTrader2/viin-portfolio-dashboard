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4DEE786D-144C-454F-91E6-2C4145332BB5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73" r:id="rId4"/>
    <sheet name="Movimientos" sheetId="1675" r:id="rId5"/>
    <sheet name="Posición" sheetId="1679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Movimientos!$A$1:$R$272</definedName>
    <definedName name="_xlnm.Print_Area" localSheetId="5">Posición!$A$1:$R$62</definedName>
    <definedName name="_xlnm.Print_Area" localSheetId="3">'Posición del mes anterior'!$A$1:$R$64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1679" l="1"/>
  <c r="P44" i="1679"/>
  <c r="P43" i="1679"/>
  <c r="P42" i="1679"/>
  <c r="P41" i="1679"/>
  <c r="P40" i="1679"/>
  <c r="P39" i="1679"/>
  <c r="P38" i="1679"/>
  <c r="P37" i="1679"/>
  <c r="P36" i="1679"/>
  <c r="P35" i="1679"/>
  <c r="P34" i="1679"/>
  <c r="P33" i="1679"/>
  <c r="P32" i="1679"/>
  <c r="P31" i="1679"/>
  <c r="P30" i="1679"/>
  <c r="P29" i="1679"/>
  <c r="P28" i="1679"/>
  <c r="P27" i="1679"/>
  <c r="P26" i="1679"/>
  <c r="P25" i="1679"/>
  <c r="P24" i="1679"/>
  <c r="P23" i="1679"/>
  <c r="P22" i="1679"/>
  <c r="P21" i="1679"/>
  <c r="P20" i="1679"/>
  <c r="P19" i="1679"/>
  <c r="P18" i="1679"/>
  <c r="P17" i="1679"/>
  <c r="P16" i="1679"/>
  <c r="P15" i="1679"/>
  <c r="P14" i="1679"/>
  <c r="P13" i="1679"/>
  <c r="P12" i="1679"/>
  <c r="P11" i="1679"/>
  <c r="P10" i="1679"/>
  <c r="P9" i="1679"/>
  <c r="B15" i="4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<sst xmlns="http://schemas.openxmlformats.org/spreadsheetml/2006/main" count="2031" uniqueCount="166">
  <si>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</si>
  <si>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</si>
  <si>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</si>
  <si>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</si>
  <si>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</si>
  <si>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</si>
  <si>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</si>
  <si>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</si>
  <si>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</si>
  <si>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</si>
  <si>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</si>
  <si>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</si>
  <si>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</si>
  <si>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</si>
  <si>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</si>
  <si>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</si>
  <si>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</si>
  <si>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</si>
  <si>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</si>
  <si>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</si>
  <si>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</si>
  <si>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</si>
  <si>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</si>
  <si>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</si>
  <si>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</si>
  <si>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</si>
  <si>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</si>
  <si>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</si>
  <si>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</si>
  <si>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</si>
  <si>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</si>
  <si>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</si>
  <si>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</si>
  <si>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</si>
  <si>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</si>
  <si>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</si>
  <si>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</si>
  <si>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</si>
  <si>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</si>
  <si>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</si>
  <si>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</si>
  <si>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</si>
  <si>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</si>
  <si>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</si>
  <si>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</si>
  <si>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</si>
  <si>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</si>
  <si>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</si>
  <si>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</si>
  <si>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</si>
  <si>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</si>
  <si>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</si>
  <si>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</si>
  <si>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</si>
  <si>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</si>
  <si>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</si>
  <si>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</si>
  <si>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</si>
  <si>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</si>
  <si>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</si>
  <si>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</si>
  <si>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</si>
  <si>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</si>
  <si>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</si>
  <si>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</si>
  <si>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</si>
  <si>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</si>
  <si>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</si>
  <si>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</si>
  <si>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</si>
  <si>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</si>
  <si>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</si>
  <si>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</si>
  <si>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</si>
  <si>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</si>
  <si>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</si>
  <si>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</si>
  <si>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</si>
  <si>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</si>
  <si>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</si>
  <si>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</si>
  <si>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</si>
  <si>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</si>
  <si>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</si>
  <si>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</si>
  <si>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</si>
  <si>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</si>
  <si>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</si>
  <si>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</si>
  <si>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</si>
  <si>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</si>
  <si>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</si>
  <si>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</si>
  <si>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</si>
  <si>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</si>
  <si>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</si>
  <si>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</si>
  <si>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</si>
  <si>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</si>
  <si>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</si>
  <si>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</si>
  <si>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</si>
  <si>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</si>
  <si>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</si>
  <si>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</si>
  <si>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</si>
  <si>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</si>
  <si>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</si>
  <si>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</si>
  <si>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</si>
  <si>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</si>
  <si>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</si>
  <si>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</si>
  <si>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</si>
  <si>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</si>
  <si>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</si>
  <si>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</si>
  <si>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</si>
  <si>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</si>
  <si>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</si>
  <si>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</si>
  <si>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</si>
  <si>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</si>
  <si>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</si>
  <si>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</si>
  <si>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</si>
  <si>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</si>
  <si>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</si>
  <si>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</si>
  <si>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</si>
  <si>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</si>
  <si>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</si>
  <si>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</si>
  <si>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</si>
  <si>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</si>
  <si>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</si>
  <si>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</si>
  <si>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</si>
  <si>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</si>
  <si>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</si>
  <si>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</si>
  <si>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</si>
  <si>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</si>
  <si>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</si>
  <si>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</si>
  <si>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</si>
  <si>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</si>
  <si>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</si>
  <si>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</si>
  <si>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</si>
  <si>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</si>
  <si>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</si>
  <si>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</si>
  <si>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</si>
  <si>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</si>
  <si>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CUOTA DE ADM Y CUST E IVA</t>
  </si>
  <si>
    <t xml:space="preserve"> </t>
  </si>
  <si>
    <t>PAGO ENTRADA DISTRIBUCION EFECTIVO</t>
  </si>
  <si>
    <t>PAGO ENTRADA REEMBOLSO</t>
  </si>
  <si>
    <t>COMISION</t>
  </si>
  <si>
    <t>COMPRA CAPITALES</t>
  </si>
  <si>
    <t>HYG</t>
  </si>
  <si>
    <t>SPHY</t>
  </si>
  <si>
    <t>--</t>
  </si>
  <si>
    <t>Junio</t>
  </si>
  <si>
    <t>30/6/2025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</si>
</sst>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8" formatCode="&quot;$&quot;#,##0.000000"/>
    <numFmt numFmtId="169" formatCode="&quot;$&quot;#,##0.0000"/>
    <numFmt numFmtId="170" formatCode="&quot;$&quot;#,##0.00_);[Red]\(&quot;$&quot;#,##0.00\)"/>
    <numFmt numFmtId="176" formatCode="#,##0.0000000_ ;\-#,##0.0000000\ "/>
    <numFmt numFmtId="177" formatCode="#,##0.00000000_ ;\-#,##0.00000000\ 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0" fontId="15" fillId="5" borderId="4" xfId="0" applyFont="1" applyFill="1" applyBorder="1"/>
    <xf numFmtId="0" fontId="15" fillId="5" borderId="5" xfId="0" applyFont="1" applyFill="1" applyBorder="1"/>
    <xf numFmtId="0" fontId="15" fillId="5" borderId="5" xfId="0" applyFont="1" applyFill="1" applyBorder="1" applyAlignment="1">
      <alignment horizontal="center"/>
    </xf>
    <xf numFmtId="8" fontId="15" fillId="5" borderId="5" xfId="0" applyNumberFormat="1" applyFont="1" applyFill="1" applyBorder="1"/>
    <xf numFmtId="8" fontId="16" fillId="5" borderId="5" xfId="0" applyNumberFormat="1" applyFont="1" applyFill="1" applyBorder="1"/>
    <xf numFmtId="10" fontId="16" fillId="5" borderId="5" xfId="0" applyNumberFormat="1" applyFont="1" applyFill="1" applyBorder="1"/>
    <xf numFmtId="10" fontId="15" fillId="5" borderId="6" xfId="0" applyNumberFormat="1" applyFont="1" applyFill="1" applyBorder="1" applyAlignment="1">
      <alignment horizontal="center"/>
    </xf>
    <xf numFmtId="10" fontId="15" fillId="0" borderId="3" xfId="0" applyNumberFormat="1" applyFont="1" applyBorder="1" applyAlignment="1">
      <alignment horizontal="center"/>
    </xf>
    <xf numFmtId="170" fontId="12" fillId="0" borderId="0" xfId="0" applyNumberFormat="1" applyFont="1"/>
    <xf numFmtId="0" fontId="3" fillId="2" borderId="0" xfId="0" applyFont="1" applyFill="1" applyAlignment="1">
      <alignment horizontal="center" vertical="center" wrapText="1"/>
    </xf>
    <xf numFmtId="164" fontId="12" fillId="0" borderId="5" xfId="0" applyNumberFormat="1" applyFont="1" applyBorder="1"/>
    <xf numFmtId="0" fontId="12" fillId="0" borderId="6" xfId="0" applyFont="1" applyBorder="1"/>
    <xf numFmtId="10" fontId="12" fillId="0" borderId="0" xfId="0" applyNumberFormat="1" applyFont="1"/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176" fontId="12" fillId="0" borderId="0" xfId="0" applyNumberFormat="1" applyFont="1"/>
    <xf numFmtId="177" fontId="12" fillId="0" borderId="0" xfId="0" applyNumberFormat="1" applyFont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0" fontId="13" fillId="0" borderId="0" xfId="0" applyFont="1" applyBorder="1"/>
    <xf numFmtId="0" fontId="15" fillId="5" borderId="0" xfId="0" applyFont="1" applyFill="1" applyBorder="1"/>
    <xf numFmtId="0" fontId="15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510159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8A0E90D-CEF3-493F-8B6F-4046626D3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1</xdr:row>
          <xdr:rowOff>38100</xdr:rowOff>
        </xdr:from>
        <xdr:to>
          <xdr:col>20</xdr:col>
          <xdr:colOff>352425</xdr:colOff>
          <xdr:row>3</xdr:row>
          <xdr:rowOff>38100</xdr:rowOff>
        </xdr:to>
        <xdr:sp macro="" textlink="">
          <xdr:nvSpPr>
            <xdr:cNvPr id="1227778" name="Button 2" hidden="1">
              <a:extLst>
                <a:ext uri="{63B3BB69-23CF-44E3-9099-C40C66FF867C}">
                  <a14:compatExt spid="_x0000_s1227778"/>
                </a:ext>
                <a:ext uri="{FF2B5EF4-FFF2-40B4-BE49-F238E27FC236}">
                  <a16:creationId xmlns:a16="http://schemas.microsoft.com/office/drawing/2014/main" id="{00000000-0008-0000-0500-000002B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3</xdr:row>
          <xdr:rowOff>171450</xdr:rowOff>
        </xdr:from>
        <xdr:to>
          <xdr:col>20</xdr:col>
          <xdr:colOff>352425</xdr:colOff>
          <xdr:row>5</xdr:row>
          <xdr:rowOff>171450</xdr:rowOff>
        </xdr:to>
        <xdr:sp macro="" textlink="">
          <xdr:nvSpPr>
            <xdr:cNvPr id="1227779" name="Button 3" hidden="1">
              <a:extLst>
                <a:ext uri="{63B3BB69-23CF-44E3-9099-C40C66FF867C}">
                  <a14:compatExt spid="_x0000_s1227779"/>
                </a:ext>
                <a:ext uri="{FF2B5EF4-FFF2-40B4-BE49-F238E27FC236}">
                  <a16:creationId xmlns:a16="http://schemas.microsoft.com/office/drawing/2014/main" id="{00000000-0008-0000-0500-000003B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1</xdr:row>
          <xdr:rowOff>38100</xdr:rowOff>
        </xdr:from>
        <xdr:to>
          <xdr:col>20</xdr:col>
          <xdr:colOff>352425</xdr:colOff>
          <xdr:row>3</xdr:row>
          <xdr:rowOff>38100</xdr:rowOff>
        </xdr:to>
        <xdr:sp macro="" textlink="">
          <xdr:nvSpPr>
            <xdr:cNvPr id="1227780" name="Button 4" hidden="1">
              <a:extLst>
                <a:ext uri="{63B3BB69-23CF-44E3-9099-C40C66FF867C}">
                  <a14:compatExt spid="_x0000_s1227780"/>
                </a:ext>
                <a:ext uri="{FF2B5EF4-FFF2-40B4-BE49-F238E27FC236}">
                  <a16:creationId xmlns:a16="http://schemas.microsoft.com/office/drawing/2014/main" id="{4EEC9235-99F6-B4F5-66C8-B2E47E434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68036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A5FC40-91D5-46C7-9F21-D05C13E208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0</xdr:row>
          <xdr:rowOff>381000</xdr:rowOff>
        </xdr:from>
        <xdr:to>
          <xdr:col>19</xdr:col>
          <xdr:colOff>200025</xdr:colOff>
          <xdr:row>1</xdr:row>
          <xdr:rowOff>180975</xdr:rowOff>
        </xdr:to>
        <xdr:sp macro="" textlink="">
          <xdr:nvSpPr>
            <xdr:cNvPr id="1231873" name="Button 1" hidden="1">
              <a:extLst>
                <a:ext uri="{63B3BB69-23CF-44E3-9099-C40C66FF867C}">
                  <a14:compatExt spid="_x0000_s1231873"/>
                </a:ext>
                <a:ext uri="{FF2B5EF4-FFF2-40B4-BE49-F238E27FC236}">
                  <a16:creationId xmlns:a16="http://schemas.microsoft.com/office/drawing/2014/main" id="{D1450E93-862A-2A40-231B-5ED05B026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0</xdr:row>
          <xdr:rowOff>381000</xdr:rowOff>
        </xdr:from>
        <xdr:to>
          <xdr:col>20</xdr:col>
          <xdr:colOff>714375</xdr:colOff>
          <xdr:row>1</xdr:row>
          <xdr:rowOff>180975</xdr:rowOff>
        </xdr:to>
        <xdr:sp macro="" textlink="">
          <xdr:nvSpPr>
            <xdr:cNvPr id="1231874" name="Button 2" hidden="1">
              <a:extLst>
                <a:ext uri="{63B3BB69-23CF-44E3-9099-C40C66FF867C}">
                  <a14:compatExt spid="_x0000_s1231874"/>
                </a:ext>
                <a:ext uri="{FF2B5EF4-FFF2-40B4-BE49-F238E27FC236}">
                  <a16:creationId xmlns:a16="http://schemas.microsoft.com/office/drawing/2014/main" id="{62E6769C-8384-1517-51DB-E59299C7D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457200</xdr:colOff>
          <xdr:row>2</xdr:row>
          <xdr:rowOff>104775</xdr:rowOff>
        </xdr:from>
        <xdr:to>
          <xdr:col>19</xdr:col>
          <xdr:colOff>200025</xdr:colOff>
          <xdr:row>4</xdr:row>
          <xdr:rowOff>114300</xdr:rowOff>
        </xdr:to>
        <xdr:sp macro="" textlink="">
          <xdr:nvSpPr>
            <xdr:cNvPr id="1231875" name="Button 3" hidden="1">
              <a:extLst>
                <a:ext uri="{63B3BB69-23CF-44E3-9099-C40C66FF867C}">
                  <a14:compatExt spid="_x0000_s1231875"/>
                </a:ext>
                <a:ext uri="{FF2B5EF4-FFF2-40B4-BE49-F238E27FC236}">
                  <a16:creationId xmlns:a16="http://schemas.microsoft.com/office/drawing/2014/main" id="{F6CDEBB3-FB05-E002-47E5-C737B472C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257175</xdr:colOff>
          <xdr:row>2</xdr:row>
          <xdr:rowOff>104775</xdr:rowOff>
        </xdr:from>
        <xdr:to>
          <xdr:col>21</xdr:col>
          <xdr:colOff>304800</xdr:colOff>
          <xdr:row>4</xdr:row>
          <xdr:rowOff>114300</xdr:rowOff>
        </xdr:to>
        <xdr:sp macro="" textlink="">
          <xdr:nvSpPr>
            <xdr:cNvPr id="1231876" name="Button 4" hidden="1">
              <a:extLst>
                <a:ext uri="{63B3BB69-23CF-44E3-9099-C40C66FF867C}">
                  <a14:compatExt spid="_x0000_s1231876"/>
                </a:ext>
                <a:ext uri="{FF2B5EF4-FFF2-40B4-BE49-F238E27FC236}">
                  <a16:creationId xmlns:a16="http://schemas.microsoft.com/office/drawing/2014/main" id="{51513D6E-AA92-4DC4-B49C-A2180FD4F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472059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6554352-825F-4FA8-B519-CCE033036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0</xdr:row>
          <xdr:rowOff>123825</xdr:rowOff>
        </xdr:from>
        <xdr:to>
          <xdr:col>20</xdr:col>
          <xdr:colOff>342900</xdr:colOff>
          <xdr:row>0</xdr:row>
          <xdr:rowOff>504825</xdr:rowOff>
        </xdr:to>
        <xdr:sp macro="" textlink="">
          <xdr:nvSpPr>
            <xdr:cNvPr id="1235969" name="Button 1" hidden="1">
              <a:extLst>
                <a:ext uri="{63B3BB69-23CF-44E3-9099-C40C66FF867C}">
                  <a14:compatExt spid="_x0000_s1235969"/>
                </a:ext>
                <a:ext uri="{FF2B5EF4-FFF2-40B4-BE49-F238E27FC236}">
                  <a16:creationId xmlns:a16="http://schemas.microsoft.com/office/drawing/2014/main" id="{57537CC2-CC59-4801-7A86-C736E5ECC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</xdr:row>
          <xdr:rowOff>38100</xdr:rowOff>
        </xdr:from>
        <xdr:to>
          <xdr:col>20</xdr:col>
          <xdr:colOff>342900</xdr:colOff>
          <xdr:row>3</xdr:row>
          <xdr:rowOff>38100</xdr:rowOff>
        </xdr:to>
        <xdr:sp macro="" textlink="">
          <xdr:nvSpPr>
            <xdr:cNvPr id="1235970" name="Button 2" hidden="1">
              <a:extLst>
                <a:ext uri="{63B3BB69-23CF-44E3-9099-C40C66FF867C}">
                  <a14:compatExt spid="_x0000_s1235970"/>
                </a:ext>
                <a:ext uri="{FF2B5EF4-FFF2-40B4-BE49-F238E27FC236}">
                  <a16:creationId xmlns:a16="http://schemas.microsoft.com/office/drawing/2014/main" id="{EC4AF237-5CF6-8651-FC75-3835F9C17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3</xdr:row>
          <xdr:rowOff>171450</xdr:rowOff>
        </xdr:from>
        <xdr:to>
          <xdr:col>20</xdr:col>
          <xdr:colOff>342900</xdr:colOff>
          <xdr:row>5</xdr:row>
          <xdr:rowOff>171450</xdr:rowOff>
        </xdr:to>
        <xdr:sp macro="" textlink="">
          <xdr:nvSpPr>
            <xdr:cNvPr id="1235971" name="Button 3" hidden="1">
              <a:extLst>
                <a:ext uri="{63B3BB69-23CF-44E3-9099-C40C66FF867C}">
                  <a14:compatExt spid="_x0000_s1235971"/>
                </a:ext>
                <a:ext uri="{FF2B5EF4-FFF2-40B4-BE49-F238E27FC236}">
                  <a16:creationId xmlns:a16="http://schemas.microsoft.com/office/drawing/2014/main" id="{7AD96121-C79B-B664-5900-E2B815703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D10" sqref="D10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10" t="s">
        <v>2</v>
      </c>
      <c r="B6" s="3"/>
      <c r="E6"/>
      <c r="F6"/>
      <c r="G6"/>
      <c r="H6"/>
      <c r="I6"/>
      <c r="J6"/>
      <c r="K6"/>
    </row>
    <row r="7" spans="1:11" x14ac:dyDescent="0.25">
      <c r="A7" s="110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165</v>
      </c>
      <c r="E17" s="57">
        <v>16638474.539999999</v>
      </c>
      <c r="F17" s="43">
        <v>0</v>
      </c>
      <c r="G17" s="42">
        <v>-304922.52</v>
      </c>
      <c r="H17" s="11"/>
      <c r="I17" s="58">
        <v>0</v>
      </c>
      <c r="J17" s="58">
        <v>27439.895822959999</v>
      </c>
      <c r="K17" s="57">
        <v>16306112.119999999</v>
      </c>
    </row>
    <row r="18" spans="1:11" x14ac:dyDescent="0.25">
      <c r="A18" s="8"/>
      <c r="B18" s="9" t="s">
        <v>86</v>
      </c>
      <c r="C18" s="10"/>
      <c r="D18" s="48" t="s">
        <v>165</v>
      </c>
      <c r="E18" s="57">
        <v>59745.87</v>
      </c>
      <c r="F18" s="43">
        <v>0</v>
      </c>
      <c r="G18" s="58">
        <v>407.64</v>
      </c>
      <c r="H18" s="11"/>
      <c r="I18" s="58">
        <v>0</v>
      </c>
      <c r="J18" s="58">
        <v>96.41</v>
      </c>
      <c r="K18" s="57">
        <v>60057.1</v>
      </c>
    </row>
    <row r="19" spans="1:11" x14ac:dyDescent="0.25">
      <c r="A19" s="8"/>
      <c r="B19" s="9" t="s">
        <v>121</v>
      </c>
      <c r="C19" s="10"/>
      <c r="D19" s="48" t="s">
        <v>165</v>
      </c>
      <c r="E19" s="57">
        <v>13641379.810000001</v>
      </c>
      <c r="F19" s="43">
        <v>0</v>
      </c>
      <c r="G19" s="42">
        <v>-138065.79</v>
      </c>
      <c r="H19" s="11"/>
      <c r="I19" s="58">
        <v>0</v>
      </c>
      <c r="J19" s="42">
        <v>22398.235890560001</v>
      </c>
      <c r="K19" s="57">
        <v>13480915.779999999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255</v>
      </c>
    </row>
    <row r="9" spans="1:2" x14ac:dyDescent="0.25">
      <c r="B9">
        <v>100.241951662924</v>
      </c>
    </row>
    <row r="10" spans="1:2" x14ac:dyDescent="0.25">
      <c r="B10">
        <v>86.35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3D069-8984-49E8-ABE1-9B30EF2D166F}">
  <dimension ref="A1:S64"/>
  <sheetViews>
    <sheetView workbookViewId="0">
      <selection activeCell="I47" sqref="I47:I48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28515625" bestFit="1" customWidth="1"/>
    <col min="14" max="14" width="10.7109375" customWidth="1"/>
    <col min="15" max="15" width="11.8554687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45808</v>
      </c>
      <c r="N4" s="14" t="s">
        <v>24</v>
      </c>
      <c r="O4" s="16">
        <v>45808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/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10.76</v>
      </c>
      <c r="O9" s="109">
        <v>89569.47</v>
      </c>
      <c r="P9" s="55">
        <v>-5497.8000000000029</v>
      </c>
      <c r="Q9" s="49">
        <v>-5.7799999999999997E-2</v>
      </c>
      <c r="R9" s="68">
        <v>2.9522297386923939E-3</v>
      </c>
      <c r="S9" s="20"/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10.76</v>
      </c>
      <c r="O10" s="109">
        <v>21497.53</v>
      </c>
      <c r="P10" s="55">
        <v>-1319.5300000000025</v>
      </c>
      <c r="Q10" s="49">
        <v>-5.7799999999999997E-2</v>
      </c>
      <c r="R10" s="68">
        <v>7.0856339078965069E-4</v>
      </c>
      <c r="S10" s="20"/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75737</v>
      </c>
      <c r="J11" s="88">
        <v>3.4191780000000001</v>
      </c>
      <c r="K11" s="52">
        <v>258958.28</v>
      </c>
      <c r="L11" s="88">
        <v>3.4227479999999999</v>
      </c>
      <c r="M11" s="52">
        <v>259228.67</v>
      </c>
      <c r="N11" s="89">
        <v>3.23</v>
      </c>
      <c r="O11" s="109">
        <v>244375.12</v>
      </c>
      <c r="P11" s="55">
        <v>-14853.550000000017</v>
      </c>
      <c r="Q11" s="49">
        <v>-5.7299999999999997E-2</v>
      </c>
      <c r="R11" s="68">
        <v>8.0546585422524263E-3</v>
      </c>
      <c r="S11" s="20"/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13873</v>
      </c>
      <c r="J12" s="88">
        <v>3.4191780000000001</v>
      </c>
      <c r="K12" s="52">
        <v>47434.26</v>
      </c>
      <c r="L12" s="88">
        <v>3.4227479999999999</v>
      </c>
      <c r="M12" s="52">
        <v>47483.78</v>
      </c>
      <c r="N12" s="89">
        <v>3.23</v>
      </c>
      <c r="O12" s="109">
        <v>44763.01</v>
      </c>
      <c r="P12" s="55">
        <v>-2720.7699999999968</v>
      </c>
      <c r="Q12" s="49">
        <v>-5.7299999999999997E-2</v>
      </c>
      <c r="R12" s="68">
        <v>1.4753988084933965E-3</v>
      </c>
      <c r="S12" s="20"/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42.36</v>
      </c>
      <c r="O13" s="109">
        <v>349105.16</v>
      </c>
      <c r="P13" s="56">
        <v>55785.589999999967</v>
      </c>
      <c r="Q13" s="50">
        <v>0.19020000000000001</v>
      </c>
      <c r="R13" s="68">
        <v>1.1506584054622253E-2</v>
      </c>
      <c r="S13" s="20"/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42.36</v>
      </c>
      <c r="O14" s="109">
        <v>349105.16</v>
      </c>
      <c r="P14" s="56">
        <v>55785.589999999967</v>
      </c>
      <c r="Q14" s="50">
        <v>0.19020000000000001</v>
      </c>
      <c r="R14" s="68">
        <v>1.1506584054622253E-2</v>
      </c>
      <c r="S14" s="20"/>
    </row>
    <row r="15" spans="1:19" x14ac:dyDescent="0.25">
      <c r="A15" s="66" t="s">
        <v>82</v>
      </c>
      <c r="B15" s="44" t="s">
        <v>85</v>
      </c>
      <c r="C15" s="44" t="s">
        <v>135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28.17</v>
      </c>
      <c r="O15" s="109">
        <v>133977.35</v>
      </c>
      <c r="P15" s="56">
        <v>34580.040000000008</v>
      </c>
      <c r="Q15" s="50">
        <v>0.34789999999999999</v>
      </c>
      <c r="R15" s="68">
        <v>4.4159233830589756E-3</v>
      </c>
      <c r="S15" s="20"/>
    </row>
    <row r="16" spans="1:19" x14ac:dyDescent="0.25">
      <c r="A16" s="66" t="s">
        <v>82</v>
      </c>
      <c r="B16" s="44" t="s">
        <v>121</v>
      </c>
      <c r="C16" s="44" t="s">
        <v>135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28.17</v>
      </c>
      <c r="O16" s="109">
        <v>56281.18</v>
      </c>
      <c r="P16" s="56">
        <v>14526.379999999997</v>
      </c>
      <c r="Q16" s="50">
        <v>0.34789999999999999</v>
      </c>
      <c r="R16" s="68">
        <v>1.8550402645533079E-3</v>
      </c>
      <c r="S16" s="20"/>
    </row>
    <row r="17" spans="1:19" x14ac:dyDescent="0.25">
      <c r="A17" s="66" t="s">
        <v>82</v>
      </c>
      <c r="B17" s="44" t="s">
        <v>85</v>
      </c>
      <c r="C17" s="44" t="s">
        <v>136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23.43</v>
      </c>
      <c r="O17" s="109">
        <v>487935.27</v>
      </c>
      <c r="P17" s="55">
        <v>-65659.359999999986</v>
      </c>
      <c r="Q17" s="49">
        <v>-0.1186</v>
      </c>
      <c r="R17" s="68">
        <v>1.6082455491261728E-2</v>
      </c>
      <c r="S17" s="20"/>
    </row>
    <row r="18" spans="1:19" x14ac:dyDescent="0.25">
      <c r="A18" s="66" t="s">
        <v>82</v>
      </c>
      <c r="B18" s="44" t="s">
        <v>121</v>
      </c>
      <c r="C18" s="44" t="s">
        <v>136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23.43</v>
      </c>
      <c r="O18" s="109">
        <v>487748.03</v>
      </c>
      <c r="P18" s="55">
        <v>-65634.159999999916</v>
      </c>
      <c r="Q18" s="49">
        <v>-0.1186</v>
      </c>
      <c r="R18" s="68">
        <v>1.6076284019037178E-2</v>
      </c>
      <c r="S18" s="20"/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14</v>
      </c>
      <c r="F19" s="20">
        <v>0</v>
      </c>
      <c r="G19" s="20">
        <v>0</v>
      </c>
      <c r="H19" s="20">
        <v>0</v>
      </c>
      <c r="I19" s="34">
        <v>1575</v>
      </c>
      <c r="J19" s="88">
        <v>201.06692799999999</v>
      </c>
      <c r="K19" s="52">
        <v>316680.40999999997</v>
      </c>
      <c r="L19" s="88">
        <v>201.27684199999999</v>
      </c>
      <c r="M19" s="52">
        <v>317011.03000000003</v>
      </c>
      <c r="N19" s="89">
        <v>206.35</v>
      </c>
      <c r="O19" s="109">
        <v>324661.95</v>
      </c>
      <c r="P19" s="56">
        <v>7650.9199999999837</v>
      </c>
      <c r="Q19" s="50">
        <v>2.41E-2</v>
      </c>
      <c r="R19" s="68">
        <v>1.0700930393044226E-2</v>
      </c>
      <c r="S19" s="20"/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14</v>
      </c>
      <c r="F20" s="20">
        <v>0</v>
      </c>
      <c r="G20" s="20">
        <v>0</v>
      </c>
      <c r="H20" s="20">
        <v>0</v>
      </c>
      <c r="I20" s="34">
        <v>1275</v>
      </c>
      <c r="J20" s="88">
        <v>201.06692799999999</v>
      </c>
      <c r="K20" s="52">
        <v>256360.33</v>
      </c>
      <c r="L20" s="88">
        <v>201.27684199999999</v>
      </c>
      <c r="M20" s="52">
        <v>256627.97</v>
      </c>
      <c r="N20" s="89">
        <v>206.35</v>
      </c>
      <c r="O20" s="109">
        <v>262821.58</v>
      </c>
      <c r="P20" s="56">
        <v>6193.6100000000151</v>
      </c>
      <c r="Q20" s="50">
        <v>2.41E-2</v>
      </c>
      <c r="R20" s="68">
        <v>8.6626579843123129E-3</v>
      </c>
      <c r="S20" s="20"/>
    </row>
    <row r="21" spans="1:19" x14ac:dyDescent="0.25">
      <c r="A21" s="66" t="s">
        <v>82</v>
      </c>
      <c r="B21" s="44" t="s">
        <v>85</v>
      </c>
      <c r="C21" s="44" t="s">
        <v>147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20700</v>
      </c>
      <c r="J21" s="88">
        <v>9.7175060000000002</v>
      </c>
      <c r="K21" s="52">
        <v>201152.37</v>
      </c>
      <c r="L21" s="88">
        <v>9.7276509999999998</v>
      </c>
      <c r="M21" s="52">
        <v>201362.38</v>
      </c>
      <c r="N21" s="89">
        <v>9.07</v>
      </c>
      <c r="O21" s="109">
        <v>187552.99</v>
      </c>
      <c r="P21" s="55">
        <v>-13809.390000000014</v>
      </c>
      <c r="Q21" s="49">
        <v>-6.8599999999999994E-2</v>
      </c>
      <c r="R21" s="68">
        <v>6.1817884448649423E-3</v>
      </c>
      <c r="S21" s="20"/>
    </row>
    <row r="22" spans="1:19" x14ac:dyDescent="0.25">
      <c r="A22" s="66" t="s">
        <v>82</v>
      </c>
      <c r="B22" s="44" t="s">
        <v>121</v>
      </c>
      <c r="C22" s="44" t="s">
        <v>147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9.7175060000000002</v>
      </c>
      <c r="K22" s="52">
        <v>201152.37</v>
      </c>
      <c r="L22" s="88">
        <v>9.7276509999999998</v>
      </c>
      <c r="M22" s="52">
        <v>201362.38</v>
      </c>
      <c r="N22" s="89">
        <v>9.07</v>
      </c>
      <c r="O22" s="109">
        <v>187552.99</v>
      </c>
      <c r="P22" s="55">
        <v>-13809.390000000014</v>
      </c>
      <c r="Q22" s="49">
        <v>-6.8599999999999994E-2</v>
      </c>
      <c r="R22" s="68">
        <v>6.1817884448649423E-3</v>
      </c>
      <c r="S22" s="20"/>
    </row>
    <row r="23" spans="1:19" x14ac:dyDescent="0.25">
      <c r="A23" s="66" t="s">
        <v>82</v>
      </c>
      <c r="B23" s="44" t="s">
        <v>121</v>
      </c>
      <c r="C23" s="44" t="s">
        <v>142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16338</v>
      </c>
      <c r="J23" s="88">
        <v>26.264251000000002</v>
      </c>
      <c r="K23" s="52">
        <v>429105.33</v>
      </c>
      <c r="L23" s="88">
        <v>26.291671999999998</v>
      </c>
      <c r="M23" s="52">
        <v>429553.34</v>
      </c>
      <c r="N23" s="89">
        <v>27.29</v>
      </c>
      <c r="O23" s="109">
        <v>445398.54</v>
      </c>
      <c r="P23" s="56">
        <v>15845.199999999953</v>
      </c>
      <c r="Q23" s="50">
        <v>3.6900000000000002E-2</v>
      </c>
      <c r="R23" s="68">
        <v>1.468043536886144E-2</v>
      </c>
      <c r="S23" s="20"/>
    </row>
    <row r="24" spans="1:19" x14ac:dyDescent="0.25">
      <c r="A24" s="66" t="s">
        <v>82</v>
      </c>
      <c r="B24" s="44" t="s">
        <v>85</v>
      </c>
      <c r="C24" s="44" t="s">
        <v>142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26.264251000000002</v>
      </c>
      <c r="K24" s="52">
        <v>349262.01</v>
      </c>
      <c r="L24" s="88">
        <v>26.291671999999998</v>
      </c>
      <c r="M24" s="52">
        <v>349626.65</v>
      </c>
      <c r="N24" s="89">
        <v>27.29</v>
      </c>
      <c r="O24" s="109">
        <v>362523.55</v>
      </c>
      <c r="P24" s="56">
        <v>12896.899999999965</v>
      </c>
      <c r="Q24" s="50">
        <v>3.6900000000000002E-2</v>
      </c>
      <c r="R24" s="68">
        <v>1.1948857186341942E-2</v>
      </c>
      <c r="S24" s="20"/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171.46</v>
      </c>
      <c r="O25" s="109">
        <v>89066.11</v>
      </c>
      <c r="P25" s="56">
        <v>2893.1900000000023</v>
      </c>
      <c r="Q25" s="50">
        <v>3.3599999999999998E-2</v>
      </c>
      <c r="R25" s="68">
        <v>2.9356388806548481E-3</v>
      </c>
      <c r="S25" s="20"/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171.46</v>
      </c>
      <c r="O26" s="109">
        <v>106194.22</v>
      </c>
      <c r="P26" s="56">
        <v>3449.5899999999965</v>
      </c>
      <c r="Q26" s="50">
        <v>3.3599999999999998E-2</v>
      </c>
      <c r="R26" s="68">
        <v>3.5001852122295979E-3</v>
      </c>
      <c r="S26" s="20"/>
    </row>
    <row r="27" spans="1:19" x14ac:dyDescent="0.25">
      <c r="A27" s="66" t="s">
        <v>140</v>
      </c>
      <c r="B27" s="44" t="s">
        <v>85</v>
      </c>
      <c r="C27" s="44" t="s">
        <v>161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130</v>
      </c>
      <c r="J27" s="88">
        <v>1534.5</v>
      </c>
      <c r="K27" s="52">
        <v>199485</v>
      </c>
      <c r="L27" s="88">
        <v>1536.102018</v>
      </c>
      <c r="M27" s="52">
        <v>199693.26</v>
      </c>
      <c r="N27" s="89">
        <v>1542.528106</v>
      </c>
      <c r="O27" s="109">
        <v>200319.3</v>
      </c>
      <c r="P27" s="56">
        <v>626.03999999997905</v>
      </c>
      <c r="Q27" s="50">
        <v>3.0999999999999999E-3</v>
      </c>
      <c r="R27" s="68">
        <v>6.6025688741269007E-3</v>
      </c>
      <c r="S27" s="20"/>
    </row>
    <row r="28" spans="1:19" x14ac:dyDescent="0.25">
      <c r="A28" s="66" t="s">
        <v>140</v>
      </c>
      <c r="B28" s="44" t="s">
        <v>121</v>
      </c>
      <c r="C28" s="44" t="s">
        <v>161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130</v>
      </c>
      <c r="J28" s="88">
        <v>1534.5</v>
      </c>
      <c r="K28" s="52">
        <v>199485</v>
      </c>
      <c r="L28" s="88">
        <v>1536.102018</v>
      </c>
      <c r="M28" s="52">
        <v>199693.26</v>
      </c>
      <c r="N28" s="89">
        <v>1542.528106</v>
      </c>
      <c r="O28" s="109">
        <v>200319.3</v>
      </c>
      <c r="P28" s="56">
        <v>626.03999999997905</v>
      </c>
      <c r="Q28" s="50">
        <v>3.0999999999999999E-3</v>
      </c>
      <c r="R28" s="68">
        <v>6.6025688741269007E-3</v>
      </c>
      <c r="S28" s="20"/>
    </row>
    <row r="29" spans="1:19" x14ac:dyDescent="0.25">
      <c r="A29" s="66" t="s">
        <v>82</v>
      </c>
      <c r="B29" s="44" t="s">
        <v>121</v>
      </c>
      <c r="C29" s="44" t="s">
        <v>152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409.94</v>
      </c>
      <c r="O29" s="109">
        <v>409512.02</v>
      </c>
      <c r="P29" s="56">
        <v>176276.40000000002</v>
      </c>
      <c r="Q29" s="50">
        <v>0.75580000000000003</v>
      </c>
      <c r="R29" s="68">
        <v>1.349760765354528E-2</v>
      </c>
      <c r="S29" s="20"/>
    </row>
    <row r="30" spans="1:19" x14ac:dyDescent="0.25">
      <c r="A30" s="66" t="s">
        <v>140</v>
      </c>
      <c r="B30" s="44" t="s">
        <v>85</v>
      </c>
      <c r="C30" s="44" t="s">
        <v>145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455.37244199999998</v>
      </c>
      <c r="O30" s="109">
        <v>568621.30000000005</v>
      </c>
      <c r="P30" s="56">
        <v>4251.7100000000792</v>
      </c>
      <c r="Q30" s="50">
        <v>7.4999999999999997E-3</v>
      </c>
      <c r="R30" s="68">
        <v>1.8741885063224439E-2</v>
      </c>
      <c r="S30" s="20"/>
    </row>
    <row r="31" spans="1:19" x14ac:dyDescent="0.25">
      <c r="A31" s="66" t="s">
        <v>140</v>
      </c>
      <c r="B31" s="44" t="s">
        <v>121</v>
      </c>
      <c r="C31" s="44" t="s">
        <v>145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455.37244199999998</v>
      </c>
      <c r="O31" s="109">
        <v>568621.30000000005</v>
      </c>
      <c r="P31" s="56">
        <v>4251.7100000000792</v>
      </c>
      <c r="Q31" s="50">
        <v>7.4999999999999997E-3</v>
      </c>
      <c r="R31" s="68">
        <v>1.8741885063224439E-2</v>
      </c>
      <c r="S31" s="20"/>
    </row>
    <row r="32" spans="1:19" x14ac:dyDescent="0.25">
      <c r="A32" s="66" t="s">
        <v>140</v>
      </c>
      <c r="B32" s="44" t="s">
        <v>85</v>
      </c>
      <c r="C32" s="44" t="s">
        <v>151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5690179.4000000004</v>
      </c>
      <c r="L32" s="88">
        <v>2149.4792130000001</v>
      </c>
      <c r="M32" s="52">
        <v>5696119.9100000001</v>
      </c>
      <c r="N32" s="89">
        <v>2140.967752</v>
      </c>
      <c r="O32" s="109">
        <v>5667641.3399999999</v>
      </c>
      <c r="P32" s="55">
        <v>-28478.570000000298</v>
      </c>
      <c r="Q32" s="49">
        <v>-5.0000000000000001E-3</v>
      </c>
      <c r="R32" s="68">
        <v>0.18680672457021805</v>
      </c>
      <c r="S32" s="20"/>
    </row>
    <row r="33" spans="1:19" x14ac:dyDescent="0.25">
      <c r="A33" s="66" t="s">
        <v>140</v>
      </c>
      <c r="B33" s="44" t="s">
        <v>121</v>
      </c>
      <c r="C33" s="44" t="s">
        <v>151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7010730.4699999997</v>
      </c>
      <c r="L33" s="88">
        <v>2149.4792130000001</v>
      </c>
      <c r="M33" s="52">
        <v>7018049.6299999999</v>
      </c>
      <c r="N33" s="89">
        <v>2140.967752</v>
      </c>
      <c r="O33" s="109">
        <v>6982961.8799999999</v>
      </c>
      <c r="P33" s="55">
        <v>-35087.75</v>
      </c>
      <c r="Q33" s="49">
        <v>-5.0000000000000001E-3</v>
      </c>
      <c r="R33" s="68">
        <v>0.23015998337705187</v>
      </c>
      <c r="S33" s="20"/>
    </row>
    <row r="34" spans="1:19" x14ac:dyDescent="0.25">
      <c r="A34" s="66" t="s">
        <v>140</v>
      </c>
      <c r="B34" s="44" t="s">
        <v>85</v>
      </c>
      <c r="C34" s="44" t="s">
        <v>132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4566945.24</v>
      </c>
      <c r="L34" s="88">
        <v>1386.6281779999999</v>
      </c>
      <c r="M34" s="52">
        <v>4571713.0999999996</v>
      </c>
      <c r="N34" s="89">
        <v>1602.2363700000001</v>
      </c>
      <c r="O34" s="109">
        <v>5277058.3</v>
      </c>
      <c r="P34" s="56">
        <v>705345.20000000019</v>
      </c>
      <c r="Q34" s="50">
        <v>0.15429999999999999</v>
      </c>
      <c r="R34" s="68">
        <v>0.17393302032571509</v>
      </c>
      <c r="S34" s="20"/>
    </row>
    <row r="35" spans="1:19" x14ac:dyDescent="0.25">
      <c r="A35" s="66" t="s">
        <v>140</v>
      </c>
      <c r="B35" s="44" t="s">
        <v>121</v>
      </c>
      <c r="C35" s="44" t="s">
        <v>132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1602.2363700000001</v>
      </c>
      <c r="O35" s="109">
        <v>843497.04</v>
      </c>
      <c r="P35" s="56">
        <v>112743.98999999999</v>
      </c>
      <c r="Q35" s="50">
        <v>0.15429999999999999</v>
      </c>
      <c r="R35" s="68">
        <v>2.7801850853722901E-2</v>
      </c>
      <c r="S35" s="20"/>
    </row>
    <row r="36" spans="1:19" x14ac:dyDescent="0.25">
      <c r="A36" s="66" t="s">
        <v>140</v>
      </c>
      <c r="B36" s="44" t="s">
        <v>85</v>
      </c>
      <c r="C36" s="44" t="s">
        <v>148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8">
        <v>2405</v>
      </c>
      <c r="K36" s="52">
        <v>84175</v>
      </c>
      <c r="L36" s="88">
        <v>2407.51082</v>
      </c>
      <c r="M36" s="52">
        <v>84262.88</v>
      </c>
      <c r="N36" s="89">
        <v>3161.2424059999998</v>
      </c>
      <c r="O36" s="109">
        <v>110527.97</v>
      </c>
      <c r="P36" s="56">
        <v>26265.089999999997</v>
      </c>
      <c r="Q36" s="50">
        <v>0.31169999999999998</v>
      </c>
      <c r="R36" s="68">
        <v>3.6430265802767478E-3</v>
      </c>
      <c r="S36" s="20"/>
    </row>
    <row r="37" spans="1:19" x14ac:dyDescent="0.25">
      <c r="A37" s="66" t="s">
        <v>140</v>
      </c>
      <c r="B37" s="44" t="s">
        <v>121</v>
      </c>
      <c r="C37" s="44" t="s">
        <v>148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8">
        <v>2405</v>
      </c>
      <c r="K37" s="52">
        <v>84175</v>
      </c>
      <c r="L37" s="88">
        <v>2407.51082</v>
      </c>
      <c r="M37" s="52">
        <v>84262.88</v>
      </c>
      <c r="N37" s="89">
        <v>3161.2424059999998</v>
      </c>
      <c r="O37" s="109">
        <v>110527.97</v>
      </c>
      <c r="P37" s="56">
        <v>26265.089999999997</v>
      </c>
      <c r="Q37" s="50">
        <v>0.31169999999999998</v>
      </c>
      <c r="R37" s="68">
        <v>3.6430265802767478E-3</v>
      </c>
      <c r="S37" s="20"/>
    </row>
    <row r="38" spans="1:19" x14ac:dyDescent="0.25">
      <c r="A38" s="66" t="s">
        <v>140</v>
      </c>
      <c r="B38" s="44" t="s">
        <v>85</v>
      </c>
      <c r="C38" s="44" t="s">
        <v>162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442</v>
      </c>
      <c r="J38" s="88">
        <v>455.38608499999998</v>
      </c>
      <c r="K38" s="52">
        <v>201280.65</v>
      </c>
      <c r="L38" s="88">
        <v>455.86150900000001</v>
      </c>
      <c r="M38" s="52">
        <v>201490.79</v>
      </c>
      <c r="N38" s="89">
        <v>455.56630000000001</v>
      </c>
      <c r="O38" s="109">
        <v>201150.09</v>
      </c>
      <c r="P38" s="55">
        <v>-340.70000000001164</v>
      </c>
      <c r="Q38" s="49">
        <v>-1.6999999999999999E-3</v>
      </c>
      <c r="R38" s="68">
        <v>6.6299518981038016E-3</v>
      </c>
      <c r="S38" s="20"/>
    </row>
    <row r="39" spans="1:19" x14ac:dyDescent="0.25">
      <c r="A39" s="66" t="s">
        <v>140</v>
      </c>
      <c r="B39" s="44" t="s">
        <v>121</v>
      </c>
      <c r="C39" s="44" t="s">
        <v>162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8">
        <v>455.38608499999998</v>
      </c>
      <c r="K39" s="52">
        <v>201280.65</v>
      </c>
      <c r="L39" s="88">
        <v>455.86150900000001</v>
      </c>
      <c r="M39" s="52">
        <v>201490.79</v>
      </c>
      <c r="N39" s="89">
        <v>455.56630000000001</v>
      </c>
      <c r="O39" s="109">
        <v>201150.09</v>
      </c>
      <c r="P39" s="55">
        <v>-340.70000000001164</v>
      </c>
      <c r="Q39" s="49">
        <v>-1.6999999999999999E-3</v>
      </c>
      <c r="R39" s="68">
        <v>6.6299518981038016E-3</v>
      </c>
      <c r="S39" s="20"/>
    </row>
    <row r="40" spans="1:19" x14ac:dyDescent="0.25">
      <c r="A40" s="66" t="s">
        <v>140</v>
      </c>
      <c r="B40" s="44" t="s">
        <v>85</v>
      </c>
      <c r="C40" s="44" t="s">
        <v>146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538.92524000000003</v>
      </c>
      <c r="O40" s="109">
        <v>296099.43</v>
      </c>
      <c r="P40" s="56">
        <v>139256.85999999999</v>
      </c>
      <c r="Q40" s="50">
        <v>0.88790000000000002</v>
      </c>
      <c r="R40" s="68">
        <v>9.7595033537193725E-3</v>
      </c>
      <c r="S40" s="20"/>
    </row>
    <row r="41" spans="1:19" x14ac:dyDescent="0.25">
      <c r="A41" s="66" t="s">
        <v>140</v>
      </c>
      <c r="B41" s="44" t="s">
        <v>121</v>
      </c>
      <c r="C41" s="44" t="s">
        <v>146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538.92524000000003</v>
      </c>
      <c r="O41" s="109">
        <v>296099.43</v>
      </c>
      <c r="P41" s="56">
        <v>139256.85999999999</v>
      </c>
      <c r="Q41" s="50">
        <v>0.88790000000000002</v>
      </c>
      <c r="R41" s="68">
        <v>9.7595033537193725E-3</v>
      </c>
      <c r="S41" s="20"/>
    </row>
    <row r="42" spans="1:19" x14ac:dyDescent="0.25">
      <c r="A42" s="66" t="s">
        <v>140</v>
      </c>
      <c r="B42" s="44" t="s">
        <v>85</v>
      </c>
      <c r="C42" s="44" t="s">
        <v>137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8">
        <v>2480.5</v>
      </c>
      <c r="K42" s="52">
        <v>62012.5</v>
      </c>
      <c r="L42" s="88">
        <v>2483.0896419999999</v>
      </c>
      <c r="M42" s="52">
        <v>62077.24</v>
      </c>
      <c r="N42" s="89">
        <v>1890.890932</v>
      </c>
      <c r="O42" s="109">
        <v>47222.92</v>
      </c>
      <c r="P42" s="55">
        <v>-14854.32</v>
      </c>
      <c r="Q42" s="49">
        <v>-0.23930000000000001</v>
      </c>
      <c r="R42" s="68">
        <v>1.5564779915733767E-3</v>
      </c>
      <c r="S42" s="20"/>
    </row>
    <row r="43" spans="1:19" x14ac:dyDescent="0.25">
      <c r="A43" s="66" t="s">
        <v>82</v>
      </c>
      <c r="B43" s="44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7400</v>
      </c>
      <c r="J43" s="88">
        <v>54.067891000000003</v>
      </c>
      <c r="K43" s="52">
        <v>400102.39</v>
      </c>
      <c r="L43" s="88">
        <v>54.124338000000002</v>
      </c>
      <c r="M43" s="52">
        <v>400520.1</v>
      </c>
      <c r="N43" s="89">
        <v>55.92</v>
      </c>
      <c r="O43" s="109">
        <v>413375.98</v>
      </c>
      <c r="P43" s="56">
        <v>12855.880000000005</v>
      </c>
      <c r="Q43" s="50">
        <v>3.2099999999999997E-2</v>
      </c>
      <c r="R43" s="68">
        <v>1.3624964638253549E-2</v>
      </c>
      <c r="S43" s="20"/>
    </row>
    <row r="44" spans="1:19" x14ac:dyDescent="0.25">
      <c r="A44" s="66" t="s">
        <v>82</v>
      </c>
      <c r="B44" s="44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1600</v>
      </c>
      <c r="J44" s="88">
        <v>54.067891000000003</v>
      </c>
      <c r="K44" s="52">
        <v>86508.63</v>
      </c>
      <c r="L44" s="88">
        <v>54.124338000000002</v>
      </c>
      <c r="M44" s="52">
        <v>86598.94</v>
      </c>
      <c r="N44" s="89">
        <v>55.92</v>
      </c>
      <c r="O44" s="109">
        <v>89378.59</v>
      </c>
      <c r="P44" s="56">
        <v>2779.6499999999942</v>
      </c>
      <c r="Q44" s="50">
        <v>3.2099999999999997E-2</v>
      </c>
      <c r="R44" s="68">
        <v>2.9459382912547611E-3</v>
      </c>
      <c r="S44" s="20"/>
    </row>
    <row r="45" spans="1:19" x14ac:dyDescent="0.25">
      <c r="A45" s="98"/>
      <c r="B45" s="24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25389705.059999999</v>
      </c>
      <c r="L45" s="24"/>
      <c r="M45" s="39">
        <v>25416211.920000002</v>
      </c>
      <c r="N45" s="24"/>
      <c r="O45" s="39">
        <v>26714213.440000001</v>
      </c>
      <c r="P45" s="90">
        <v>1298001.5199999996</v>
      </c>
      <c r="Q45" s="91">
        <v>5.11E-2</v>
      </c>
      <c r="R45" s="99">
        <v>0.88050644224359076</v>
      </c>
      <c r="S45" s="74"/>
    </row>
    <row r="46" spans="1:19" x14ac:dyDescent="0.25">
      <c r="A46" s="100"/>
      <c r="B46" s="21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8"/>
      <c r="S46" s="72"/>
    </row>
    <row r="47" spans="1:19" x14ac:dyDescent="0.25">
      <c r="A47" s="66" t="s">
        <v>117</v>
      </c>
      <c r="B47" s="44" t="s">
        <v>85</v>
      </c>
      <c r="C47" s="44" t="s">
        <v>149</v>
      </c>
      <c r="D47" s="44">
        <v>24</v>
      </c>
      <c r="E47" s="44" t="s">
        <v>21</v>
      </c>
      <c r="F47" s="20">
        <v>1826</v>
      </c>
      <c r="G47" s="20">
        <v>0</v>
      </c>
      <c r="H47" s="20">
        <v>1447</v>
      </c>
      <c r="I47" s="34">
        <v>17470</v>
      </c>
      <c r="J47" s="88">
        <v>57.962428000000003</v>
      </c>
      <c r="K47" s="52">
        <v>1012603.62</v>
      </c>
      <c r="L47" s="88">
        <v>58.257038000000001</v>
      </c>
      <c r="M47" s="52">
        <v>1017750.45</v>
      </c>
      <c r="N47" s="89">
        <v>58.987830000000002</v>
      </c>
      <c r="O47" s="109">
        <v>1030517.39</v>
      </c>
      <c r="P47" s="56">
        <v>12766.940000000061</v>
      </c>
      <c r="Q47" s="50">
        <v>1.2500000000000001E-2</v>
      </c>
      <c r="R47" s="68">
        <v>3.3966083365209905E-2</v>
      </c>
      <c r="S47" s="20"/>
    </row>
    <row r="48" spans="1:19" x14ac:dyDescent="0.25">
      <c r="A48" s="66" t="s">
        <v>117</v>
      </c>
      <c r="B48" s="44" t="s">
        <v>121</v>
      </c>
      <c r="C48" s="44" t="s">
        <v>149</v>
      </c>
      <c r="D48" s="44">
        <v>24</v>
      </c>
      <c r="E48" s="44" t="s">
        <v>21</v>
      </c>
      <c r="F48" s="20">
        <v>1826</v>
      </c>
      <c r="G48" s="20">
        <v>0</v>
      </c>
      <c r="H48" s="20">
        <v>1447</v>
      </c>
      <c r="I48" s="34">
        <v>17470</v>
      </c>
      <c r="J48" s="88">
        <v>57.962428000000003</v>
      </c>
      <c r="K48" s="52">
        <v>1012603.62</v>
      </c>
      <c r="L48" s="88">
        <v>58.257038000000001</v>
      </c>
      <c r="M48" s="52">
        <v>1017750.45</v>
      </c>
      <c r="N48" s="89">
        <v>58.987830000000002</v>
      </c>
      <c r="O48" s="109">
        <v>1030517.39</v>
      </c>
      <c r="P48" s="56">
        <v>12766.940000000061</v>
      </c>
      <c r="Q48" s="50">
        <v>1.2500000000000001E-2</v>
      </c>
      <c r="R48" s="68">
        <v>3.3966083365209905E-2</v>
      </c>
      <c r="S48" s="20"/>
    </row>
    <row r="49" spans="1:19" x14ac:dyDescent="0.25">
      <c r="A49" s="66" t="s">
        <v>63</v>
      </c>
      <c r="B49" s="44" t="s">
        <v>85</v>
      </c>
      <c r="C49" s="44" t="s">
        <v>141</v>
      </c>
      <c r="D49" s="44">
        <v>280511</v>
      </c>
      <c r="E49" s="44" t="s">
        <v>21</v>
      </c>
      <c r="F49" s="20">
        <v>3</v>
      </c>
      <c r="G49" s="20">
        <v>7.95</v>
      </c>
      <c r="H49" s="20">
        <v>3</v>
      </c>
      <c r="I49" s="34">
        <v>11216</v>
      </c>
      <c r="J49" s="88">
        <v>100.346897</v>
      </c>
      <c r="K49" s="52">
        <v>1125490.8</v>
      </c>
      <c r="L49" s="88">
        <v>100.346898</v>
      </c>
      <c r="M49" s="52">
        <v>1125490.81</v>
      </c>
      <c r="N49" s="89">
        <v>100.346898</v>
      </c>
      <c r="O49" s="109">
        <v>1125490.81</v>
      </c>
      <c r="P49" s="55">
        <v>0</v>
      </c>
      <c r="Q49" s="35"/>
      <c r="R49" s="68">
        <v>3.7096428503004326E-2</v>
      </c>
      <c r="S49" s="20"/>
    </row>
    <row r="50" spans="1:19" x14ac:dyDescent="0.25">
      <c r="A50" s="66" t="s">
        <v>63</v>
      </c>
      <c r="B50" s="44" t="s">
        <v>86</v>
      </c>
      <c r="C50" s="44" t="s">
        <v>141</v>
      </c>
      <c r="D50" s="44">
        <v>280511</v>
      </c>
      <c r="E50" s="44" t="s">
        <v>21</v>
      </c>
      <c r="F50" s="20">
        <v>3</v>
      </c>
      <c r="G50" s="20">
        <v>7.95</v>
      </c>
      <c r="H50" s="20">
        <v>3</v>
      </c>
      <c r="I50" s="34">
        <v>595</v>
      </c>
      <c r="J50" s="88">
        <v>100.346897</v>
      </c>
      <c r="K50" s="52">
        <v>59706.400000000001</v>
      </c>
      <c r="L50" s="88">
        <v>100.346898</v>
      </c>
      <c r="M50" s="52">
        <v>59706.400000000001</v>
      </c>
      <c r="N50" s="89">
        <v>100.346898</v>
      </c>
      <c r="O50" s="109">
        <v>59706.400000000001</v>
      </c>
      <c r="P50" s="55">
        <v>0</v>
      </c>
      <c r="Q50" s="35"/>
      <c r="R50" s="68">
        <v>1.9679362808584615E-3</v>
      </c>
      <c r="S50" s="20"/>
    </row>
    <row r="51" spans="1:19" x14ac:dyDescent="0.25">
      <c r="A51" s="66" t="s">
        <v>63</v>
      </c>
      <c r="B51" s="44" t="s">
        <v>121</v>
      </c>
      <c r="C51" s="44" t="s">
        <v>141</v>
      </c>
      <c r="D51" s="44">
        <v>280511</v>
      </c>
      <c r="E51" s="44" t="s">
        <v>21</v>
      </c>
      <c r="F51" s="20">
        <v>3</v>
      </c>
      <c r="G51" s="20">
        <v>7.95</v>
      </c>
      <c r="H51" s="20">
        <v>3</v>
      </c>
      <c r="I51" s="34">
        <v>3778</v>
      </c>
      <c r="J51" s="88">
        <v>100.346897</v>
      </c>
      <c r="K51" s="52">
        <v>379110.58</v>
      </c>
      <c r="L51" s="88">
        <v>100.346898</v>
      </c>
      <c r="M51" s="52">
        <v>379110.58</v>
      </c>
      <c r="N51" s="89">
        <v>100.346898</v>
      </c>
      <c r="O51" s="109">
        <v>379110.58</v>
      </c>
      <c r="P51" s="55">
        <v>0</v>
      </c>
      <c r="Q51" s="35"/>
      <c r="R51" s="68">
        <v>1.2495569400253478E-2</v>
      </c>
      <c r="S51" s="20"/>
    </row>
    <row r="52" spans="1:19" x14ac:dyDescent="0.25">
      <c r="A52" s="101"/>
      <c r="B52" s="102"/>
      <c r="C52" s="102" t="s">
        <v>49</v>
      </c>
      <c r="D52" s="102" t="s">
        <v>50</v>
      </c>
      <c r="E52" s="102"/>
      <c r="F52" s="103"/>
      <c r="G52" s="103"/>
      <c r="H52" s="103"/>
      <c r="I52" s="103"/>
      <c r="J52" s="102"/>
      <c r="K52" s="104">
        <v>3589515.02</v>
      </c>
      <c r="L52" s="102"/>
      <c r="M52" s="104">
        <v>3599808.7</v>
      </c>
      <c r="N52" s="102"/>
      <c r="O52" s="104">
        <v>3625342.57</v>
      </c>
      <c r="P52" s="105">
        <v>25533.87</v>
      </c>
      <c r="Q52" s="106">
        <v>7.1000000000000004E-3</v>
      </c>
      <c r="R52" s="107">
        <v>0.11949210091453608</v>
      </c>
      <c r="S52" s="74"/>
    </row>
    <row r="53" spans="1:19" x14ac:dyDescent="0.25">
      <c r="A53" s="21"/>
      <c r="B53" s="21"/>
      <c r="C53" s="21"/>
      <c r="D53" s="21"/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21"/>
      <c r="P53" s="23"/>
      <c r="Q53" s="23"/>
      <c r="R53" s="22"/>
    </row>
    <row r="54" spans="1:19" x14ac:dyDescent="0.25">
      <c r="A54" s="21"/>
      <c r="B54" s="21" t="s">
        <v>85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4.5</v>
      </c>
      <c r="P54" s="23"/>
      <c r="Q54" s="23"/>
      <c r="R54" s="22"/>
    </row>
    <row r="55" spans="1:19" x14ac:dyDescent="0.25">
      <c r="A55" s="21"/>
      <c r="B55" s="21" t="s">
        <v>86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39.47</v>
      </c>
      <c r="P55" s="23"/>
      <c r="Q55" s="23"/>
      <c r="R55" s="22"/>
    </row>
    <row r="56" spans="1:19" x14ac:dyDescent="0.25">
      <c r="A56" s="21"/>
      <c r="B56" s="21" t="s">
        <v>121</v>
      </c>
      <c r="C56" s="21" t="s">
        <v>51</v>
      </c>
      <c r="D56" s="21" t="s">
        <v>50</v>
      </c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0.22</v>
      </c>
      <c r="P56" s="23"/>
      <c r="Q56" s="23"/>
      <c r="R56" s="22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4"/>
      <c r="B58" s="24"/>
      <c r="C58" s="24" t="s">
        <v>52</v>
      </c>
      <c r="D58" s="24" t="s">
        <v>50</v>
      </c>
      <c r="E58" s="24"/>
      <c r="F58" s="25"/>
      <c r="G58" s="25"/>
      <c r="H58" s="25"/>
      <c r="I58" s="25"/>
      <c r="J58" s="24"/>
      <c r="K58" s="24"/>
      <c r="L58" s="24"/>
      <c r="M58" s="24"/>
      <c r="N58" s="24"/>
      <c r="O58" s="39">
        <v>0</v>
      </c>
      <c r="P58" s="26"/>
      <c r="Q58" s="26"/>
      <c r="R58" s="25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7"/>
      <c r="B60" s="27"/>
      <c r="C60" s="27" t="s">
        <v>53</v>
      </c>
      <c r="D60" s="27"/>
      <c r="E60" s="27"/>
      <c r="F60" s="28"/>
      <c r="G60" s="28"/>
      <c r="H60" s="28"/>
      <c r="I60" s="28"/>
      <c r="J60" s="27"/>
      <c r="K60" s="27"/>
      <c r="L60" s="27"/>
      <c r="M60" s="27"/>
      <c r="N60" s="27"/>
      <c r="O60" s="41">
        <v>30339600.210000001</v>
      </c>
      <c r="P60" s="29"/>
      <c r="Q60" s="29"/>
      <c r="R60" s="28"/>
    </row>
    <row r="61" spans="1:19" x14ac:dyDescent="0.25">
      <c r="A61" s="21"/>
      <c r="B61" s="21"/>
      <c r="C61" s="21"/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21"/>
      <c r="P61" s="23"/>
      <c r="Q61" s="23"/>
      <c r="R61" s="22"/>
    </row>
    <row r="62" spans="1:19" x14ac:dyDescent="0.25">
      <c r="A62" s="21"/>
      <c r="B62" s="21"/>
      <c r="C62" s="21" t="s">
        <v>26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44.19</v>
      </c>
      <c r="P62" s="23"/>
      <c r="Q62" s="23"/>
      <c r="R62" s="22"/>
    </row>
    <row r="63" spans="1:19" x14ac:dyDescent="0.25">
      <c r="A63" s="21"/>
      <c r="B63" s="21"/>
      <c r="C63" s="21" t="s">
        <v>54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1564351.98</v>
      </c>
      <c r="P63" s="23"/>
      <c r="Q63" s="23"/>
      <c r="R63" s="22"/>
    </row>
    <row r="64" spans="1:19" x14ac:dyDescent="0.25">
      <c r="A64" s="21"/>
      <c r="B64" s="21"/>
      <c r="C64" s="21" t="s">
        <v>55</v>
      </c>
      <c r="D64" s="21"/>
      <c r="E64" s="21"/>
      <c r="F64" s="22"/>
      <c r="G64" s="22"/>
      <c r="H64" s="22"/>
      <c r="I64" s="22"/>
      <c r="J64" s="21"/>
      <c r="K64" s="21"/>
      <c r="L64" s="21"/>
      <c r="M64" s="21"/>
      <c r="N64" s="21"/>
      <c r="O64" s="40">
        <v>0</v>
      </c>
      <c r="P64" s="23"/>
      <c r="Q64" s="23"/>
      <c r="R64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7778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609600</xdr:colOff>
                    <xdr:row>1</xdr:row>
                    <xdr:rowOff>38100</xdr:rowOff>
                  </from>
                  <to>
                    <xdr:col>20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779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609600</xdr:colOff>
                    <xdr:row>3</xdr:row>
                    <xdr:rowOff>171450</xdr:rowOff>
                  </from>
                  <to>
                    <xdr:col>20</xdr:col>
                    <xdr:colOff>352425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780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609600</xdr:colOff>
                    <xdr:row>1</xdr:row>
                    <xdr:rowOff>38100</xdr:rowOff>
                  </from>
                  <to>
                    <xdr:col>20</xdr:col>
                    <xdr:colOff>352425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8E14-A71F-4584-8ABD-02AC48AE6BEF}">
  <dimension ref="A1:W273"/>
  <sheetViews>
    <sheetView topLeftCell="A250" workbookViewId="0">
      <selection activeCell="R260" sqref="R260:R261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9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  <col min="19" max="19" width="11.7109375" bestFit="1" customWidth="1"/>
  </cols>
  <sheetData>
    <row r="1" spans="1:18" ht="47.1" customHeight="1" x14ac:dyDescent="0.25"/>
    <row r="3" spans="1:18" x14ac:dyDescent="0.25">
      <c r="A3" s="64"/>
      <c r="B3" s="114"/>
      <c r="R3" s="65"/>
    </row>
    <row r="4" spans="1:18" x14ac:dyDescent="0.25">
      <c r="A4" s="69" t="s">
        <v>12</v>
      </c>
      <c r="B4" s="115"/>
      <c r="C4" s="36">
        <v>105433</v>
      </c>
      <c r="D4" s="37" t="s">
        <v>13</v>
      </c>
      <c r="F4" s="38" t="s">
        <v>123</v>
      </c>
      <c r="K4" s="37" t="s">
        <v>118</v>
      </c>
      <c r="L4" t="s">
        <v>164</v>
      </c>
      <c r="R4" s="65"/>
    </row>
    <row r="5" spans="1:18" x14ac:dyDescent="0.25">
      <c r="A5" s="69" t="s">
        <v>14</v>
      </c>
      <c r="B5" s="115"/>
      <c r="C5" s="36" t="s">
        <v>15</v>
      </c>
      <c r="D5" s="37" t="s">
        <v>16</v>
      </c>
      <c r="F5" s="38" t="s">
        <v>163</v>
      </c>
      <c r="R5" s="65"/>
    </row>
    <row r="6" spans="1:18" x14ac:dyDescent="0.25">
      <c r="A6" s="64"/>
      <c r="B6" s="114"/>
      <c r="R6" s="65"/>
    </row>
    <row r="7" spans="1:18" x14ac:dyDescent="0.25">
      <c r="A7" s="17" t="s">
        <v>64</v>
      </c>
      <c r="B7" s="116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16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17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4.5</v>
      </c>
    </row>
    <row r="10" spans="1:18" x14ac:dyDescent="0.25">
      <c r="A10" s="66" t="s">
        <v>80</v>
      </c>
      <c r="B10" s="117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39.47</v>
      </c>
    </row>
    <row r="11" spans="1:18" x14ac:dyDescent="0.25">
      <c r="A11" s="66" t="s">
        <v>80</v>
      </c>
      <c r="B11" s="117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0.22</v>
      </c>
    </row>
    <row r="12" spans="1:18" x14ac:dyDescent="0.25">
      <c r="A12" s="66" t="s">
        <v>82</v>
      </c>
      <c r="B12" s="117" t="s">
        <v>85</v>
      </c>
      <c r="C12" s="60">
        <v>45807</v>
      </c>
      <c r="D12" s="60">
        <v>45810</v>
      </c>
      <c r="E12" s="44">
        <v>480114</v>
      </c>
      <c r="F12" s="44" t="s">
        <v>83</v>
      </c>
      <c r="G12" s="44" t="s">
        <v>141</v>
      </c>
      <c r="H12" s="44">
        <v>280511</v>
      </c>
      <c r="I12" s="44">
        <v>3</v>
      </c>
      <c r="J12" s="52">
        <v>745.63484508307181</v>
      </c>
      <c r="K12" s="61">
        <v>100.413377</v>
      </c>
      <c r="L12" s="44">
        <v>11216</v>
      </c>
      <c r="M12" s="52">
        <v>1126236.4407107581</v>
      </c>
      <c r="N12" s="44"/>
      <c r="O12" s="59"/>
      <c r="P12" s="44" t="s">
        <v>81</v>
      </c>
      <c r="Q12" s="52">
        <v>1126236.4407107581</v>
      </c>
      <c r="R12" s="71">
        <v>1126240.94</v>
      </c>
    </row>
    <row r="13" spans="1:18" x14ac:dyDescent="0.25">
      <c r="A13" s="66" t="s">
        <v>82</v>
      </c>
      <c r="B13" s="117" t="s">
        <v>86</v>
      </c>
      <c r="C13" s="60">
        <v>45807</v>
      </c>
      <c r="D13" s="60">
        <v>45810</v>
      </c>
      <c r="E13" s="44">
        <v>480114</v>
      </c>
      <c r="F13" s="44" t="s">
        <v>83</v>
      </c>
      <c r="G13" s="44" t="s">
        <v>141</v>
      </c>
      <c r="H13" s="44">
        <v>280511</v>
      </c>
      <c r="I13" s="44">
        <v>3</v>
      </c>
      <c r="J13" s="52">
        <v>39.555343511450403</v>
      </c>
      <c r="K13" s="61">
        <v>100.413377</v>
      </c>
      <c r="L13" s="44">
        <v>595</v>
      </c>
      <c r="M13" s="52">
        <v>59745.959541984768</v>
      </c>
      <c r="N13" s="44"/>
      <c r="O13" s="59"/>
      <c r="P13" s="44" t="s">
        <v>81</v>
      </c>
      <c r="Q13" s="52">
        <v>59745.959541984768</v>
      </c>
      <c r="R13" s="71">
        <v>59785.43</v>
      </c>
    </row>
    <row r="14" spans="1:18" x14ac:dyDescent="0.25">
      <c r="A14" s="66" t="s">
        <v>82</v>
      </c>
      <c r="B14" s="117" t="s">
        <v>121</v>
      </c>
      <c r="C14" s="60">
        <v>45807</v>
      </c>
      <c r="D14" s="60">
        <v>45810</v>
      </c>
      <c r="E14" s="44">
        <v>480114</v>
      </c>
      <c r="F14" s="44" t="s">
        <v>83</v>
      </c>
      <c r="G14" s="44" t="s">
        <v>141</v>
      </c>
      <c r="H14" s="44">
        <v>280511</v>
      </c>
      <c r="I14" s="44">
        <v>3</v>
      </c>
      <c r="J14" s="52">
        <v>251.15981140547834</v>
      </c>
      <c r="K14" s="61">
        <v>100.413377</v>
      </c>
      <c r="L14" s="44">
        <v>3778</v>
      </c>
      <c r="M14" s="52">
        <v>379361.73974725785</v>
      </c>
      <c r="N14" s="44"/>
      <c r="O14" s="59"/>
      <c r="P14" s="44" t="s">
        <v>81</v>
      </c>
      <c r="Q14" s="52">
        <v>379361.73974725785</v>
      </c>
      <c r="R14" s="71">
        <v>379361.96</v>
      </c>
    </row>
    <row r="15" spans="1:18" x14ac:dyDescent="0.25">
      <c r="A15" s="66" t="s">
        <v>82</v>
      </c>
      <c r="B15" s="117" t="s">
        <v>85</v>
      </c>
      <c r="C15" s="60">
        <v>45810</v>
      </c>
      <c r="D15" s="60">
        <v>45810</v>
      </c>
      <c r="E15" s="44">
        <v>481508</v>
      </c>
      <c r="F15" s="44" t="s">
        <v>124</v>
      </c>
      <c r="G15" s="44" t="s">
        <v>141</v>
      </c>
      <c r="H15" s="44">
        <v>280511</v>
      </c>
      <c r="I15" s="44">
        <v>1</v>
      </c>
      <c r="J15" s="44">
        <v>7.95</v>
      </c>
      <c r="K15" s="61">
        <v>100.415682</v>
      </c>
      <c r="L15" s="44">
        <v>11216</v>
      </c>
      <c r="M15" s="52">
        <v>1126262.2844929111</v>
      </c>
      <c r="N15" s="44"/>
      <c r="O15" s="59"/>
      <c r="P15" s="44" t="s">
        <v>125</v>
      </c>
      <c r="Q15" s="52">
        <v>1126262.2844929111</v>
      </c>
      <c r="R15" s="70">
        <v>-21.34</v>
      </c>
    </row>
    <row r="16" spans="1:18" x14ac:dyDescent="0.25">
      <c r="A16" s="66" t="s">
        <v>82</v>
      </c>
      <c r="B16" s="117" t="s">
        <v>86</v>
      </c>
      <c r="C16" s="60">
        <v>45810</v>
      </c>
      <c r="D16" s="60">
        <v>45810</v>
      </c>
      <c r="E16" s="44">
        <v>481508</v>
      </c>
      <c r="F16" s="44" t="s">
        <v>124</v>
      </c>
      <c r="G16" s="44" t="s">
        <v>141</v>
      </c>
      <c r="H16" s="44">
        <v>280511</v>
      </c>
      <c r="I16" s="44">
        <v>1</v>
      </c>
      <c r="J16" s="44">
        <v>7.95</v>
      </c>
      <c r="K16" s="61">
        <v>100.415682</v>
      </c>
      <c r="L16" s="44">
        <v>595</v>
      </c>
      <c r="M16" s="52">
        <v>59747.330534351109</v>
      </c>
      <c r="N16" s="44"/>
      <c r="O16" s="59"/>
      <c r="P16" s="44" t="s">
        <v>125</v>
      </c>
      <c r="Q16" s="52">
        <v>59747.330534351109</v>
      </c>
      <c r="R16" s="70">
        <v>38.1</v>
      </c>
    </row>
    <row r="17" spans="1:18" x14ac:dyDescent="0.25">
      <c r="A17" s="66" t="s">
        <v>82</v>
      </c>
      <c r="B17" s="117" t="s">
        <v>121</v>
      </c>
      <c r="C17" s="60">
        <v>45810</v>
      </c>
      <c r="D17" s="60">
        <v>45810</v>
      </c>
      <c r="E17" s="44">
        <v>481508</v>
      </c>
      <c r="F17" s="44" t="s">
        <v>124</v>
      </c>
      <c r="G17" s="44" t="s">
        <v>141</v>
      </c>
      <c r="H17" s="44">
        <v>280511</v>
      </c>
      <c r="I17" s="44">
        <v>1</v>
      </c>
      <c r="J17" s="44">
        <v>7.95</v>
      </c>
      <c r="K17" s="61">
        <v>100.415682</v>
      </c>
      <c r="L17" s="44">
        <v>3778</v>
      </c>
      <c r="M17" s="52">
        <v>379370.44497273694</v>
      </c>
      <c r="N17" s="44"/>
      <c r="O17" s="59"/>
      <c r="P17" s="44" t="s">
        <v>125</v>
      </c>
      <c r="Q17" s="52">
        <v>379370.44497273694</v>
      </c>
      <c r="R17" s="70">
        <v>-8.48</v>
      </c>
    </row>
    <row r="18" spans="1:18" x14ac:dyDescent="0.25">
      <c r="A18" s="66" t="s">
        <v>82</v>
      </c>
      <c r="B18" s="117" t="s">
        <v>85</v>
      </c>
      <c r="C18" s="60">
        <v>45810</v>
      </c>
      <c r="D18" s="60">
        <v>45811</v>
      </c>
      <c r="E18" s="44">
        <v>481508</v>
      </c>
      <c r="F18" s="44" t="s">
        <v>83</v>
      </c>
      <c r="G18" s="44" t="s">
        <v>141</v>
      </c>
      <c r="H18" s="44">
        <v>280511</v>
      </c>
      <c r="I18" s="44">
        <v>1</v>
      </c>
      <c r="J18" s="44">
        <v>248.71042914875846</v>
      </c>
      <c r="K18" s="61">
        <v>100.437856</v>
      </c>
      <c r="L18" s="44">
        <v>11216</v>
      </c>
      <c r="M18" s="52">
        <v>1126510.9949220582</v>
      </c>
      <c r="N18" s="44"/>
      <c r="O18" s="59"/>
      <c r="P18" s="44" t="s">
        <v>81</v>
      </c>
      <c r="Q18" s="52">
        <v>1126510.9949220582</v>
      </c>
      <c r="R18" s="71">
        <v>1126489.6499999999</v>
      </c>
    </row>
    <row r="19" spans="1:18" x14ac:dyDescent="0.25">
      <c r="A19" s="66" t="s">
        <v>82</v>
      </c>
      <c r="B19" s="117" t="s">
        <v>86</v>
      </c>
      <c r="C19" s="60">
        <v>45810</v>
      </c>
      <c r="D19" s="60">
        <v>45811</v>
      </c>
      <c r="E19" s="44">
        <v>481508</v>
      </c>
      <c r="F19" s="44" t="s">
        <v>83</v>
      </c>
      <c r="G19" s="44" t="s">
        <v>141</v>
      </c>
      <c r="H19" s="44">
        <v>280511</v>
      </c>
      <c r="I19" s="44">
        <v>1</v>
      </c>
      <c r="J19" s="44">
        <v>13.193893129770979</v>
      </c>
      <c r="K19" s="61">
        <v>100.437856</v>
      </c>
      <c r="L19" s="44">
        <v>595</v>
      </c>
      <c r="M19" s="52">
        <v>59760.524427480799</v>
      </c>
      <c r="N19" s="44"/>
      <c r="O19" s="59"/>
      <c r="P19" s="44" t="s">
        <v>81</v>
      </c>
      <c r="Q19" s="52">
        <v>59760.524427480799</v>
      </c>
      <c r="R19" s="71">
        <v>59798.62</v>
      </c>
    </row>
    <row r="20" spans="1:18" x14ac:dyDescent="0.25">
      <c r="A20" s="66" t="s">
        <v>82</v>
      </c>
      <c r="B20" s="117" t="s">
        <v>121</v>
      </c>
      <c r="C20" s="60">
        <v>45810</v>
      </c>
      <c r="D20" s="60">
        <v>45811</v>
      </c>
      <c r="E20" s="44">
        <v>481508</v>
      </c>
      <c r="F20" s="44" t="s">
        <v>83</v>
      </c>
      <c r="G20" s="44" t="s">
        <v>141</v>
      </c>
      <c r="H20" s="44">
        <v>280511</v>
      </c>
      <c r="I20" s="44">
        <v>1</v>
      </c>
      <c r="J20" s="44">
        <v>83.775677721470188</v>
      </c>
      <c r="K20" s="61">
        <v>100.437856</v>
      </c>
      <c r="L20" s="44">
        <v>3778</v>
      </c>
      <c r="M20" s="52">
        <v>379454.22065045789</v>
      </c>
      <c r="N20" s="44"/>
      <c r="O20" s="59"/>
      <c r="P20" s="44" t="s">
        <v>81</v>
      </c>
      <c r="Q20" s="52">
        <v>379454.22065045789</v>
      </c>
      <c r="R20" s="71">
        <v>379445.74</v>
      </c>
    </row>
    <row r="21" spans="1:18" x14ac:dyDescent="0.25">
      <c r="A21" s="66" t="s">
        <v>82</v>
      </c>
      <c r="B21" s="117" t="s">
        <v>85</v>
      </c>
      <c r="C21" s="60">
        <v>45811</v>
      </c>
      <c r="D21" s="60">
        <v>45811</v>
      </c>
      <c r="E21" s="44">
        <v>482862</v>
      </c>
      <c r="F21" s="44" t="s">
        <v>124</v>
      </c>
      <c r="G21" s="44" t="s">
        <v>141</v>
      </c>
      <c r="H21" s="44">
        <v>280907</v>
      </c>
      <c r="I21" s="44">
        <v>1</v>
      </c>
      <c r="J21" s="44">
        <v>7.95</v>
      </c>
      <c r="K21" s="61">
        <v>102.00875000000001</v>
      </c>
      <c r="L21" s="44">
        <v>11043</v>
      </c>
      <c r="M21" s="52">
        <v>1126482.6307466323</v>
      </c>
      <c r="N21" s="44"/>
      <c r="O21" s="59"/>
      <c r="P21" s="44" t="s">
        <v>125</v>
      </c>
      <c r="Q21" s="52">
        <v>1126482.6307466323</v>
      </c>
      <c r="R21" s="70">
        <v>7.02</v>
      </c>
    </row>
    <row r="22" spans="1:18" x14ac:dyDescent="0.25">
      <c r="A22" s="66" t="s">
        <v>82</v>
      </c>
      <c r="B22" s="117" t="s">
        <v>86</v>
      </c>
      <c r="C22" s="60">
        <v>45811</v>
      </c>
      <c r="D22" s="60">
        <v>45811</v>
      </c>
      <c r="E22" s="44">
        <v>482862</v>
      </c>
      <c r="F22" s="44" t="s">
        <v>124</v>
      </c>
      <c r="G22" s="44" t="s">
        <v>141</v>
      </c>
      <c r="H22" s="44">
        <v>280907</v>
      </c>
      <c r="I22" s="44">
        <v>1</v>
      </c>
      <c r="J22" s="44">
        <v>7.95</v>
      </c>
      <c r="K22" s="61">
        <v>102.00875000000001</v>
      </c>
      <c r="L22" s="44">
        <v>586</v>
      </c>
      <c r="M22" s="52">
        <v>59777.127738615098</v>
      </c>
      <c r="N22" s="44"/>
      <c r="O22" s="59"/>
      <c r="P22" s="44" t="s">
        <v>125</v>
      </c>
      <c r="Q22" s="52">
        <v>59777.127738615098</v>
      </c>
      <c r="R22" s="70">
        <v>21.49</v>
      </c>
    </row>
    <row r="23" spans="1:18" x14ac:dyDescent="0.25">
      <c r="A23" s="66" t="s">
        <v>82</v>
      </c>
      <c r="B23" s="117" t="s">
        <v>121</v>
      </c>
      <c r="C23" s="60">
        <v>45811</v>
      </c>
      <c r="D23" s="60">
        <v>45811</v>
      </c>
      <c r="E23" s="44">
        <v>482862</v>
      </c>
      <c r="F23" s="44" t="s">
        <v>124</v>
      </c>
      <c r="G23" s="44" t="s">
        <v>141</v>
      </c>
      <c r="H23" s="44">
        <v>280907</v>
      </c>
      <c r="I23" s="44">
        <v>1</v>
      </c>
      <c r="J23" s="44">
        <v>7.95</v>
      </c>
      <c r="K23" s="61">
        <v>102.00875000000001</v>
      </c>
      <c r="L23" s="44">
        <v>3720</v>
      </c>
      <c r="M23" s="52">
        <v>379472.55151475797</v>
      </c>
      <c r="N23" s="44"/>
      <c r="O23" s="59"/>
      <c r="P23" s="44" t="s">
        <v>125</v>
      </c>
      <c r="Q23" s="52">
        <v>379472.55151475797</v>
      </c>
      <c r="R23" s="70">
        <v>-26.81</v>
      </c>
    </row>
    <row r="24" spans="1:18" x14ac:dyDescent="0.25">
      <c r="A24" s="66" t="s">
        <v>82</v>
      </c>
      <c r="B24" s="117" t="s">
        <v>85</v>
      </c>
      <c r="C24" s="60">
        <v>45811</v>
      </c>
      <c r="D24" s="60">
        <v>45812</v>
      </c>
      <c r="E24" s="44">
        <v>482862</v>
      </c>
      <c r="F24" s="44" t="s">
        <v>83</v>
      </c>
      <c r="G24" s="44" t="s">
        <v>141</v>
      </c>
      <c r="H24" s="44">
        <v>280907</v>
      </c>
      <c r="I24" s="44">
        <v>1</v>
      </c>
      <c r="J24" s="44">
        <v>248.76068017460469</v>
      </c>
      <c r="K24" s="61">
        <v>102.031277</v>
      </c>
      <c r="L24" s="44">
        <v>11043</v>
      </c>
      <c r="M24" s="52">
        <v>1126731.3914268087</v>
      </c>
      <c r="N24" s="44"/>
      <c r="O24" s="59"/>
      <c r="P24" s="44" t="s">
        <v>81</v>
      </c>
      <c r="Q24" s="52">
        <v>1126731.3914268087</v>
      </c>
      <c r="R24" s="71">
        <v>1126738.4099999999</v>
      </c>
    </row>
    <row r="25" spans="1:18" x14ac:dyDescent="0.25">
      <c r="A25" s="66" t="s">
        <v>82</v>
      </c>
      <c r="B25" s="117" t="s">
        <v>86</v>
      </c>
      <c r="C25" s="60">
        <v>45811</v>
      </c>
      <c r="D25" s="60">
        <v>45812</v>
      </c>
      <c r="E25" s="44">
        <v>482862</v>
      </c>
      <c r="F25" s="44" t="s">
        <v>83</v>
      </c>
      <c r="G25" s="44" t="s">
        <v>141</v>
      </c>
      <c r="H25" s="44">
        <v>280907</v>
      </c>
      <c r="I25" s="44">
        <v>1</v>
      </c>
      <c r="J25" s="44">
        <v>13.200557691054819</v>
      </c>
      <c r="K25" s="61">
        <v>102.031277</v>
      </c>
      <c r="L25" s="44">
        <v>586</v>
      </c>
      <c r="M25" s="52">
        <v>59790.328296306237</v>
      </c>
      <c r="N25" s="44"/>
      <c r="O25" s="59"/>
      <c r="P25" s="44" t="s">
        <v>81</v>
      </c>
      <c r="Q25" s="52">
        <v>59790.328296306237</v>
      </c>
      <c r="R25" s="71">
        <v>59811.82</v>
      </c>
    </row>
    <row r="26" spans="1:18" x14ac:dyDescent="0.25">
      <c r="A26" s="66" t="s">
        <v>82</v>
      </c>
      <c r="B26" s="117" t="s">
        <v>121</v>
      </c>
      <c r="C26" s="60">
        <v>45811</v>
      </c>
      <c r="D26" s="60">
        <v>45812</v>
      </c>
      <c r="E26" s="44">
        <v>482862</v>
      </c>
      <c r="F26" s="44" t="s">
        <v>83</v>
      </c>
      <c r="G26" s="44" t="s">
        <v>141</v>
      </c>
      <c r="H26" s="44">
        <v>280907</v>
      </c>
      <c r="I26" s="44">
        <v>1</v>
      </c>
      <c r="J26" s="44">
        <v>83.798762134341175</v>
      </c>
      <c r="K26" s="61">
        <v>102.031277</v>
      </c>
      <c r="L26" s="44">
        <v>3720</v>
      </c>
      <c r="M26" s="52">
        <v>379556.35027689289</v>
      </c>
      <c r="N26" s="44"/>
      <c r="O26" s="59"/>
      <c r="P26" s="44" t="s">
        <v>81</v>
      </c>
      <c r="Q26" s="52">
        <v>379556.35027689289</v>
      </c>
      <c r="R26" s="71">
        <v>379529.54</v>
      </c>
    </row>
    <row r="27" spans="1:18" x14ac:dyDescent="0.25">
      <c r="A27" s="66" t="s">
        <v>82</v>
      </c>
      <c r="B27" s="117" t="s">
        <v>85</v>
      </c>
      <c r="C27" s="60">
        <v>45812</v>
      </c>
      <c r="D27" s="60">
        <v>45812</v>
      </c>
      <c r="E27" s="44">
        <v>484289</v>
      </c>
      <c r="F27" s="44" t="s">
        <v>124</v>
      </c>
      <c r="G27" s="44" t="s">
        <v>141</v>
      </c>
      <c r="H27" s="44">
        <v>280907</v>
      </c>
      <c r="I27" s="44">
        <v>1</v>
      </c>
      <c r="J27" s="44">
        <v>7.95</v>
      </c>
      <c r="K27" s="61">
        <v>102.033858</v>
      </c>
      <c r="L27" s="44">
        <v>11043</v>
      </c>
      <c r="M27" s="52">
        <v>1126759.8920347895</v>
      </c>
      <c r="N27" s="44"/>
      <c r="O27" s="59"/>
      <c r="P27" s="44" t="s">
        <v>125</v>
      </c>
      <c r="Q27" s="52">
        <v>1126759.8920347895</v>
      </c>
      <c r="R27" s="70">
        <v>-21.48</v>
      </c>
    </row>
    <row r="28" spans="1:18" x14ac:dyDescent="0.25">
      <c r="A28" s="66" t="s">
        <v>82</v>
      </c>
      <c r="B28" s="117" t="s">
        <v>86</v>
      </c>
      <c r="C28" s="60">
        <v>45812</v>
      </c>
      <c r="D28" s="60">
        <v>45812</v>
      </c>
      <c r="E28" s="44">
        <v>484289</v>
      </c>
      <c r="F28" s="44" t="s">
        <v>124</v>
      </c>
      <c r="G28" s="44" t="s">
        <v>141</v>
      </c>
      <c r="H28" s="44">
        <v>280907</v>
      </c>
      <c r="I28" s="44">
        <v>1</v>
      </c>
      <c r="J28" s="44">
        <v>7.95</v>
      </c>
      <c r="K28" s="61">
        <v>102.033858</v>
      </c>
      <c r="L28" s="44">
        <v>586</v>
      </c>
      <c r="M28" s="52">
        <v>59791.840689340454</v>
      </c>
      <c r="N28" s="44"/>
      <c r="O28" s="59"/>
      <c r="P28" s="44" t="s">
        <v>125</v>
      </c>
      <c r="Q28" s="52">
        <v>59791.840689340454</v>
      </c>
      <c r="R28" s="70">
        <v>19.98</v>
      </c>
    </row>
    <row r="29" spans="1:18" x14ac:dyDescent="0.25">
      <c r="A29" s="66" t="s">
        <v>82</v>
      </c>
      <c r="B29" s="117" t="s">
        <v>121</v>
      </c>
      <c r="C29" s="60">
        <v>45812</v>
      </c>
      <c r="D29" s="60">
        <v>45812</v>
      </c>
      <c r="E29" s="44">
        <v>484289</v>
      </c>
      <c r="F29" s="44" t="s">
        <v>124</v>
      </c>
      <c r="G29" s="44" t="s">
        <v>141</v>
      </c>
      <c r="H29" s="44">
        <v>280907</v>
      </c>
      <c r="I29" s="44">
        <v>1</v>
      </c>
      <c r="J29" s="44">
        <v>7.95</v>
      </c>
      <c r="K29" s="61">
        <v>102.033858</v>
      </c>
      <c r="L29" s="44">
        <v>3719</v>
      </c>
      <c r="M29" s="52">
        <v>379463.91727586545</v>
      </c>
      <c r="N29" s="44"/>
      <c r="O29" s="59"/>
      <c r="P29" s="44" t="s">
        <v>125</v>
      </c>
      <c r="Q29" s="52">
        <v>379463.91727586545</v>
      </c>
      <c r="R29" s="70">
        <v>65.62</v>
      </c>
    </row>
    <row r="30" spans="1:18" x14ac:dyDescent="0.25">
      <c r="A30" s="66" t="s">
        <v>82</v>
      </c>
      <c r="B30" s="117" t="s">
        <v>85</v>
      </c>
      <c r="C30" s="60">
        <v>45812</v>
      </c>
      <c r="D30" s="60">
        <v>45813</v>
      </c>
      <c r="E30" s="44">
        <v>484289</v>
      </c>
      <c r="F30" s="44" t="s">
        <v>83</v>
      </c>
      <c r="G30" s="44" t="s">
        <v>141</v>
      </c>
      <c r="H30" s="44">
        <v>280907</v>
      </c>
      <c r="I30" s="44">
        <v>1</v>
      </c>
      <c r="J30" s="44">
        <v>248.82005863956167</v>
      </c>
      <c r="K30" s="61">
        <v>102.05638999999999</v>
      </c>
      <c r="L30" s="44">
        <v>11043</v>
      </c>
      <c r="M30" s="52">
        <v>1127008.7120934308</v>
      </c>
      <c r="N30" s="44"/>
      <c r="O30" s="59"/>
      <c r="P30" s="44" t="s">
        <v>81</v>
      </c>
      <c r="Q30" s="52">
        <v>1127008.7120934308</v>
      </c>
      <c r="R30" s="71">
        <v>1126987.23</v>
      </c>
    </row>
    <row r="31" spans="1:18" x14ac:dyDescent="0.25">
      <c r="A31" s="66" t="s">
        <v>82</v>
      </c>
      <c r="B31" s="117" t="s">
        <v>86</v>
      </c>
      <c r="C31" s="60">
        <v>45812</v>
      </c>
      <c r="D31" s="60">
        <v>45813</v>
      </c>
      <c r="E31" s="44">
        <v>484289</v>
      </c>
      <c r="F31" s="44" t="s">
        <v>83</v>
      </c>
      <c r="G31" s="44" t="s">
        <v>141</v>
      </c>
      <c r="H31" s="44">
        <v>280907</v>
      </c>
      <c r="I31" s="44">
        <v>1</v>
      </c>
      <c r="J31" s="44">
        <v>13.203708626531119</v>
      </c>
      <c r="K31" s="61">
        <v>102.05638999999999</v>
      </c>
      <c r="L31" s="44">
        <v>586</v>
      </c>
      <c r="M31" s="52">
        <v>59805.044397967082</v>
      </c>
      <c r="N31" s="44"/>
      <c r="O31" s="59"/>
      <c r="P31" s="44" t="s">
        <v>81</v>
      </c>
      <c r="Q31" s="52">
        <v>59805.044397967082</v>
      </c>
      <c r="R31" s="71">
        <v>59825.02</v>
      </c>
    </row>
    <row r="32" spans="1:18" x14ac:dyDescent="0.25">
      <c r="A32" s="66" t="s">
        <v>82</v>
      </c>
      <c r="B32" s="117" t="s">
        <v>121</v>
      </c>
      <c r="C32" s="60">
        <v>45812</v>
      </c>
      <c r="D32" s="60">
        <v>45813</v>
      </c>
      <c r="E32" s="44">
        <v>484289</v>
      </c>
      <c r="F32" s="44" t="s">
        <v>83</v>
      </c>
      <c r="G32" s="44" t="s">
        <v>141</v>
      </c>
      <c r="H32" s="44">
        <v>280907</v>
      </c>
      <c r="I32" s="44">
        <v>1</v>
      </c>
      <c r="J32" s="44">
        <v>83.796232733906535</v>
      </c>
      <c r="K32" s="61">
        <v>102.05638999999999</v>
      </c>
      <c r="L32" s="44">
        <v>3719</v>
      </c>
      <c r="M32" s="52">
        <v>379547.71350859996</v>
      </c>
      <c r="N32" s="44"/>
      <c r="O32" s="59"/>
      <c r="P32" s="44" t="s">
        <v>81</v>
      </c>
      <c r="Q32" s="52">
        <v>379547.71350859996</v>
      </c>
      <c r="R32" s="71">
        <v>379613.33</v>
      </c>
    </row>
    <row r="33" spans="1:18" x14ac:dyDescent="0.25">
      <c r="A33" s="66" t="s">
        <v>82</v>
      </c>
      <c r="B33" s="117" t="s">
        <v>85</v>
      </c>
      <c r="C33" s="60">
        <v>45813</v>
      </c>
      <c r="D33" s="60">
        <v>45813</v>
      </c>
      <c r="E33" s="44">
        <v>485624</v>
      </c>
      <c r="F33" s="44" t="s">
        <v>124</v>
      </c>
      <c r="G33" s="44" t="s">
        <v>141</v>
      </c>
      <c r="H33" s="44">
        <v>280511</v>
      </c>
      <c r="I33" s="44">
        <v>1</v>
      </c>
      <c r="J33" s="44">
        <v>7.95</v>
      </c>
      <c r="K33" s="61">
        <v>100.470857</v>
      </c>
      <c r="L33" s="44">
        <v>11217</v>
      </c>
      <c r="M33" s="52">
        <v>1126981.6025157098</v>
      </c>
      <c r="N33" s="44"/>
      <c r="O33" s="59"/>
      <c r="P33" s="44" t="s">
        <v>125</v>
      </c>
      <c r="Q33" s="52">
        <v>1126981.6025157098</v>
      </c>
      <c r="R33" s="70">
        <v>5.63</v>
      </c>
    </row>
    <row r="34" spans="1:18" x14ac:dyDescent="0.25">
      <c r="A34" s="66" t="s">
        <v>82</v>
      </c>
      <c r="B34" s="117" t="s">
        <v>86</v>
      </c>
      <c r="C34" s="60">
        <v>45813</v>
      </c>
      <c r="D34" s="60">
        <v>45813</v>
      </c>
      <c r="E34" s="44">
        <v>485624</v>
      </c>
      <c r="F34" s="44" t="s">
        <v>124</v>
      </c>
      <c r="G34" s="44" t="s">
        <v>141</v>
      </c>
      <c r="H34" s="44">
        <v>280511</v>
      </c>
      <c r="I34" s="44">
        <v>1</v>
      </c>
      <c r="J34" s="44">
        <v>7.95</v>
      </c>
      <c r="K34" s="61">
        <v>100.470857</v>
      </c>
      <c r="L34" s="44">
        <v>595</v>
      </c>
      <c r="M34" s="52">
        <v>59780.15989095546</v>
      </c>
      <c r="N34" s="44"/>
      <c r="O34" s="59"/>
      <c r="P34" s="44" t="s">
        <v>125</v>
      </c>
      <c r="Q34" s="52">
        <v>59780.15989095546</v>
      </c>
      <c r="R34" s="70">
        <v>44.86</v>
      </c>
    </row>
    <row r="35" spans="1:18" x14ac:dyDescent="0.25">
      <c r="A35" s="66" t="s">
        <v>82</v>
      </c>
      <c r="B35" s="117" t="s">
        <v>121</v>
      </c>
      <c r="C35" s="60">
        <v>45813</v>
      </c>
      <c r="D35" s="60">
        <v>45813</v>
      </c>
      <c r="E35" s="44">
        <v>485624</v>
      </c>
      <c r="F35" s="44" t="s">
        <v>124</v>
      </c>
      <c r="G35" s="44" t="s">
        <v>141</v>
      </c>
      <c r="H35" s="44">
        <v>280511</v>
      </c>
      <c r="I35" s="44">
        <v>1</v>
      </c>
      <c r="J35" s="44">
        <v>7.95</v>
      </c>
      <c r="K35" s="61">
        <v>100.470857</v>
      </c>
      <c r="L35" s="44">
        <v>3778</v>
      </c>
      <c r="M35" s="52">
        <v>379578.89759332722</v>
      </c>
      <c r="N35" s="44"/>
      <c r="O35" s="59"/>
      <c r="P35" s="44" t="s">
        <v>125</v>
      </c>
      <c r="Q35" s="52">
        <v>379578.89759332722</v>
      </c>
      <c r="R35" s="70">
        <v>34.43</v>
      </c>
    </row>
    <row r="36" spans="1:18" x14ac:dyDescent="0.25">
      <c r="A36" s="66" t="s">
        <v>82</v>
      </c>
      <c r="B36" s="117" t="s">
        <v>85</v>
      </c>
      <c r="C36" s="60">
        <v>45813</v>
      </c>
      <c r="D36" s="60">
        <v>45814</v>
      </c>
      <c r="E36" s="44">
        <v>485624</v>
      </c>
      <c r="F36" s="44" t="s">
        <v>83</v>
      </c>
      <c r="G36" s="44" t="s">
        <v>141</v>
      </c>
      <c r="H36" s="44">
        <v>280511</v>
      </c>
      <c r="I36" s="44">
        <v>1</v>
      </c>
      <c r="J36" s="44">
        <v>248.87493906350193</v>
      </c>
      <c r="K36" s="61">
        <v>100.493044</v>
      </c>
      <c r="L36" s="44">
        <v>11217</v>
      </c>
      <c r="M36" s="52">
        <v>1127230.4774547734</v>
      </c>
      <c r="N36" s="44"/>
      <c r="O36" s="59"/>
      <c r="P36" s="44" t="s">
        <v>81</v>
      </c>
      <c r="Q36" s="52">
        <v>1127230.4774547734</v>
      </c>
      <c r="R36" s="71">
        <v>1127236.1100000001</v>
      </c>
    </row>
    <row r="37" spans="1:18" x14ac:dyDescent="0.25">
      <c r="A37" s="66" t="s">
        <v>82</v>
      </c>
      <c r="B37" s="117" t="s">
        <v>86</v>
      </c>
      <c r="C37" s="60">
        <v>45813</v>
      </c>
      <c r="D37" s="60">
        <v>45814</v>
      </c>
      <c r="E37" s="44">
        <v>485624</v>
      </c>
      <c r="F37" s="44" t="s">
        <v>83</v>
      </c>
      <c r="G37" s="44" t="s">
        <v>141</v>
      </c>
      <c r="H37" s="44">
        <v>280511</v>
      </c>
      <c r="I37" s="44">
        <v>1</v>
      </c>
      <c r="J37" s="44">
        <v>13.201443232841548</v>
      </c>
      <c r="K37" s="61">
        <v>100.493044</v>
      </c>
      <c r="L37" s="44">
        <v>595</v>
      </c>
      <c r="M37" s="52">
        <v>59793.361334188303</v>
      </c>
      <c r="N37" s="44"/>
      <c r="O37" s="59"/>
      <c r="P37" s="44" t="s">
        <v>81</v>
      </c>
      <c r="Q37" s="52">
        <v>59793.361334188303</v>
      </c>
      <c r="R37" s="71">
        <v>59838.22</v>
      </c>
    </row>
    <row r="38" spans="1:18" x14ac:dyDescent="0.25">
      <c r="A38" s="66" t="s">
        <v>82</v>
      </c>
      <c r="B38" s="117" t="s">
        <v>121</v>
      </c>
      <c r="C38" s="60">
        <v>45813</v>
      </c>
      <c r="D38" s="60">
        <v>45814</v>
      </c>
      <c r="E38" s="44">
        <v>485624</v>
      </c>
      <c r="F38" s="44" t="s">
        <v>83</v>
      </c>
      <c r="G38" s="44" t="s">
        <v>141</v>
      </c>
      <c r="H38" s="44">
        <v>280511</v>
      </c>
      <c r="I38" s="44">
        <v>1</v>
      </c>
      <c r="J38" s="44">
        <v>83.823617703656083</v>
      </c>
      <c r="K38" s="61">
        <v>100.493044</v>
      </c>
      <c r="L38" s="44">
        <v>3778</v>
      </c>
      <c r="M38" s="52">
        <v>379662.7212110309</v>
      </c>
      <c r="N38" s="44"/>
      <c r="O38" s="59"/>
      <c r="P38" s="44" t="s">
        <v>81</v>
      </c>
      <c r="Q38" s="52">
        <v>379662.7212110309</v>
      </c>
      <c r="R38" s="71">
        <v>379697.15</v>
      </c>
    </row>
    <row r="39" spans="1:18" x14ac:dyDescent="0.25">
      <c r="A39" s="66" t="s">
        <v>82</v>
      </c>
      <c r="B39" s="117" t="s">
        <v>85</v>
      </c>
      <c r="C39" s="60">
        <v>45814</v>
      </c>
      <c r="D39" s="60">
        <v>45814</v>
      </c>
      <c r="E39" s="44">
        <v>487040</v>
      </c>
      <c r="F39" s="44" t="s">
        <v>124</v>
      </c>
      <c r="G39" s="44" t="s">
        <v>141</v>
      </c>
      <c r="H39" s="44">
        <v>280511</v>
      </c>
      <c r="I39" s="44">
        <v>3</v>
      </c>
      <c r="J39" s="44">
        <v>7.95</v>
      </c>
      <c r="K39" s="61">
        <v>100.46384500000001</v>
      </c>
      <c r="L39" s="44">
        <v>11220</v>
      </c>
      <c r="M39" s="52">
        <v>1127204.3389034909</v>
      </c>
      <c r="N39" s="44"/>
      <c r="O39" s="59"/>
      <c r="P39" s="44" t="s">
        <v>125</v>
      </c>
      <c r="Q39" s="52">
        <v>1127204.3389034909</v>
      </c>
      <c r="R39" s="70">
        <v>31.77</v>
      </c>
    </row>
    <row r="40" spans="1:18" x14ac:dyDescent="0.25">
      <c r="A40" s="66" t="s">
        <v>82</v>
      </c>
      <c r="B40" s="117" t="s">
        <v>86</v>
      </c>
      <c r="C40" s="60">
        <v>45814</v>
      </c>
      <c r="D40" s="60">
        <v>45814</v>
      </c>
      <c r="E40" s="44">
        <v>487040</v>
      </c>
      <c r="F40" s="44" t="s">
        <v>124</v>
      </c>
      <c r="G40" s="44" t="s">
        <v>141</v>
      </c>
      <c r="H40" s="44">
        <v>280511</v>
      </c>
      <c r="I40" s="44">
        <v>3</v>
      </c>
      <c r="J40" s="44">
        <v>7.95</v>
      </c>
      <c r="K40" s="61">
        <v>100.46384500000001</v>
      </c>
      <c r="L40" s="44">
        <v>596</v>
      </c>
      <c r="M40" s="52">
        <v>59876.451513946566</v>
      </c>
      <c r="N40" s="44"/>
      <c r="O40" s="59"/>
      <c r="P40" s="44" t="s">
        <v>125</v>
      </c>
      <c r="Q40" s="52">
        <v>59876.451513946566</v>
      </c>
      <c r="R40" s="70">
        <v>-38.229999999999997</v>
      </c>
    </row>
    <row r="41" spans="1:18" x14ac:dyDescent="0.25">
      <c r="A41" s="66" t="s">
        <v>82</v>
      </c>
      <c r="B41" s="117" t="s">
        <v>121</v>
      </c>
      <c r="C41" s="60">
        <v>45814</v>
      </c>
      <c r="D41" s="60">
        <v>45814</v>
      </c>
      <c r="E41" s="44">
        <v>487040</v>
      </c>
      <c r="F41" s="44" t="s">
        <v>124</v>
      </c>
      <c r="G41" s="44" t="s">
        <v>141</v>
      </c>
      <c r="H41" s="44">
        <v>280511</v>
      </c>
      <c r="I41" s="44">
        <v>3</v>
      </c>
      <c r="J41" s="44">
        <v>7.95</v>
      </c>
      <c r="K41" s="61">
        <v>100.46384500000001</v>
      </c>
      <c r="L41" s="44">
        <v>3779</v>
      </c>
      <c r="M41" s="52">
        <v>379652.86958255718</v>
      </c>
      <c r="N41" s="44"/>
      <c r="O41" s="59"/>
      <c r="P41" s="44" t="s">
        <v>125</v>
      </c>
      <c r="Q41" s="52">
        <v>379652.86958255718</v>
      </c>
      <c r="R41" s="70">
        <v>44.28</v>
      </c>
    </row>
    <row r="42" spans="1:18" x14ac:dyDescent="0.25">
      <c r="A42" s="66" t="s">
        <v>82</v>
      </c>
      <c r="B42" s="117" t="s">
        <v>85</v>
      </c>
      <c r="C42" s="60">
        <v>45814</v>
      </c>
      <c r="D42" s="60">
        <v>45817</v>
      </c>
      <c r="E42" s="44">
        <v>487040</v>
      </c>
      <c r="F42" s="44" t="s">
        <v>83</v>
      </c>
      <c r="G42" s="44" t="s">
        <v>141</v>
      </c>
      <c r="H42" s="44">
        <v>280511</v>
      </c>
      <c r="I42" s="44">
        <v>3</v>
      </c>
      <c r="J42" s="52">
        <v>746.77211926899611</v>
      </c>
      <c r="K42" s="61">
        <v>100.530402</v>
      </c>
      <c r="L42" s="44">
        <v>11220</v>
      </c>
      <c r="M42" s="52">
        <v>1127951.1110227667</v>
      </c>
      <c r="N42" s="44"/>
      <c r="O42" s="59"/>
      <c r="P42" s="44" t="s">
        <v>81</v>
      </c>
      <c r="Q42" s="52">
        <v>1127951.1110227667</v>
      </c>
      <c r="R42" s="71">
        <v>1127982.8799999999</v>
      </c>
    </row>
    <row r="43" spans="1:18" x14ac:dyDescent="0.25">
      <c r="A43" s="66" t="s">
        <v>82</v>
      </c>
      <c r="B43" s="117" t="s">
        <v>86</v>
      </c>
      <c r="C43" s="60">
        <v>45814</v>
      </c>
      <c r="D43" s="60">
        <v>45817</v>
      </c>
      <c r="E43" s="44">
        <v>487040</v>
      </c>
      <c r="F43" s="44" t="s">
        <v>83</v>
      </c>
      <c r="G43" s="44" t="s">
        <v>141</v>
      </c>
      <c r="H43" s="44">
        <v>280511</v>
      </c>
      <c r="I43" s="44">
        <v>3</v>
      </c>
      <c r="J43" s="52">
        <v>39.668109009297829</v>
      </c>
      <c r="K43" s="61">
        <v>100.530402</v>
      </c>
      <c r="L43" s="44">
        <v>596</v>
      </c>
      <c r="M43" s="52">
        <v>59916.119622956241</v>
      </c>
      <c r="N43" s="44"/>
      <c r="O43" s="59"/>
      <c r="P43" s="44" t="s">
        <v>81</v>
      </c>
      <c r="Q43" s="52">
        <v>59916.119622956241</v>
      </c>
      <c r="R43" s="71">
        <v>59877.89</v>
      </c>
    </row>
    <row r="44" spans="1:18" x14ac:dyDescent="0.25">
      <c r="A44" s="66" t="s">
        <v>82</v>
      </c>
      <c r="B44" s="117" t="s">
        <v>121</v>
      </c>
      <c r="C44" s="60">
        <v>45814</v>
      </c>
      <c r="D44" s="60">
        <v>45817</v>
      </c>
      <c r="E44" s="44">
        <v>487040</v>
      </c>
      <c r="F44" s="44" t="s">
        <v>83</v>
      </c>
      <c r="G44" s="44" t="s">
        <v>141</v>
      </c>
      <c r="H44" s="44">
        <v>280511</v>
      </c>
      <c r="I44" s="44">
        <v>3</v>
      </c>
      <c r="J44" s="52">
        <v>251.51977172170552</v>
      </c>
      <c r="K44" s="61">
        <v>100.530402</v>
      </c>
      <c r="L44" s="44">
        <v>3779</v>
      </c>
      <c r="M44" s="52">
        <v>379904.3893542813</v>
      </c>
      <c r="N44" s="44"/>
      <c r="O44" s="59"/>
      <c r="P44" s="44" t="s">
        <v>81</v>
      </c>
      <c r="Q44" s="52">
        <v>379904.3893542813</v>
      </c>
      <c r="R44" s="71">
        <v>379948.67</v>
      </c>
    </row>
    <row r="45" spans="1:18" x14ac:dyDescent="0.25">
      <c r="A45" s="66" t="s">
        <v>82</v>
      </c>
      <c r="B45" s="117" t="s">
        <v>85</v>
      </c>
      <c r="C45" s="60">
        <v>45817</v>
      </c>
      <c r="D45" s="60">
        <v>45817</v>
      </c>
      <c r="E45" s="44">
        <v>488341</v>
      </c>
      <c r="F45" s="44" t="s">
        <v>124</v>
      </c>
      <c r="G45" s="44" t="s">
        <v>141</v>
      </c>
      <c r="H45" s="44">
        <v>280511</v>
      </c>
      <c r="I45" s="44">
        <v>1</v>
      </c>
      <c r="J45" s="44">
        <v>7.95</v>
      </c>
      <c r="K45" s="61">
        <v>100.538247</v>
      </c>
      <c r="L45" s="44">
        <v>11219</v>
      </c>
      <c r="M45" s="52">
        <v>1127938.5976125405</v>
      </c>
      <c r="N45" s="44"/>
      <c r="O45" s="59"/>
      <c r="P45" s="44" t="s">
        <v>125</v>
      </c>
      <c r="Q45" s="52">
        <v>1127938.5976125405</v>
      </c>
      <c r="R45" s="70">
        <v>44.28</v>
      </c>
    </row>
    <row r="46" spans="1:18" x14ac:dyDescent="0.25">
      <c r="A46" s="66" t="s">
        <v>82</v>
      </c>
      <c r="B46" s="117" t="s">
        <v>86</v>
      </c>
      <c r="C46" s="60">
        <v>45817</v>
      </c>
      <c r="D46" s="60">
        <v>45817</v>
      </c>
      <c r="E46" s="44">
        <v>488341</v>
      </c>
      <c r="F46" s="44" t="s">
        <v>124</v>
      </c>
      <c r="G46" s="44" t="s">
        <v>141</v>
      </c>
      <c r="H46" s="44">
        <v>280511</v>
      </c>
      <c r="I46" s="44">
        <v>1</v>
      </c>
      <c r="J46" s="44">
        <v>7.95</v>
      </c>
      <c r="K46" s="61">
        <v>100.538247</v>
      </c>
      <c r="L46" s="44">
        <v>596</v>
      </c>
      <c r="M46" s="52">
        <v>59920.795452096812</v>
      </c>
      <c r="N46" s="44"/>
      <c r="O46" s="59"/>
      <c r="P46" s="44" t="s">
        <v>125</v>
      </c>
      <c r="Q46" s="52">
        <v>59920.795452096812</v>
      </c>
      <c r="R46" s="70">
        <v>-42.91</v>
      </c>
    </row>
    <row r="47" spans="1:18" x14ac:dyDescent="0.25">
      <c r="A47" s="66" t="s">
        <v>82</v>
      </c>
      <c r="B47" s="117" t="s">
        <v>121</v>
      </c>
      <c r="C47" s="60">
        <v>45817</v>
      </c>
      <c r="D47" s="60">
        <v>45817</v>
      </c>
      <c r="E47" s="44">
        <v>488341</v>
      </c>
      <c r="F47" s="44" t="s">
        <v>124</v>
      </c>
      <c r="G47" s="44" t="s">
        <v>141</v>
      </c>
      <c r="H47" s="44">
        <v>280511</v>
      </c>
      <c r="I47" s="44">
        <v>1</v>
      </c>
      <c r="J47" s="44">
        <v>7.95</v>
      </c>
      <c r="K47" s="61">
        <v>100.538247</v>
      </c>
      <c r="L47" s="44">
        <v>3779</v>
      </c>
      <c r="M47" s="52">
        <v>379934.03693535877</v>
      </c>
      <c r="N47" s="44"/>
      <c r="O47" s="59"/>
      <c r="P47" s="44" t="s">
        <v>125</v>
      </c>
      <c r="Q47" s="52">
        <v>379934.03693535877</v>
      </c>
      <c r="R47" s="70">
        <v>14.63</v>
      </c>
    </row>
    <row r="48" spans="1:18" x14ac:dyDescent="0.25">
      <c r="A48" s="66" t="s">
        <v>82</v>
      </c>
      <c r="B48" s="117" t="s">
        <v>85</v>
      </c>
      <c r="C48" s="60">
        <v>45817</v>
      </c>
      <c r="D48" s="60">
        <v>45818</v>
      </c>
      <c r="E48" s="44">
        <v>488341</v>
      </c>
      <c r="F48" s="44" t="s">
        <v>83</v>
      </c>
      <c r="G48" s="44" t="s">
        <v>141</v>
      </c>
      <c r="H48" s="44">
        <v>280511</v>
      </c>
      <c r="I48" s="44">
        <v>1</v>
      </c>
      <c r="J48" s="44">
        <v>249.08568552007199</v>
      </c>
      <c r="K48" s="61">
        <v>100.56045</v>
      </c>
      <c r="L48" s="44">
        <v>11219</v>
      </c>
      <c r="M48" s="52">
        <v>1128187.6832980609</v>
      </c>
      <c r="N48" s="44"/>
      <c r="O48" s="59"/>
      <c r="P48" s="44" t="s">
        <v>81</v>
      </c>
      <c r="Q48" s="52">
        <v>1128187.6832980609</v>
      </c>
      <c r="R48" s="71">
        <v>1128231.96</v>
      </c>
    </row>
    <row r="49" spans="1:18" x14ac:dyDescent="0.25">
      <c r="A49" s="66" t="s">
        <v>82</v>
      </c>
      <c r="B49" s="117" t="s">
        <v>86</v>
      </c>
      <c r="C49" s="60">
        <v>45817</v>
      </c>
      <c r="D49" s="60">
        <v>45818</v>
      </c>
      <c r="E49" s="44">
        <v>488341</v>
      </c>
      <c r="F49" s="44" t="s">
        <v>83</v>
      </c>
      <c r="G49" s="44" t="s">
        <v>141</v>
      </c>
      <c r="H49" s="44">
        <v>280511</v>
      </c>
      <c r="I49" s="44">
        <v>1</v>
      </c>
      <c r="J49" s="44">
        <v>13.232468898294226</v>
      </c>
      <c r="K49" s="61">
        <v>100.56045</v>
      </c>
      <c r="L49" s="44">
        <v>596</v>
      </c>
      <c r="M49" s="52">
        <v>59934.027920995119</v>
      </c>
      <c r="N49" s="44"/>
      <c r="O49" s="59"/>
      <c r="P49" s="44" t="s">
        <v>81</v>
      </c>
      <c r="Q49" s="52">
        <v>59934.027920995119</v>
      </c>
      <c r="R49" s="71">
        <v>59891.12</v>
      </c>
    </row>
    <row r="50" spans="1:18" x14ac:dyDescent="0.25">
      <c r="A50" s="66" t="s">
        <v>82</v>
      </c>
      <c r="B50" s="117" t="s">
        <v>121</v>
      </c>
      <c r="C50" s="60">
        <v>45817</v>
      </c>
      <c r="D50" s="60">
        <v>45818</v>
      </c>
      <c r="E50" s="44">
        <v>488341</v>
      </c>
      <c r="F50" s="44" t="s">
        <v>83</v>
      </c>
      <c r="G50" s="44" t="s">
        <v>141</v>
      </c>
      <c r="H50" s="44">
        <v>280511</v>
      </c>
      <c r="I50" s="44">
        <v>1</v>
      </c>
      <c r="J50" s="44">
        <v>83.901845581634021</v>
      </c>
      <c r="K50" s="61">
        <v>100.56045</v>
      </c>
      <c r="L50" s="44">
        <v>3779</v>
      </c>
      <c r="M50" s="52">
        <v>380017.93878094049</v>
      </c>
      <c r="N50" s="44"/>
      <c r="O50" s="59"/>
      <c r="P50" s="44" t="s">
        <v>81</v>
      </c>
      <c r="Q50" s="52">
        <v>380017.93878094049</v>
      </c>
      <c r="R50" s="71">
        <v>380032.57</v>
      </c>
    </row>
    <row r="51" spans="1:18" x14ac:dyDescent="0.25">
      <c r="A51" s="66" t="s">
        <v>82</v>
      </c>
      <c r="B51" s="117" t="s">
        <v>85</v>
      </c>
      <c r="C51" s="60">
        <v>45818</v>
      </c>
      <c r="D51" s="60">
        <v>45818</v>
      </c>
      <c r="E51" s="44">
        <v>489704</v>
      </c>
      <c r="F51" s="44" t="s">
        <v>124</v>
      </c>
      <c r="G51" s="44" t="s">
        <v>141</v>
      </c>
      <c r="H51" s="44">
        <v>280511</v>
      </c>
      <c r="I51" s="44">
        <v>1</v>
      </c>
      <c r="J51" s="44">
        <v>7.95</v>
      </c>
      <c r="K51" s="61">
        <v>100.56357199999999</v>
      </c>
      <c r="L51" s="44">
        <v>11493</v>
      </c>
      <c r="M51" s="52">
        <v>1155777.1315370211</v>
      </c>
      <c r="N51" s="44"/>
      <c r="O51" s="59"/>
      <c r="P51" s="44" t="s">
        <v>125</v>
      </c>
      <c r="Q51" s="52">
        <v>1155777.1315370211</v>
      </c>
      <c r="R51" s="71">
        <v>-27545.17</v>
      </c>
    </row>
    <row r="52" spans="1:18" x14ac:dyDescent="0.25">
      <c r="A52" s="66" t="s">
        <v>82</v>
      </c>
      <c r="B52" s="117" t="s">
        <v>86</v>
      </c>
      <c r="C52" s="60">
        <v>45818</v>
      </c>
      <c r="D52" s="60">
        <v>45818</v>
      </c>
      <c r="E52" s="44">
        <v>489704</v>
      </c>
      <c r="F52" s="44" t="s">
        <v>124</v>
      </c>
      <c r="G52" s="44" t="s">
        <v>141</v>
      </c>
      <c r="H52" s="44">
        <v>280511</v>
      </c>
      <c r="I52" s="44">
        <v>1</v>
      </c>
      <c r="J52" s="44">
        <v>7.95</v>
      </c>
      <c r="K52" s="61">
        <v>100.56357199999999</v>
      </c>
      <c r="L52" s="44">
        <v>596</v>
      </c>
      <c r="M52" s="52">
        <v>59935.888836340782</v>
      </c>
      <c r="N52" s="44"/>
      <c r="O52" s="59"/>
      <c r="P52" s="44" t="s">
        <v>125</v>
      </c>
      <c r="Q52" s="52">
        <v>59935.888836340782</v>
      </c>
      <c r="R52" s="71">
        <v>-44.79</v>
      </c>
    </row>
    <row r="53" spans="1:18" x14ac:dyDescent="0.25">
      <c r="A53" s="66" t="s">
        <v>82</v>
      </c>
      <c r="B53" s="117" t="s">
        <v>121</v>
      </c>
      <c r="C53" s="60">
        <v>45818</v>
      </c>
      <c r="D53" s="60">
        <v>45818</v>
      </c>
      <c r="E53" s="44">
        <v>489704</v>
      </c>
      <c r="F53" s="44" t="s">
        <v>124</v>
      </c>
      <c r="G53" s="44" t="s">
        <v>141</v>
      </c>
      <c r="H53" s="44">
        <v>280511</v>
      </c>
      <c r="I53" s="44">
        <v>1</v>
      </c>
      <c r="J53" s="44">
        <v>7.95</v>
      </c>
      <c r="K53" s="61">
        <v>100.56357199999999</v>
      </c>
      <c r="L53" s="44">
        <v>3981</v>
      </c>
      <c r="M53" s="52">
        <v>400343.57962663192</v>
      </c>
      <c r="N53" s="44"/>
      <c r="O53" s="59"/>
      <c r="P53" s="44" t="s">
        <v>125</v>
      </c>
      <c r="Q53" s="52">
        <v>400343.57962663192</v>
      </c>
      <c r="R53" s="71">
        <v>-20311.009999999998</v>
      </c>
    </row>
    <row r="54" spans="1:18" x14ac:dyDescent="0.25">
      <c r="A54" s="66" t="s">
        <v>80</v>
      </c>
      <c r="B54" s="117" t="s">
        <v>85</v>
      </c>
      <c r="C54" s="60">
        <v>45818</v>
      </c>
      <c r="D54" s="60">
        <v>45818</v>
      </c>
      <c r="E54" s="44">
        <v>853812</v>
      </c>
      <c r="F54" s="44" t="s">
        <v>150</v>
      </c>
      <c r="G54" s="44" t="s">
        <v>137</v>
      </c>
      <c r="H54" s="44" t="s">
        <v>94</v>
      </c>
      <c r="I54" s="44"/>
      <c r="J54" s="44"/>
      <c r="K54" s="61"/>
      <c r="L54" s="44"/>
      <c r="M54" s="44">
        <v>537.92409999999995</v>
      </c>
      <c r="N54" s="44"/>
      <c r="O54" s="59"/>
      <c r="P54" s="44" t="s">
        <v>81</v>
      </c>
      <c r="Q54" s="44">
        <v>537.92409999999995</v>
      </c>
      <c r="R54" s="71">
        <v>-27007.25</v>
      </c>
    </row>
    <row r="55" spans="1:18" x14ac:dyDescent="0.25">
      <c r="A55" s="66" t="s">
        <v>80</v>
      </c>
      <c r="B55" s="117" t="s">
        <v>85</v>
      </c>
      <c r="C55" s="60">
        <v>45818</v>
      </c>
      <c r="D55" s="60">
        <v>45818</v>
      </c>
      <c r="E55" s="44">
        <v>853814</v>
      </c>
      <c r="F55" s="44" t="s">
        <v>150</v>
      </c>
      <c r="G55" s="44" t="s">
        <v>151</v>
      </c>
      <c r="H55" s="44" t="s">
        <v>94</v>
      </c>
      <c r="I55" s="44"/>
      <c r="J55" s="44"/>
      <c r="K55" s="61"/>
      <c r="L55" s="44"/>
      <c r="M55" s="52">
        <v>13803.91</v>
      </c>
      <c r="N55" s="44"/>
      <c r="O55" s="59"/>
      <c r="P55" s="44" t="s">
        <v>81</v>
      </c>
      <c r="Q55" s="52">
        <v>13803.91</v>
      </c>
      <c r="R55" s="71">
        <v>-13203.34</v>
      </c>
    </row>
    <row r="56" spans="1:18" x14ac:dyDescent="0.25">
      <c r="A56" s="66" t="s">
        <v>80</v>
      </c>
      <c r="B56" s="117" t="s">
        <v>121</v>
      </c>
      <c r="C56" s="60">
        <v>45818</v>
      </c>
      <c r="D56" s="60">
        <v>45818</v>
      </c>
      <c r="E56" s="44">
        <v>853814</v>
      </c>
      <c r="F56" s="44" t="s">
        <v>150</v>
      </c>
      <c r="G56" s="44" t="s">
        <v>151</v>
      </c>
      <c r="H56" s="44" t="s">
        <v>94</v>
      </c>
      <c r="I56" s="44"/>
      <c r="J56" s="44"/>
      <c r="K56" s="61"/>
      <c r="L56" s="44"/>
      <c r="M56" s="52">
        <v>17007.448199999999</v>
      </c>
      <c r="N56" s="44"/>
      <c r="O56" s="59"/>
      <c r="P56" s="44" t="s">
        <v>81</v>
      </c>
      <c r="Q56" s="52">
        <v>17007.448199999999</v>
      </c>
      <c r="R56" s="71">
        <v>-3303.56</v>
      </c>
    </row>
    <row r="57" spans="1:18" x14ac:dyDescent="0.25">
      <c r="A57" s="66" t="s">
        <v>80</v>
      </c>
      <c r="B57" s="117" t="s">
        <v>85</v>
      </c>
      <c r="C57" s="60">
        <v>45818</v>
      </c>
      <c r="D57" s="60">
        <v>45818</v>
      </c>
      <c r="E57" s="44">
        <v>853816</v>
      </c>
      <c r="F57" s="44" t="s">
        <v>150</v>
      </c>
      <c r="G57" s="44" t="s">
        <v>132</v>
      </c>
      <c r="H57" s="44" t="s">
        <v>94</v>
      </c>
      <c r="I57" s="44"/>
      <c r="J57" s="44"/>
      <c r="K57" s="61"/>
      <c r="L57" s="44"/>
      <c r="M57" s="52">
        <v>11757.29</v>
      </c>
      <c r="N57" s="44"/>
      <c r="O57" s="59"/>
      <c r="P57" s="44" t="s">
        <v>81</v>
      </c>
      <c r="Q57" s="52">
        <v>11757.29</v>
      </c>
      <c r="R57" s="71">
        <v>-1446.05</v>
      </c>
    </row>
    <row r="58" spans="1:18" x14ac:dyDescent="0.25">
      <c r="A58" s="66" t="s">
        <v>80</v>
      </c>
      <c r="B58" s="117" t="s">
        <v>121</v>
      </c>
      <c r="C58" s="60">
        <v>45818</v>
      </c>
      <c r="D58" s="60">
        <v>45818</v>
      </c>
      <c r="E58" s="44">
        <v>853816</v>
      </c>
      <c r="F58" s="44" t="s">
        <v>150</v>
      </c>
      <c r="G58" s="44" t="s">
        <v>132</v>
      </c>
      <c r="H58" s="44" t="s">
        <v>94</v>
      </c>
      <c r="I58" s="44"/>
      <c r="J58" s="44"/>
      <c r="K58" s="61"/>
      <c r="L58" s="44"/>
      <c r="M58" s="52">
        <v>1879.309299999999</v>
      </c>
      <c r="N58" s="44"/>
      <c r="O58" s="59"/>
      <c r="P58" s="44" t="s">
        <v>81</v>
      </c>
      <c r="Q58" s="52">
        <v>1879.309299999999</v>
      </c>
      <c r="R58" s="71">
        <v>-1424.25</v>
      </c>
    </row>
    <row r="59" spans="1:18" x14ac:dyDescent="0.25">
      <c r="A59" s="66" t="s">
        <v>80</v>
      </c>
      <c r="B59" s="117" t="s">
        <v>85</v>
      </c>
      <c r="C59" s="60">
        <v>45818</v>
      </c>
      <c r="D59" s="60">
        <v>45818</v>
      </c>
      <c r="E59" s="44">
        <v>853824</v>
      </c>
      <c r="F59" s="44" t="s">
        <v>150</v>
      </c>
      <c r="G59" s="44" t="s">
        <v>161</v>
      </c>
      <c r="H59" s="44" t="s">
        <v>94</v>
      </c>
      <c r="I59" s="44"/>
      <c r="J59" s="44"/>
      <c r="K59" s="61"/>
      <c r="L59" s="44"/>
      <c r="M59" s="52">
        <v>640.58000000000004</v>
      </c>
      <c r="N59" s="44"/>
      <c r="O59" s="59"/>
      <c r="P59" s="44" t="s">
        <v>81</v>
      </c>
      <c r="Q59" s="52">
        <v>640.58000000000004</v>
      </c>
      <c r="R59" s="71">
        <v>-805.47</v>
      </c>
    </row>
    <row r="60" spans="1:18" x14ac:dyDescent="0.25">
      <c r="A60" s="66" t="s">
        <v>80</v>
      </c>
      <c r="B60" s="117" t="s">
        <v>121</v>
      </c>
      <c r="C60" s="60">
        <v>45818</v>
      </c>
      <c r="D60" s="60">
        <v>45818</v>
      </c>
      <c r="E60" s="44">
        <v>853824</v>
      </c>
      <c r="F60" s="44" t="s">
        <v>150</v>
      </c>
      <c r="G60" s="44" t="s">
        <v>161</v>
      </c>
      <c r="H60" s="44" t="s">
        <v>94</v>
      </c>
      <c r="I60" s="44"/>
      <c r="J60" s="44"/>
      <c r="K60" s="61"/>
      <c r="L60" s="44"/>
      <c r="M60" s="52">
        <v>640.57759999999996</v>
      </c>
      <c r="N60" s="44"/>
      <c r="O60" s="59"/>
      <c r="P60" s="44" t="s">
        <v>81</v>
      </c>
      <c r="Q60" s="52">
        <v>640.57759999999996</v>
      </c>
      <c r="R60" s="71">
        <v>-783.67</v>
      </c>
    </row>
    <row r="61" spans="1:18" x14ac:dyDescent="0.25">
      <c r="A61" s="66" t="s">
        <v>80</v>
      </c>
      <c r="B61" s="117" t="s">
        <v>85</v>
      </c>
      <c r="C61" s="60">
        <v>45818</v>
      </c>
      <c r="D61" s="60">
        <v>45818</v>
      </c>
      <c r="E61" s="44">
        <v>853826</v>
      </c>
      <c r="F61" s="44" t="s">
        <v>150</v>
      </c>
      <c r="G61" s="44" t="s">
        <v>162</v>
      </c>
      <c r="H61" s="44" t="s">
        <v>94</v>
      </c>
      <c r="I61" s="44"/>
      <c r="J61" s="44"/>
      <c r="K61" s="61"/>
      <c r="L61" s="44"/>
      <c r="M61" s="52">
        <v>845.61</v>
      </c>
      <c r="N61" s="44"/>
      <c r="O61" s="59"/>
      <c r="P61" s="44" t="s">
        <v>81</v>
      </c>
      <c r="Q61" s="52">
        <v>845.61</v>
      </c>
      <c r="R61" s="70">
        <v>40.15</v>
      </c>
    </row>
    <row r="62" spans="1:18" x14ac:dyDescent="0.25">
      <c r="A62" s="66" t="s">
        <v>80</v>
      </c>
      <c r="B62" s="117" t="s">
        <v>121</v>
      </c>
      <c r="C62" s="60">
        <v>45818</v>
      </c>
      <c r="D62" s="60">
        <v>45818</v>
      </c>
      <c r="E62" s="44">
        <v>853826</v>
      </c>
      <c r="F62" s="44" t="s">
        <v>150</v>
      </c>
      <c r="G62" s="44" t="s">
        <v>162</v>
      </c>
      <c r="H62" s="44" t="s">
        <v>94</v>
      </c>
      <c r="I62" s="44"/>
      <c r="J62" s="44"/>
      <c r="K62" s="61"/>
      <c r="L62" s="44"/>
      <c r="M62" s="52">
        <v>845.6001</v>
      </c>
      <c r="N62" s="44"/>
      <c r="O62" s="59"/>
      <c r="P62" s="44" t="s">
        <v>81</v>
      </c>
      <c r="Q62" s="52">
        <v>845.6001</v>
      </c>
      <c r="R62" s="70">
        <v>61.95</v>
      </c>
    </row>
    <row r="63" spans="1:18" x14ac:dyDescent="0.25">
      <c r="A63" s="66" t="s">
        <v>82</v>
      </c>
      <c r="B63" s="117" t="s">
        <v>85</v>
      </c>
      <c r="C63" s="60">
        <v>45818</v>
      </c>
      <c r="D63" s="60">
        <v>45819</v>
      </c>
      <c r="E63" s="44">
        <v>489704</v>
      </c>
      <c r="F63" s="44" t="s">
        <v>83</v>
      </c>
      <c r="G63" s="44" t="s">
        <v>141</v>
      </c>
      <c r="H63" s="44">
        <v>280511</v>
      </c>
      <c r="I63" s="44">
        <v>1</v>
      </c>
      <c r="J63" s="44">
        <v>255.22756129433773</v>
      </c>
      <c r="K63" s="61">
        <v>100.585779</v>
      </c>
      <c r="L63" s="44">
        <v>11493</v>
      </c>
      <c r="M63" s="52">
        <v>1156032.3590983222</v>
      </c>
      <c r="N63" s="44"/>
      <c r="O63" s="59"/>
      <c r="P63" s="44" t="s">
        <v>81</v>
      </c>
      <c r="Q63" s="52">
        <v>1156032.3590983222</v>
      </c>
      <c r="R63" s="71">
        <v>1156072.51</v>
      </c>
    </row>
    <row r="64" spans="1:18" x14ac:dyDescent="0.25">
      <c r="A64" s="66" t="s">
        <v>82</v>
      </c>
      <c r="B64" s="117" t="s">
        <v>86</v>
      </c>
      <c r="C64" s="60">
        <v>45818</v>
      </c>
      <c r="D64" s="60">
        <v>45819</v>
      </c>
      <c r="E64" s="44">
        <v>489704</v>
      </c>
      <c r="F64" s="44" t="s">
        <v>83</v>
      </c>
      <c r="G64" s="44" t="s">
        <v>141</v>
      </c>
      <c r="H64" s="44">
        <v>280511</v>
      </c>
      <c r="I64" s="44">
        <v>1</v>
      </c>
      <c r="J64" s="44">
        <v>13.2355021779714</v>
      </c>
      <c r="K64" s="61">
        <v>100.585779</v>
      </c>
      <c r="L64" s="44">
        <v>596</v>
      </c>
      <c r="M64" s="52">
        <v>59949.124338519105</v>
      </c>
      <c r="N64" s="44"/>
      <c r="O64" s="59"/>
      <c r="P64" s="44" t="s">
        <v>81</v>
      </c>
      <c r="Q64" s="52">
        <v>59949.124338519105</v>
      </c>
      <c r="R64" s="71">
        <v>59904.33</v>
      </c>
    </row>
    <row r="65" spans="1:18" x14ac:dyDescent="0.25">
      <c r="A65" s="66" t="s">
        <v>82</v>
      </c>
      <c r="B65" s="117" t="s">
        <v>121</v>
      </c>
      <c r="C65" s="60">
        <v>45818</v>
      </c>
      <c r="D65" s="60">
        <v>45819</v>
      </c>
      <c r="E65" s="44">
        <v>489704</v>
      </c>
      <c r="F65" s="44" t="s">
        <v>83</v>
      </c>
      <c r="G65" s="44" t="s">
        <v>141</v>
      </c>
      <c r="H65" s="44">
        <v>280511</v>
      </c>
      <c r="I65" s="44">
        <v>1</v>
      </c>
      <c r="J65" s="44">
        <v>88.406936527691514</v>
      </c>
      <c r="K65" s="61">
        <v>100.585779</v>
      </c>
      <c r="L65" s="44">
        <v>3981</v>
      </c>
      <c r="M65" s="52">
        <v>400431.98656316201</v>
      </c>
      <c r="N65" s="44"/>
      <c r="O65" s="59"/>
      <c r="P65" s="44" t="s">
        <v>81</v>
      </c>
      <c r="Q65" s="52">
        <v>400431.98656316201</v>
      </c>
      <c r="R65" s="71">
        <v>400493.94</v>
      </c>
    </row>
    <row r="66" spans="1:18" x14ac:dyDescent="0.25">
      <c r="A66" s="66" t="s">
        <v>82</v>
      </c>
      <c r="B66" s="117" t="s">
        <v>85</v>
      </c>
      <c r="C66" s="60">
        <v>45819</v>
      </c>
      <c r="D66" s="60">
        <v>45819</v>
      </c>
      <c r="E66" s="44">
        <v>491037</v>
      </c>
      <c r="F66" s="44" t="s">
        <v>124</v>
      </c>
      <c r="G66" s="44" t="s">
        <v>141</v>
      </c>
      <c r="H66" s="44">
        <v>280907</v>
      </c>
      <c r="I66" s="44">
        <v>1</v>
      </c>
      <c r="J66" s="44">
        <v>7.95</v>
      </c>
      <c r="K66" s="61">
        <v>102.20201299999999</v>
      </c>
      <c r="L66" s="44">
        <v>11312</v>
      </c>
      <c r="M66" s="52">
        <v>1156109.1656145658</v>
      </c>
      <c r="N66" s="44"/>
      <c r="O66" s="59"/>
      <c r="P66" s="44" t="s">
        <v>125</v>
      </c>
      <c r="Q66" s="52">
        <v>1156109.1656145658</v>
      </c>
      <c r="R66" s="70">
        <v>-36.659999999999997</v>
      </c>
    </row>
    <row r="67" spans="1:18" x14ac:dyDescent="0.25">
      <c r="A67" s="66" t="s">
        <v>82</v>
      </c>
      <c r="B67" s="117" t="s">
        <v>86</v>
      </c>
      <c r="C67" s="60">
        <v>45819</v>
      </c>
      <c r="D67" s="60">
        <v>45819</v>
      </c>
      <c r="E67" s="44">
        <v>491037</v>
      </c>
      <c r="F67" s="44" t="s">
        <v>124</v>
      </c>
      <c r="G67" s="44" t="s">
        <v>141</v>
      </c>
      <c r="H67" s="44">
        <v>280907</v>
      </c>
      <c r="I67" s="44">
        <v>1</v>
      </c>
      <c r="J67" s="44">
        <v>7.95</v>
      </c>
      <c r="K67" s="61">
        <v>102.20201299999999</v>
      </c>
      <c r="L67" s="44">
        <v>586</v>
      </c>
      <c r="M67" s="52">
        <v>59890.379336115249</v>
      </c>
      <c r="N67" s="44"/>
      <c r="O67" s="59"/>
      <c r="P67" s="44" t="s">
        <v>125</v>
      </c>
      <c r="Q67" s="52">
        <v>59890.379336115249</v>
      </c>
      <c r="R67" s="70">
        <v>13.95</v>
      </c>
    </row>
    <row r="68" spans="1:18" x14ac:dyDescent="0.25">
      <c r="A68" s="66" t="s">
        <v>82</v>
      </c>
      <c r="B68" s="117" t="s">
        <v>121</v>
      </c>
      <c r="C68" s="60">
        <v>45819</v>
      </c>
      <c r="D68" s="60">
        <v>45819</v>
      </c>
      <c r="E68" s="44">
        <v>491037</v>
      </c>
      <c r="F68" s="44" t="s">
        <v>124</v>
      </c>
      <c r="G68" s="44" t="s">
        <v>141</v>
      </c>
      <c r="H68" s="44">
        <v>280907</v>
      </c>
      <c r="I68" s="44">
        <v>1</v>
      </c>
      <c r="J68" s="44">
        <v>7.95</v>
      </c>
      <c r="K68" s="61">
        <v>102.20201299999999</v>
      </c>
      <c r="L68" s="44">
        <v>3918</v>
      </c>
      <c r="M68" s="52">
        <v>400427.4850493166</v>
      </c>
      <c r="N68" s="44"/>
      <c r="O68" s="59"/>
      <c r="P68" s="44" t="s">
        <v>125</v>
      </c>
      <c r="Q68" s="52">
        <v>400427.4850493166</v>
      </c>
      <c r="R68" s="70">
        <v>66.45</v>
      </c>
    </row>
    <row r="69" spans="1:18" x14ac:dyDescent="0.25">
      <c r="A69" s="66" t="s">
        <v>82</v>
      </c>
      <c r="B69" s="117" t="s">
        <v>85</v>
      </c>
      <c r="C69" s="60">
        <v>45819</v>
      </c>
      <c r="D69" s="60">
        <v>45820</v>
      </c>
      <c r="E69" s="44">
        <v>491037</v>
      </c>
      <c r="F69" s="44" t="s">
        <v>83</v>
      </c>
      <c r="G69" s="44" t="s">
        <v>141</v>
      </c>
      <c r="H69" s="44">
        <v>280907</v>
      </c>
      <c r="I69" s="44">
        <v>1</v>
      </c>
      <c r="J69" s="44">
        <v>255.30674759736991</v>
      </c>
      <c r="K69" s="61">
        <v>102.224582</v>
      </c>
      <c r="L69" s="44">
        <v>11312</v>
      </c>
      <c r="M69" s="52">
        <v>1156364.4723621637</v>
      </c>
      <c r="N69" s="44"/>
      <c r="O69" s="59"/>
      <c r="P69" s="44" t="s">
        <v>81</v>
      </c>
      <c r="Q69" s="52">
        <v>1156364.4723621637</v>
      </c>
      <c r="R69" s="71">
        <v>1156327.81</v>
      </c>
    </row>
    <row r="70" spans="1:18" x14ac:dyDescent="0.25">
      <c r="A70" s="66" t="s">
        <v>82</v>
      </c>
      <c r="B70" s="117" t="s">
        <v>86</v>
      </c>
      <c r="C70" s="60">
        <v>45819</v>
      </c>
      <c r="D70" s="60">
        <v>45820</v>
      </c>
      <c r="E70" s="44">
        <v>491037</v>
      </c>
      <c r="F70" s="44" t="s">
        <v>83</v>
      </c>
      <c r="G70" s="44" t="s">
        <v>141</v>
      </c>
      <c r="H70" s="44">
        <v>280907</v>
      </c>
      <c r="I70" s="44">
        <v>1</v>
      </c>
      <c r="J70" s="44">
        <v>13.225756196256963</v>
      </c>
      <c r="K70" s="61">
        <v>102.224582</v>
      </c>
      <c r="L70" s="44">
        <v>586</v>
      </c>
      <c r="M70" s="52">
        <v>59903.605092311525</v>
      </c>
      <c r="N70" s="44"/>
      <c r="O70" s="59"/>
      <c r="P70" s="44" t="s">
        <v>81</v>
      </c>
      <c r="Q70" s="52">
        <v>59903.605092311525</v>
      </c>
      <c r="R70" s="71">
        <v>59917.56</v>
      </c>
    </row>
    <row r="71" spans="1:18" x14ac:dyDescent="0.25">
      <c r="A71" s="66" t="s">
        <v>82</v>
      </c>
      <c r="B71" s="117" t="s">
        <v>121</v>
      </c>
      <c r="C71" s="60">
        <v>45819</v>
      </c>
      <c r="D71" s="60">
        <v>45820</v>
      </c>
      <c r="E71" s="44">
        <v>491037</v>
      </c>
      <c r="F71" s="44" t="s">
        <v>83</v>
      </c>
      <c r="G71" s="44" t="s">
        <v>141</v>
      </c>
      <c r="H71" s="44">
        <v>280907</v>
      </c>
      <c r="I71" s="44">
        <v>1</v>
      </c>
      <c r="J71" s="44">
        <v>88.427496206373334</v>
      </c>
      <c r="K71" s="61">
        <v>102.224582</v>
      </c>
      <c r="L71" s="44">
        <v>3918</v>
      </c>
      <c r="M71" s="52">
        <v>400515.91254552314</v>
      </c>
      <c r="N71" s="44"/>
      <c r="O71" s="59"/>
      <c r="P71" s="44" t="s">
        <v>81</v>
      </c>
      <c r="Q71" s="52">
        <v>400515.91254552314</v>
      </c>
      <c r="R71" s="71">
        <v>400582.36</v>
      </c>
    </row>
    <row r="72" spans="1:18" x14ac:dyDescent="0.25">
      <c r="A72" s="66" t="s">
        <v>82</v>
      </c>
      <c r="B72" s="117" t="s">
        <v>85</v>
      </c>
      <c r="C72" s="60">
        <v>45820</v>
      </c>
      <c r="D72" s="60">
        <v>45820</v>
      </c>
      <c r="E72" s="44">
        <v>492343</v>
      </c>
      <c r="F72" s="44" t="s">
        <v>124</v>
      </c>
      <c r="G72" s="44" t="s">
        <v>141</v>
      </c>
      <c r="H72" s="44">
        <v>280511</v>
      </c>
      <c r="I72" s="44">
        <v>1</v>
      </c>
      <c r="J72" s="44">
        <v>7.95</v>
      </c>
      <c r="K72" s="61">
        <v>100.60727900000001</v>
      </c>
      <c r="L72" s="44">
        <v>11493</v>
      </c>
      <c r="M72" s="52">
        <v>1156279.4550224016</v>
      </c>
      <c r="N72" s="44"/>
      <c r="O72" s="59"/>
      <c r="P72" s="44" t="s">
        <v>125</v>
      </c>
      <c r="Q72" s="52">
        <v>1156279.4550224016</v>
      </c>
      <c r="R72" s="70">
        <v>48.35</v>
      </c>
    </row>
    <row r="73" spans="1:18" x14ac:dyDescent="0.25">
      <c r="A73" s="66" t="s">
        <v>82</v>
      </c>
      <c r="B73" s="117" t="s">
        <v>86</v>
      </c>
      <c r="C73" s="60">
        <v>45820</v>
      </c>
      <c r="D73" s="60">
        <v>45820</v>
      </c>
      <c r="E73" s="44">
        <v>492343</v>
      </c>
      <c r="F73" s="44" t="s">
        <v>124</v>
      </c>
      <c r="G73" s="44" t="s">
        <v>141</v>
      </c>
      <c r="H73" s="44">
        <v>280511</v>
      </c>
      <c r="I73" s="44">
        <v>1</v>
      </c>
      <c r="J73" s="44">
        <v>7.95</v>
      </c>
      <c r="K73" s="61">
        <v>100.60727900000001</v>
      </c>
      <c r="L73" s="44">
        <v>596</v>
      </c>
      <c r="M73" s="52">
        <v>59961.938153080257</v>
      </c>
      <c r="N73" s="44"/>
      <c r="O73" s="59"/>
      <c r="P73" s="44" t="s">
        <v>125</v>
      </c>
      <c r="Q73" s="52">
        <v>59961.938153080257</v>
      </c>
      <c r="R73" s="70">
        <v>-44.38</v>
      </c>
    </row>
    <row r="74" spans="1:18" x14ac:dyDescent="0.25">
      <c r="A74" s="66" t="s">
        <v>82</v>
      </c>
      <c r="B74" s="117" t="s">
        <v>121</v>
      </c>
      <c r="C74" s="60">
        <v>45820</v>
      </c>
      <c r="D74" s="60">
        <v>45820</v>
      </c>
      <c r="E74" s="44">
        <v>492343</v>
      </c>
      <c r="F74" s="44" t="s">
        <v>124</v>
      </c>
      <c r="G74" s="44" t="s">
        <v>141</v>
      </c>
      <c r="H74" s="44">
        <v>280511</v>
      </c>
      <c r="I74" s="44">
        <v>1</v>
      </c>
      <c r="J74" s="44">
        <v>7.95</v>
      </c>
      <c r="K74" s="61">
        <v>100.60727900000001</v>
      </c>
      <c r="L74" s="44">
        <v>3981</v>
      </c>
      <c r="M74" s="52">
        <v>400517.57682451763</v>
      </c>
      <c r="N74" s="44"/>
      <c r="O74" s="59"/>
      <c r="P74" s="44" t="s">
        <v>125</v>
      </c>
      <c r="Q74" s="52">
        <v>400517.57682451763</v>
      </c>
      <c r="R74" s="70">
        <v>64.78</v>
      </c>
    </row>
    <row r="75" spans="1:18" x14ac:dyDescent="0.25">
      <c r="A75" s="66" t="s">
        <v>82</v>
      </c>
      <c r="B75" s="117" t="s">
        <v>85</v>
      </c>
      <c r="C75" s="60">
        <v>45820</v>
      </c>
      <c r="D75" s="60">
        <v>45821</v>
      </c>
      <c r="E75" s="44">
        <v>492343</v>
      </c>
      <c r="F75" s="44" t="s">
        <v>83</v>
      </c>
      <c r="G75" s="44" t="s">
        <v>141</v>
      </c>
      <c r="H75" s="44">
        <v>280511</v>
      </c>
      <c r="I75" s="44">
        <v>1</v>
      </c>
      <c r="J75" s="44">
        <v>255.34199066583747</v>
      </c>
      <c r="K75" s="61">
        <v>100.629496</v>
      </c>
      <c r="L75" s="44">
        <v>11493</v>
      </c>
      <c r="M75" s="52">
        <v>1156534.7970130674</v>
      </c>
      <c r="N75" s="44"/>
      <c r="O75" s="59"/>
      <c r="P75" s="44" t="s">
        <v>81</v>
      </c>
      <c r="Q75" s="52">
        <v>1156534.7970130674</v>
      </c>
      <c r="R75" s="71">
        <v>1156583.1499999999</v>
      </c>
    </row>
    <row r="76" spans="1:18" x14ac:dyDescent="0.25">
      <c r="A76" s="66" t="s">
        <v>82</v>
      </c>
      <c r="B76" s="117" t="s">
        <v>86</v>
      </c>
      <c r="C76" s="60">
        <v>45820</v>
      </c>
      <c r="D76" s="60">
        <v>45821</v>
      </c>
      <c r="E76" s="44">
        <v>492343</v>
      </c>
      <c r="F76" s="44" t="s">
        <v>83</v>
      </c>
      <c r="G76" s="44" t="s">
        <v>141</v>
      </c>
      <c r="H76" s="44">
        <v>280511</v>
      </c>
      <c r="I76" s="44">
        <v>1</v>
      </c>
      <c r="J76" s="44">
        <v>13.241436216552609</v>
      </c>
      <c r="K76" s="61">
        <v>100.629496</v>
      </c>
      <c r="L76" s="44">
        <v>596</v>
      </c>
      <c r="M76" s="52">
        <v>59975.179589296815</v>
      </c>
      <c r="N76" s="44"/>
      <c r="O76" s="59"/>
      <c r="P76" s="44" t="s">
        <v>81</v>
      </c>
      <c r="Q76" s="52">
        <v>59975.179589296815</v>
      </c>
      <c r="R76" s="71">
        <v>59930.8</v>
      </c>
    </row>
    <row r="77" spans="1:18" x14ac:dyDescent="0.25">
      <c r="A77" s="66" t="s">
        <v>82</v>
      </c>
      <c r="B77" s="117" t="s">
        <v>121</v>
      </c>
      <c r="C77" s="60">
        <v>45820</v>
      </c>
      <c r="D77" s="60">
        <v>45821</v>
      </c>
      <c r="E77" s="44">
        <v>492343</v>
      </c>
      <c r="F77" s="44" t="s">
        <v>83</v>
      </c>
      <c r="G77" s="44" t="s">
        <v>141</v>
      </c>
      <c r="H77" s="44">
        <v>280511</v>
      </c>
      <c r="I77" s="44">
        <v>1</v>
      </c>
      <c r="J77" s="44">
        <v>88.44657311761064</v>
      </c>
      <c r="K77" s="61">
        <v>100.629496</v>
      </c>
      <c r="L77" s="44">
        <v>3981</v>
      </c>
      <c r="M77" s="52">
        <v>400606.02339763526</v>
      </c>
      <c r="N77" s="44"/>
      <c r="O77" s="59"/>
      <c r="P77" s="44" t="s">
        <v>81</v>
      </c>
      <c r="Q77" s="52">
        <v>400606.02339763526</v>
      </c>
      <c r="R77" s="71">
        <v>400670.8</v>
      </c>
    </row>
    <row r="78" spans="1:18" x14ac:dyDescent="0.25">
      <c r="A78" s="79" t="s">
        <v>82</v>
      </c>
      <c r="B78" s="77" t="s">
        <v>85</v>
      </c>
      <c r="C78" s="92">
        <v>45821</v>
      </c>
      <c r="D78" s="92">
        <v>45821</v>
      </c>
      <c r="E78" s="77">
        <v>493720</v>
      </c>
      <c r="F78" s="77" t="s">
        <v>124</v>
      </c>
      <c r="G78" s="77" t="s">
        <v>141</v>
      </c>
      <c r="H78" s="77">
        <v>280907</v>
      </c>
      <c r="I78" s="77">
        <v>3</v>
      </c>
      <c r="J78" s="77">
        <v>7.95</v>
      </c>
      <c r="K78" s="111">
        <v>99.853047000000004</v>
      </c>
      <c r="L78" s="77">
        <v>11583</v>
      </c>
      <c r="M78" s="78">
        <v>1156597.8389916646</v>
      </c>
      <c r="N78" s="77"/>
      <c r="O78" s="93"/>
      <c r="P78" s="77" t="s">
        <v>125</v>
      </c>
      <c r="Q78" s="78">
        <v>1156597.8389916646</v>
      </c>
      <c r="R78" s="112">
        <v>-14.69</v>
      </c>
    </row>
    <row r="79" spans="1:18" x14ac:dyDescent="0.25">
      <c r="A79" s="79" t="s">
        <v>82</v>
      </c>
      <c r="B79" s="77" t="s">
        <v>86</v>
      </c>
      <c r="C79" s="92">
        <v>45821</v>
      </c>
      <c r="D79" s="92">
        <v>45821</v>
      </c>
      <c r="E79" s="77">
        <v>493720</v>
      </c>
      <c r="F79" s="77" t="s">
        <v>124</v>
      </c>
      <c r="G79" s="77" t="s">
        <v>141</v>
      </c>
      <c r="H79" s="77">
        <v>280907</v>
      </c>
      <c r="I79" s="77">
        <v>3</v>
      </c>
      <c r="J79" s="77">
        <v>7.95</v>
      </c>
      <c r="K79" s="111">
        <v>99.853047000000004</v>
      </c>
      <c r="L79" s="77">
        <v>600</v>
      </c>
      <c r="M79" s="78">
        <v>59911.827971596198</v>
      </c>
      <c r="N79" s="77"/>
      <c r="O79" s="93"/>
      <c r="P79" s="77" t="s">
        <v>125</v>
      </c>
      <c r="Q79" s="78">
        <v>59911.827971596198</v>
      </c>
      <c r="R79" s="112">
        <v>18.97</v>
      </c>
    </row>
    <row r="80" spans="1:18" x14ac:dyDescent="0.25">
      <c r="A80" s="79" t="s">
        <v>82</v>
      </c>
      <c r="B80" s="77" t="s">
        <v>121</v>
      </c>
      <c r="C80" s="92">
        <v>45821</v>
      </c>
      <c r="D80" s="92">
        <v>45821</v>
      </c>
      <c r="E80" s="77">
        <v>493720</v>
      </c>
      <c r="F80" s="77" t="s">
        <v>124</v>
      </c>
      <c r="G80" s="77" t="s">
        <v>141</v>
      </c>
      <c r="H80" s="77">
        <v>280907</v>
      </c>
      <c r="I80" s="77">
        <v>3</v>
      </c>
      <c r="J80" s="77">
        <v>7.95</v>
      </c>
      <c r="K80" s="111">
        <v>99.853047000000004</v>
      </c>
      <c r="L80" s="77">
        <v>4012</v>
      </c>
      <c r="M80" s="78">
        <v>400610.42303673993</v>
      </c>
      <c r="N80" s="77"/>
      <c r="O80" s="93"/>
      <c r="P80" s="77" t="s">
        <v>125</v>
      </c>
      <c r="Q80" s="78">
        <v>400610.42303673993</v>
      </c>
      <c r="R80" s="112">
        <v>60.38</v>
      </c>
    </row>
    <row r="81" spans="1:18" x14ac:dyDescent="0.25">
      <c r="A81" s="66" t="s">
        <v>82</v>
      </c>
      <c r="B81" s="117" t="s">
        <v>85</v>
      </c>
      <c r="C81" s="60">
        <v>45428</v>
      </c>
      <c r="D81" s="60">
        <v>45824</v>
      </c>
      <c r="E81" s="44">
        <v>105206</v>
      </c>
      <c r="F81" s="44" t="s">
        <v>153</v>
      </c>
      <c r="G81" s="44" t="s">
        <v>149</v>
      </c>
      <c r="H81" s="44">
        <v>24</v>
      </c>
      <c r="I81" s="44">
        <v>396</v>
      </c>
      <c r="J81" s="44"/>
      <c r="K81" s="44">
        <v>55.758584999999997</v>
      </c>
      <c r="L81" s="44"/>
      <c r="M81" s="52">
        <v>27481.919999999998</v>
      </c>
      <c r="N81" s="44"/>
      <c r="O81" s="44"/>
      <c r="P81" s="44" t="s">
        <v>81</v>
      </c>
      <c r="Q81" s="52">
        <v>27481.919999999998</v>
      </c>
      <c r="R81" s="71">
        <v>27467.24</v>
      </c>
    </row>
    <row r="82" spans="1:18" x14ac:dyDescent="0.25">
      <c r="A82" s="66" t="s">
        <v>82</v>
      </c>
      <c r="B82" s="117" t="s">
        <v>121</v>
      </c>
      <c r="C82" s="60">
        <v>45428</v>
      </c>
      <c r="D82" s="60">
        <v>45824</v>
      </c>
      <c r="E82" s="44">
        <v>105206</v>
      </c>
      <c r="F82" s="44" t="s">
        <v>153</v>
      </c>
      <c r="G82" s="44" t="s">
        <v>149</v>
      </c>
      <c r="H82" s="44">
        <v>24</v>
      </c>
      <c r="I82" s="44">
        <v>396</v>
      </c>
      <c r="J82" s="44"/>
      <c r="K82" s="44">
        <v>55.758584999999997</v>
      </c>
      <c r="L82" s="44"/>
      <c r="M82" s="52">
        <v>27481.919999999998</v>
      </c>
      <c r="N82" s="44"/>
      <c r="O82" s="44"/>
      <c r="P82" s="44" t="s">
        <v>81</v>
      </c>
      <c r="Q82" s="52">
        <v>27481.919999999998</v>
      </c>
      <c r="R82" s="71">
        <v>27542.32</v>
      </c>
    </row>
    <row r="83" spans="1:18" x14ac:dyDescent="0.25">
      <c r="A83" s="66" t="s">
        <v>80</v>
      </c>
      <c r="B83" s="117" t="s">
        <v>85</v>
      </c>
      <c r="C83" s="60">
        <v>45428</v>
      </c>
      <c r="D83" s="60">
        <v>45824</v>
      </c>
      <c r="E83" s="44">
        <v>105206</v>
      </c>
      <c r="F83" s="44" t="s">
        <v>154</v>
      </c>
      <c r="G83" s="44" t="s">
        <v>149</v>
      </c>
      <c r="H83" s="44">
        <v>24</v>
      </c>
      <c r="I83" s="44"/>
      <c r="J83" s="44"/>
      <c r="K83" s="61"/>
      <c r="L83" s="44"/>
      <c r="M83" s="52">
        <v>8134.82</v>
      </c>
      <c r="N83" s="44"/>
      <c r="O83" s="59"/>
      <c r="P83" s="44" t="s">
        <v>81</v>
      </c>
      <c r="Q83" s="52">
        <v>8134.82</v>
      </c>
      <c r="R83" s="71">
        <v>35602.06</v>
      </c>
    </row>
    <row r="84" spans="1:18" x14ac:dyDescent="0.25">
      <c r="A84" s="66" t="s">
        <v>80</v>
      </c>
      <c r="B84" s="117" t="s">
        <v>121</v>
      </c>
      <c r="C84" s="60">
        <v>45428</v>
      </c>
      <c r="D84" s="60">
        <v>45824</v>
      </c>
      <c r="E84" s="44">
        <v>105206</v>
      </c>
      <c r="F84" s="44" t="s">
        <v>154</v>
      </c>
      <c r="G84" s="44" t="s">
        <v>149</v>
      </c>
      <c r="H84" s="44">
        <v>24</v>
      </c>
      <c r="I84" s="44"/>
      <c r="J84" s="44"/>
      <c r="K84" s="61"/>
      <c r="L84" s="44"/>
      <c r="M84" s="52">
        <v>8134.8099999999995</v>
      </c>
      <c r="N84" s="44"/>
      <c r="O84" s="59"/>
      <c r="P84" s="44" t="s">
        <v>81</v>
      </c>
      <c r="Q84" s="52">
        <v>8134.8099999999995</v>
      </c>
      <c r="R84" s="71">
        <v>35677.129999999997</v>
      </c>
    </row>
    <row r="85" spans="1:18" x14ac:dyDescent="0.25">
      <c r="A85" s="66" t="s">
        <v>82</v>
      </c>
      <c r="B85" s="117" t="s">
        <v>85</v>
      </c>
      <c r="C85" s="60">
        <v>45428</v>
      </c>
      <c r="D85" s="60">
        <v>45824</v>
      </c>
      <c r="E85" s="44">
        <v>105207</v>
      </c>
      <c r="F85" s="44" t="s">
        <v>153</v>
      </c>
      <c r="G85" s="44" t="s">
        <v>149</v>
      </c>
      <c r="H85" s="44">
        <v>24</v>
      </c>
      <c r="I85" s="44">
        <v>396</v>
      </c>
      <c r="J85" s="44"/>
      <c r="K85" s="61">
        <v>55.758584999999997</v>
      </c>
      <c r="L85" s="44"/>
      <c r="M85" s="52">
        <v>11019.22</v>
      </c>
      <c r="N85" s="44"/>
      <c r="O85" s="59"/>
      <c r="P85" s="44" t="s">
        <v>81</v>
      </c>
      <c r="Q85" s="52">
        <v>11019.22</v>
      </c>
      <c r="R85" s="71">
        <v>46621.279999999999</v>
      </c>
    </row>
    <row r="86" spans="1:18" x14ac:dyDescent="0.25">
      <c r="A86" s="66" t="s">
        <v>82</v>
      </c>
      <c r="B86" s="117" t="s">
        <v>121</v>
      </c>
      <c r="C86" s="60">
        <v>45428</v>
      </c>
      <c r="D86" s="60">
        <v>45824</v>
      </c>
      <c r="E86" s="44">
        <v>105207</v>
      </c>
      <c r="F86" s="44" t="s">
        <v>153</v>
      </c>
      <c r="G86" s="44" t="s">
        <v>149</v>
      </c>
      <c r="H86" s="44">
        <v>24</v>
      </c>
      <c r="I86" s="44">
        <v>396</v>
      </c>
      <c r="J86" s="44"/>
      <c r="K86" s="61">
        <v>55.758584999999997</v>
      </c>
      <c r="L86" s="44"/>
      <c r="M86" s="52">
        <v>11019.210000000001</v>
      </c>
      <c r="N86" s="44"/>
      <c r="O86" s="59"/>
      <c r="P86" s="44" t="s">
        <v>81</v>
      </c>
      <c r="Q86" s="52">
        <v>11019.210000000001</v>
      </c>
      <c r="R86" s="71">
        <v>46696.34</v>
      </c>
    </row>
    <row r="87" spans="1:18" x14ac:dyDescent="0.25">
      <c r="A87" s="66" t="s">
        <v>80</v>
      </c>
      <c r="B87" s="117" t="s">
        <v>85</v>
      </c>
      <c r="C87" s="60">
        <v>45428</v>
      </c>
      <c r="D87" s="60">
        <v>45824</v>
      </c>
      <c r="E87" s="44">
        <v>105207</v>
      </c>
      <c r="F87" s="44" t="s">
        <v>154</v>
      </c>
      <c r="G87" s="44" t="s">
        <v>149</v>
      </c>
      <c r="H87" s="44">
        <v>24</v>
      </c>
      <c r="I87" s="44"/>
      <c r="J87" s="44"/>
      <c r="K87" s="61"/>
      <c r="L87" s="44"/>
      <c r="M87" s="52">
        <v>3261.76</v>
      </c>
      <c r="N87" s="44"/>
      <c r="O87" s="59"/>
      <c r="P87" s="44" t="s">
        <v>81</v>
      </c>
      <c r="Q87" s="52">
        <v>3261.76</v>
      </c>
      <c r="R87" s="71">
        <v>49883.040000000001</v>
      </c>
    </row>
    <row r="88" spans="1:18" x14ac:dyDescent="0.25">
      <c r="A88" s="66" t="s">
        <v>80</v>
      </c>
      <c r="B88" s="117" t="s">
        <v>121</v>
      </c>
      <c r="C88" s="60">
        <v>45428</v>
      </c>
      <c r="D88" s="60">
        <v>45824</v>
      </c>
      <c r="E88" s="44">
        <v>105207</v>
      </c>
      <c r="F88" s="44" t="s">
        <v>154</v>
      </c>
      <c r="G88" s="44" t="s">
        <v>149</v>
      </c>
      <c r="H88" s="44">
        <v>24</v>
      </c>
      <c r="I88" s="44"/>
      <c r="J88" s="44"/>
      <c r="K88" s="61"/>
      <c r="L88" s="44"/>
      <c r="M88" s="52">
        <v>3261.75</v>
      </c>
      <c r="N88" s="44"/>
      <c r="O88" s="59"/>
      <c r="P88" s="44" t="s">
        <v>81</v>
      </c>
      <c r="Q88" s="52">
        <v>3261.75</v>
      </c>
      <c r="R88" s="71">
        <v>49958.09</v>
      </c>
    </row>
    <row r="89" spans="1:18" x14ac:dyDescent="0.25">
      <c r="A89" s="66" t="s">
        <v>82</v>
      </c>
      <c r="B89" s="117" t="s">
        <v>85</v>
      </c>
      <c r="C89" s="60">
        <v>45821</v>
      </c>
      <c r="D89" s="60">
        <v>45824</v>
      </c>
      <c r="E89" s="44">
        <v>493720</v>
      </c>
      <c r="F89" s="44" t="s">
        <v>83</v>
      </c>
      <c r="G89" s="44" t="s">
        <v>141</v>
      </c>
      <c r="H89" s="44">
        <v>280907</v>
      </c>
      <c r="I89" s="44">
        <v>3</v>
      </c>
      <c r="J89" s="52">
        <v>766.24459524544625</v>
      </c>
      <c r="K89" s="61">
        <v>99.919199000000006</v>
      </c>
      <c r="L89" s="44">
        <v>11583</v>
      </c>
      <c r="M89" s="52">
        <v>1157364.0835869089</v>
      </c>
      <c r="N89" s="44"/>
      <c r="O89" s="59"/>
      <c r="P89" s="44" t="s">
        <v>81</v>
      </c>
      <c r="Q89" s="52">
        <v>1157364.0835869089</v>
      </c>
      <c r="R89" s="71">
        <v>1207247.1200000001</v>
      </c>
    </row>
    <row r="90" spans="1:18" x14ac:dyDescent="0.25">
      <c r="A90" s="66" t="s">
        <v>82</v>
      </c>
      <c r="B90" s="117" t="s">
        <v>86</v>
      </c>
      <c r="C90" s="60">
        <v>45821</v>
      </c>
      <c r="D90" s="60">
        <v>45824</v>
      </c>
      <c r="E90" s="44">
        <v>493720</v>
      </c>
      <c r="F90" s="44" t="s">
        <v>83</v>
      </c>
      <c r="G90" s="44" t="s">
        <v>141</v>
      </c>
      <c r="H90" s="44">
        <v>280907</v>
      </c>
      <c r="I90" s="44">
        <v>3</v>
      </c>
      <c r="J90" s="52">
        <v>39.691509725223838</v>
      </c>
      <c r="K90" s="61">
        <v>99.919199000000006</v>
      </c>
      <c r="L90" s="44">
        <v>600</v>
      </c>
      <c r="M90" s="52">
        <v>59951.51948132136</v>
      </c>
      <c r="N90" s="44"/>
      <c r="O90" s="59"/>
      <c r="P90" s="44" t="s">
        <v>81</v>
      </c>
      <c r="Q90" s="52">
        <v>59951.51948132136</v>
      </c>
      <c r="R90" s="71">
        <v>59970.49</v>
      </c>
    </row>
    <row r="91" spans="1:18" x14ac:dyDescent="0.25">
      <c r="A91" s="66" t="s">
        <v>82</v>
      </c>
      <c r="B91" s="117" t="s">
        <v>121</v>
      </c>
      <c r="C91" s="60">
        <v>45821</v>
      </c>
      <c r="D91" s="60">
        <v>45824</v>
      </c>
      <c r="E91" s="44">
        <v>493720</v>
      </c>
      <c r="F91" s="44" t="s">
        <v>83</v>
      </c>
      <c r="G91" s="44" t="s">
        <v>141</v>
      </c>
      <c r="H91" s="44">
        <v>280907</v>
      </c>
      <c r="I91" s="44">
        <v>3</v>
      </c>
      <c r="J91" s="52">
        <v>265.4038950293301</v>
      </c>
      <c r="K91" s="61">
        <v>99.919199000000006</v>
      </c>
      <c r="L91" s="44">
        <v>4012</v>
      </c>
      <c r="M91" s="52">
        <v>400875.82693176885</v>
      </c>
      <c r="N91" s="44"/>
      <c r="O91" s="59"/>
      <c r="P91" s="44" t="s">
        <v>81</v>
      </c>
      <c r="Q91" s="52">
        <v>400875.82693176885</v>
      </c>
      <c r="R91" s="71">
        <v>450833.91999999998</v>
      </c>
    </row>
    <row r="92" spans="1:18" x14ac:dyDescent="0.25">
      <c r="A92" s="66" t="s">
        <v>82</v>
      </c>
      <c r="B92" s="117" t="s">
        <v>85</v>
      </c>
      <c r="C92" s="60">
        <v>45824</v>
      </c>
      <c r="D92" s="60">
        <v>45824</v>
      </c>
      <c r="E92" s="44">
        <v>495041</v>
      </c>
      <c r="F92" s="44" t="s">
        <v>124</v>
      </c>
      <c r="G92" s="44" t="s">
        <v>141</v>
      </c>
      <c r="H92" s="44">
        <v>290913</v>
      </c>
      <c r="I92" s="44">
        <v>1</v>
      </c>
      <c r="J92" s="44">
        <v>7.95</v>
      </c>
      <c r="K92" s="61">
        <v>102.0774</v>
      </c>
      <c r="L92" s="44">
        <v>11827</v>
      </c>
      <c r="M92" s="52">
        <v>1207269.4083945386</v>
      </c>
      <c r="N92" s="44"/>
      <c r="O92" s="59"/>
      <c r="P92" s="44" t="s">
        <v>125</v>
      </c>
      <c r="Q92" s="52">
        <v>1207269.4083945386</v>
      </c>
      <c r="R92" s="70">
        <v>-22.29</v>
      </c>
    </row>
    <row r="93" spans="1:18" x14ac:dyDescent="0.25">
      <c r="A93" s="66" t="s">
        <v>82</v>
      </c>
      <c r="B93" s="117" t="s">
        <v>86</v>
      </c>
      <c r="C93" s="60">
        <v>45824</v>
      </c>
      <c r="D93" s="60">
        <v>45824</v>
      </c>
      <c r="E93" s="44">
        <v>495041</v>
      </c>
      <c r="F93" s="44" t="s">
        <v>124</v>
      </c>
      <c r="G93" s="44" t="s">
        <v>141</v>
      </c>
      <c r="H93" s="44">
        <v>290913</v>
      </c>
      <c r="I93" s="44">
        <v>1</v>
      </c>
      <c r="J93" s="44">
        <v>7.95</v>
      </c>
      <c r="K93" s="61">
        <v>102.0774</v>
      </c>
      <c r="L93" s="44">
        <v>588</v>
      </c>
      <c r="M93" s="52">
        <v>60021.511130125022</v>
      </c>
      <c r="N93" s="44"/>
      <c r="O93" s="59"/>
      <c r="P93" s="44" t="s">
        <v>125</v>
      </c>
      <c r="Q93" s="52">
        <v>60021.511130125022</v>
      </c>
      <c r="R93" s="70">
        <v>-51.02</v>
      </c>
    </row>
    <row r="94" spans="1:18" x14ac:dyDescent="0.25">
      <c r="A94" s="66" t="s">
        <v>82</v>
      </c>
      <c r="B94" s="117" t="s">
        <v>121</v>
      </c>
      <c r="C94" s="60">
        <v>45824</v>
      </c>
      <c r="D94" s="60">
        <v>45824</v>
      </c>
      <c r="E94" s="44">
        <v>495041</v>
      </c>
      <c r="F94" s="44" t="s">
        <v>124</v>
      </c>
      <c r="G94" s="44" t="s">
        <v>141</v>
      </c>
      <c r="H94" s="44">
        <v>290913</v>
      </c>
      <c r="I94" s="44">
        <v>1</v>
      </c>
      <c r="J94" s="44">
        <v>7.95</v>
      </c>
      <c r="K94" s="61">
        <v>102.0774</v>
      </c>
      <c r="L94" s="44">
        <v>4415</v>
      </c>
      <c r="M94" s="52">
        <v>450671.72047534346</v>
      </c>
      <c r="N94" s="44"/>
      <c r="O94" s="59"/>
      <c r="P94" s="44" t="s">
        <v>125</v>
      </c>
      <c r="Q94" s="52">
        <v>450671.72047534346</v>
      </c>
      <c r="R94" s="70">
        <v>162.19999999999999</v>
      </c>
    </row>
    <row r="95" spans="1:18" x14ac:dyDescent="0.25">
      <c r="A95" s="66" t="s">
        <v>82</v>
      </c>
      <c r="B95" s="117" t="s">
        <v>85</v>
      </c>
      <c r="C95" s="60">
        <v>45824</v>
      </c>
      <c r="D95" s="60">
        <v>45825</v>
      </c>
      <c r="E95" s="44">
        <v>495041</v>
      </c>
      <c r="F95" s="44" t="s">
        <v>83</v>
      </c>
      <c r="G95" s="44" t="s">
        <v>141</v>
      </c>
      <c r="H95" s="44">
        <v>290913</v>
      </c>
      <c r="I95" s="44">
        <v>1</v>
      </c>
      <c r="J95" s="44">
        <v>266.60292691622158</v>
      </c>
      <c r="K95" s="61">
        <v>102.099942</v>
      </c>
      <c r="L95" s="44">
        <v>11827</v>
      </c>
      <c r="M95" s="52">
        <v>1207536.0113214538</v>
      </c>
      <c r="N95" s="44"/>
      <c r="O95" s="59"/>
      <c r="P95" s="44" t="s">
        <v>81</v>
      </c>
      <c r="Q95" s="52">
        <v>1207536.0113214538</v>
      </c>
      <c r="R95" s="71">
        <v>1207513.72</v>
      </c>
    </row>
    <row r="96" spans="1:18" x14ac:dyDescent="0.25">
      <c r="A96" s="66" t="s">
        <v>82</v>
      </c>
      <c r="B96" s="117" t="s">
        <v>86</v>
      </c>
      <c r="C96" s="60">
        <v>45824</v>
      </c>
      <c r="D96" s="60">
        <v>45825</v>
      </c>
      <c r="E96" s="44">
        <v>495041</v>
      </c>
      <c r="F96" s="44" t="s">
        <v>83</v>
      </c>
      <c r="G96" s="44" t="s">
        <v>141</v>
      </c>
      <c r="H96" s="44">
        <v>290913</v>
      </c>
      <c r="I96" s="44">
        <v>1</v>
      </c>
      <c r="J96" s="44">
        <v>13.254631016042808</v>
      </c>
      <c r="K96" s="61">
        <v>102.099942</v>
      </c>
      <c r="L96" s="44">
        <v>588</v>
      </c>
      <c r="M96" s="52">
        <v>60034.765761141025</v>
      </c>
      <c r="N96" s="44"/>
      <c r="O96" s="59"/>
      <c r="P96" s="44" t="s">
        <v>81</v>
      </c>
      <c r="Q96" s="52">
        <v>60034.765761141025</v>
      </c>
      <c r="R96" s="71">
        <v>59983.75</v>
      </c>
    </row>
    <row r="97" spans="1:18" x14ac:dyDescent="0.25">
      <c r="A97" s="66" t="s">
        <v>82</v>
      </c>
      <c r="B97" s="117" t="s">
        <v>121</v>
      </c>
      <c r="C97" s="60">
        <v>45824</v>
      </c>
      <c r="D97" s="60">
        <v>45825</v>
      </c>
      <c r="E97" s="44">
        <v>495041</v>
      </c>
      <c r="F97" s="44" t="s">
        <v>83</v>
      </c>
      <c r="G97" s="44" t="s">
        <v>141</v>
      </c>
      <c r="H97" s="44">
        <v>290913</v>
      </c>
      <c r="I97" s="44">
        <v>1</v>
      </c>
      <c r="J97" s="44">
        <v>99.522442067736378</v>
      </c>
      <c r="K97" s="61">
        <v>102.099942</v>
      </c>
      <c r="L97" s="44">
        <v>4415</v>
      </c>
      <c r="M97" s="52">
        <v>450771.24291741097</v>
      </c>
      <c r="N97" s="44"/>
      <c r="O97" s="59"/>
      <c r="P97" s="44" t="s">
        <v>81</v>
      </c>
      <c r="Q97" s="52">
        <v>450771.24291741097</v>
      </c>
      <c r="R97" s="71">
        <v>450933.44</v>
      </c>
    </row>
    <row r="98" spans="1:18" x14ac:dyDescent="0.25">
      <c r="A98" s="66" t="s">
        <v>82</v>
      </c>
      <c r="B98" s="117" t="s">
        <v>85</v>
      </c>
      <c r="C98" s="60">
        <v>45825</v>
      </c>
      <c r="D98" s="60">
        <v>45825</v>
      </c>
      <c r="E98" s="44">
        <v>496439</v>
      </c>
      <c r="F98" s="44" t="s">
        <v>124</v>
      </c>
      <c r="G98" s="44" t="s">
        <v>141</v>
      </c>
      <c r="H98" s="44">
        <v>280907</v>
      </c>
      <c r="I98" s="44">
        <v>1</v>
      </c>
      <c r="J98" s="44">
        <v>7.95</v>
      </c>
      <c r="K98" s="61">
        <v>99.944411000000002</v>
      </c>
      <c r="L98" s="44">
        <v>12082</v>
      </c>
      <c r="M98" s="52">
        <v>1207528.3678531956</v>
      </c>
      <c r="N98" s="44"/>
      <c r="O98" s="59"/>
      <c r="P98" s="44" t="s">
        <v>125</v>
      </c>
      <c r="Q98" s="52">
        <v>1207528.3678531956</v>
      </c>
      <c r="R98" s="70">
        <v>-14.65</v>
      </c>
    </row>
    <row r="99" spans="1:18" x14ac:dyDescent="0.25">
      <c r="A99" s="66" t="s">
        <v>82</v>
      </c>
      <c r="B99" s="117" t="s">
        <v>86</v>
      </c>
      <c r="C99" s="60">
        <v>45825</v>
      </c>
      <c r="D99" s="60">
        <v>45825</v>
      </c>
      <c r="E99" s="44">
        <v>496439</v>
      </c>
      <c r="F99" s="44" t="s">
        <v>124</v>
      </c>
      <c r="G99" s="44" t="s">
        <v>141</v>
      </c>
      <c r="H99" s="44">
        <v>280907</v>
      </c>
      <c r="I99" s="44">
        <v>1</v>
      </c>
      <c r="J99" s="44">
        <v>7.95</v>
      </c>
      <c r="K99" s="61">
        <v>99.944411000000002</v>
      </c>
      <c r="L99" s="44">
        <v>600</v>
      </c>
      <c r="M99" s="52">
        <v>59966.646309544565</v>
      </c>
      <c r="N99" s="44"/>
      <c r="O99" s="59"/>
      <c r="P99" s="44" t="s">
        <v>125</v>
      </c>
      <c r="Q99" s="52">
        <v>59966.646309544565</v>
      </c>
      <c r="R99" s="70">
        <v>17.100000000000001</v>
      </c>
    </row>
    <row r="100" spans="1:18" x14ac:dyDescent="0.25">
      <c r="A100" s="66" t="s">
        <v>82</v>
      </c>
      <c r="B100" s="117" t="s">
        <v>121</v>
      </c>
      <c r="C100" s="60">
        <v>45825</v>
      </c>
      <c r="D100" s="60">
        <v>45825</v>
      </c>
      <c r="E100" s="44">
        <v>496439</v>
      </c>
      <c r="F100" s="44" t="s">
        <v>124</v>
      </c>
      <c r="G100" s="44" t="s">
        <v>141</v>
      </c>
      <c r="H100" s="44">
        <v>280907</v>
      </c>
      <c r="I100" s="44">
        <v>1</v>
      </c>
      <c r="J100" s="44">
        <v>7.95</v>
      </c>
      <c r="K100" s="61">
        <v>99.944411000000002</v>
      </c>
      <c r="L100" s="44">
        <v>4511</v>
      </c>
      <c r="M100" s="52">
        <v>450849.23583725916</v>
      </c>
      <c r="N100" s="44"/>
      <c r="O100" s="59"/>
      <c r="P100" s="44" t="s">
        <v>125</v>
      </c>
      <c r="Q100" s="52">
        <v>450849.23583725916</v>
      </c>
      <c r="R100" s="70">
        <v>84.2</v>
      </c>
    </row>
    <row r="101" spans="1:18" x14ac:dyDescent="0.25">
      <c r="A101" s="66" t="s">
        <v>82</v>
      </c>
      <c r="B101" s="117" t="s">
        <v>85</v>
      </c>
      <c r="C101" s="60">
        <v>45825</v>
      </c>
      <c r="D101" s="60">
        <v>45826</v>
      </c>
      <c r="E101" s="44">
        <v>496439</v>
      </c>
      <c r="F101" s="44" t="s">
        <v>83</v>
      </c>
      <c r="G101" s="44" t="s">
        <v>141</v>
      </c>
      <c r="H101" s="44">
        <v>280907</v>
      </c>
      <c r="I101" s="44">
        <v>1</v>
      </c>
      <c r="J101" s="44">
        <v>266.65711161519255</v>
      </c>
      <c r="K101" s="61">
        <v>99.966481000000002</v>
      </c>
      <c r="L101" s="44">
        <v>12082</v>
      </c>
      <c r="M101" s="52">
        <v>1207795.0249648115</v>
      </c>
      <c r="N101" s="44"/>
      <c r="O101" s="59"/>
      <c r="P101" s="44" t="s">
        <v>81</v>
      </c>
      <c r="Q101" s="52">
        <v>1207795.0249648115</v>
      </c>
      <c r="R101" s="71">
        <v>1207780.3700000001</v>
      </c>
    </row>
    <row r="102" spans="1:18" x14ac:dyDescent="0.25">
      <c r="A102" s="66" t="s">
        <v>82</v>
      </c>
      <c r="B102" s="117" t="s">
        <v>86</v>
      </c>
      <c r="C102" s="60">
        <v>45825</v>
      </c>
      <c r="D102" s="60">
        <v>45826</v>
      </c>
      <c r="E102" s="44">
        <v>496439</v>
      </c>
      <c r="F102" s="44" t="s">
        <v>83</v>
      </c>
      <c r="G102" s="44" t="s">
        <v>141</v>
      </c>
      <c r="H102" s="44">
        <v>280907</v>
      </c>
      <c r="I102" s="44">
        <v>1</v>
      </c>
      <c r="J102" s="44">
        <v>13.2423660792183</v>
      </c>
      <c r="K102" s="61">
        <v>99.966481000000002</v>
      </c>
      <c r="L102" s="44">
        <v>600</v>
      </c>
      <c r="M102" s="52">
        <v>59979.888675623821</v>
      </c>
      <c r="N102" s="44"/>
      <c r="O102" s="59"/>
      <c r="P102" s="44" t="s">
        <v>81</v>
      </c>
      <c r="Q102" s="52">
        <v>59979.888675623821</v>
      </c>
      <c r="R102" s="71">
        <v>59996.99</v>
      </c>
    </row>
    <row r="103" spans="1:18" x14ac:dyDescent="0.25">
      <c r="A103" s="66" t="s">
        <v>82</v>
      </c>
      <c r="B103" s="117" t="s">
        <v>121</v>
      </c>
      <c r="C103" s="60">
        <v>45825</v>
      </c>
      <c r="D103" s="60">
        <v>45826</v>
      </c>
      <c r="E103" s="44">
        <v>496439</v>
      </c>
      <c r="F103" s="44" t="s">
        <v>83</v>
      </c>
      <c r="G103" s="44" t="s">
        <v>141</v>
      </c>
      <c r="H103" s="44">
        <v>280907</v>
      </c>
      <c r="I103" s="44">
        <v>1</v>
      </c>
      <c r="J103" s="44">
        <v>99.560522305589586</v>
      </c>
      <c r="K103" s="61">
        <v>99.966481000000002</v>
      </c>
      <c r="L103" s="44">
        <v>4511</v>
      </c>
      <c r="M103" s="52">
        <v>450948.79635956511</v>
      </c>
      <c r="N103" s="44"/>
      <c r="O103" s="59"/>
      <c r="P103" s="44" t="s">
        <v>81</v>
      </c>
      <c r="Q103" s="52">
        <v>450948.79635956511</v>
      </c>
      <c r="R103" s="71">
        <v>451033</v>
      </c>
    </row>
    <row r="104" spans="1:18" x14ac:dyDescent="0.25">
      <c r="A104" s="66" t="s">
        <v>82</v>
      </c>
      <c r="B104" s="117" t="s">
        <v>85</v>
      </c>
      <c r="C104" s="60">
        <v>45826</v>
      </c>
      <c r="D104" s="60">
        <v>45826</v>
      </c>
      <c r="E104" s="44">
        <v>497668</v>
      </c>
      <c r="F104" s="44" t="s">
        <v>124</v>
      </c>
      <c r="G104" s="44" t="s">
        <v>141</v>
      </c>
      <c r="H104" s="44">
        <v>280511</v>
      </c>
      <c r="I104" s="44">
        <v>1</v>
      </c>
      <c r="J104" s="44">
        <v>7.95</v>
      </c>
      <c r="K104" s="61">
        <v>100.74597900000001</v>
      </c>
      <c r="L104" s="44">
        <v>11988</v>
      </c>
      <c r="M104" s="52">
        <v>1207742.7950293079</v>
      </c>
      <c r="N104" s="44"/>
      <c r="O104" s="59"/>
      <c r="P104" s="44" t="s">
        <v>125</v>
      </c>
      <c r="Q104" s="52">
        <v>1207742.7950293079</v>
      </c>
      <c r="R104" s="70">
        <v>37.57</v>
      </c>
    </row>
    <row r="105" spans="1:18" x14ac:dyDescent="0.25">
      <c r="A105" s="66" t="s">
        <v>82</v>
      </c>
      <c r="B105" s="117" t="s">
        <v>86</v>
      </c>
      <c r="C105" s="60">
        <v>45826</v>
      </c>
      <c r="D105" s="60">
        <v>45826</v>
      </c>
      <c r="E105" s="44">
        <v>497668</v>
      </c>
      <c r="F105" s="44" t="s">
        <v>124</v>
      </c>
      <c r="G105" s="44" t="s">
        <v>141</v>
      </c>
      <c r="H105" s="44">
        <v>280511</v>
      </c>
      <c r="I105" s="44">
        <v>1</v>
      </c>
      <c r="J105" s="44">
        <v>7.95</v>
      </c>
      <c r="K105" s="61">
        <v>100.74597900000001</v>
      </c>
      <c r="L105" s="44">
        <v>596</v>
      </c>
      <c r="M105" s="52">
        <v>60044.603423212175</v>
      </c>
      <c r="N105" s="44"/>
      <c r="O105" s="59"/>
      <c r="P105" s="44" t="s">
        <v>125</v>
      </c>
      <c r="Q105" s="52">
        <v>60044.603423212175</v>
      </c>
      <c r="R105" s="70">
        <v>-47.61</v>
      </c>
    </row>
    <row r="106" spans="1:18" x14ac:dyDescent="0.25">
      <c r="A106" s="66" t="s">
        <v>82</v>
      </c>
      <c r="B106" s="117" t="s">
        <v>121</v>
      </c>
      <c r="C106" s="60">
        <v>45826</v>
      </c>
      <c r="D106" s="60">
        <v>45826</v>
      </c>
      <c r="E106" s="44">
        <v>497668</v>
      </c>
      <c r="F106" s="44" t="s">
        <v>124</v>
      </c>
      <c r="G106" s="44" t="s">
        <v>141</v>
      </c>
      <c r="H106" s="44">
        <v>280511</v>
      </c>
      <c r="I106" s="44">
        <v>1</v>
      </c>
      <c r="J106" s="44">
        <v>7.95</v>
      </c>
      <c r="K106" s="61">
        <v>100.74597900000001</v>
      </c>
      <c r="L106" s="44">
        <v>4476</v>
      </c>
      <c r="M106" s="52">
        <v>450939.00154747936</v>
      </c>
      <c r="N106" s="44"/>
      <c r="O106" s="59"/>
      <c r="P106" s="44" t="s">
        <v>125</v>
      </c>
      <c r="Q106" s="52">
        <v>450939.00154747936</v>
      </c>
      <c r="R106" s="70">
        <v>94</v>
      </c>
    </row>
    <row r="107" spans="1:18" x14ac:dyDescent="0.25">
      <c r="A107" s="66" t="s">
        <v>82</v>
      </c>
      <c r="B107" s="117" t="s">
        <v>85</v>
      </c>
      <c r="C107" s="60">
        <v>45826</v>
      </c>
      <c r="D107" s="60">
        <v>45827</v>
      </c>
      <c r="E107" s="44">
        <v>497668</v>
      </c>
      <c r="F107" s="44" t="s">
        <v>83</v>
      </c>
      <c r="G107" s="44" t="s">
        <v>141</v>
      </c>
      <c r="H107" s="44">
        <v>280511</v>
      </c>
      <c r="I107" s="44">
        <v>1</v>
      </c>
      <c r="J107" s="44">
        <v>266.70840562719781</v>
      </c>
      <c r="K107" s="61">
        <v>100.768227</v>
      </c>
      <c r="L107" s="44">
        <v>11988</v>
      </c>
      <c r="M107" s="52">
        <v>1208009.5034349309</v>
      </c>
      <c r="N107" s="44"/>
      <c r="O107" s="59"/>
      <c r="P107" s="44" t="s">
        <v>81</v>
      </c>
      <c r="Q107" s="52">
        <v>1208009.5034349309</v>
      </c>
      <c r="R107" s="71">
        <v>1208047.07</v>
      </c>
    </row>
    <row r="108" spans="1:18" x14ac:dyDescent="0.25">
      <c r="A108" s="66" t="s">
        <v>82</v>
      </c>
      <c r="B108" s="117" t="s">
        <v>86</v>
      </c>
      <c r="C108" s="60">
        <v>45826</v>
      </c>
      <c r="D108" s="60">
        <v>45827</v>
      </c>
      <c r="E108" s="44">
        <v>497668</v>
      </c>
      <c r="F108" s="44" t="s">
        <v>83</v>
      </c>
      <c r="G108" s="44" t="s">
        <v>141</v>
      </c>
      <c r="H108" s="44">
        <v>280511</v>
      </c>
      <c r="I108" s="44">
        <v>1</v>
      </c>
      <c r="J108" s="44">
        <v>13.259777256740898</v>
      </c>
      <c r="K108" s="61">
        <v>100.768227</v>
      </c>
      <c r="L108" s="44">
        <v>596</v>
      </c>
      <c r="M108" s="52">
        <v>60057.863200468702</v>
      </c>
      <c r="N108" s="44"/>
      <c r="O108" s="59"/>
      <c r="P108" s="44" t="s">
        <v>81</v>
      </c>
      <c r="Q108" s="52">
        <v>60057.863200468702</v>
      </c>
      <c r="R108" s="71">
        <v>60010.25</v>
      </c>
    </row>
    <row r="109" spans="1:18" x14ac:dyDescent="0.25">
      <c r="A109" s="66" t="s">
        <v>82</v>
      </c>
      <c r="B109" s="117" t="s">
        <v>121</v>
      </c>
      <c r="C109" s="60">
        <v>45826</v>
      </c>
      <c r="D109" s="60">
        <v>45827</v>
      </c>
      <c r="E109" s="44">
        <v>497668</v>
      </c>
      <c r="F109" s="44" t="s">
        <v>83</v>
      </c>
      <c r="G109" s="44" t="s">
        <v>141</v>
      </c>
      <c r="H109" s="44">
        <v>280511</v>
      </c>
      <c r="I109" s="44">
        <v>1</v>
      </c>
      <c r="J109" s="44">
        <v>99.581817116060833</v>
      </c>
      <c r="K109" s="61">
        <v>100.768227</v>
      </c>
      <c r="L109" s="44">
        <v>4476</v>
      </c>
      <c r="M109" s="52">
        <v>451038.5833645938</v>
      </c>
      <c r="N109" s="44"/>
      <c r="O109" s="59"/>
      <c r="P109" s="44" t="s">
        <v>81</v>
      </c>
      <c r="Q109" s="52">
        <v>451038.5833645938</v>
      </c>
      <c r="R109" s="71">
        <v>451132.58</v>
      </c>
    </row>
    <row r="110" spans="1:18" x14ac:dyDescent="0.25">
      <c r="A110" s="66" t="s">
        <v>82</v>
      </c>
      <c r="B110" s="117" t="s">
        <v>85</v>
      </c>
      <c r="C110" s="60">
        <v>45827</v>
      </c>
      <c r="D110" s="60">
        <v>45827</v>
      </c>
      <c r="E110" s="44">
        <v>499104</v>
      </c>
      <c r="F110" s="44" t="s">
        <v>124</v>
      </c>
      <c r="G110" s="44" t="s">
        <v>141</v>
      </c>
      <c r="H110" s="44">
        <v>280511</v>
      </c>
      <c r="I110" s="44">
        <v>1</v>
      </c>
      <c r="J110" s="44">
        <v>7.95</v>
      </c>
      <c r="K110" s="61">
        <v>100.768171</v>
      </c>
      <c r="L110" s="44">
        <v>11988</v>
      </c>
      <c r="M110" s="52">
        <v>1208008.8288464227</v>
      </c>
      <c r="N110" s="44"/>
      <c r="O110" s="59"/>
      <c r="P110" s="44" t="s">
        <v>125</v>
      </c>
      <c r="Q110" s="52">
        <v>1208008.8288464227</v>
      </c>
      <c r="R110" s="70">
        <v>38.24</v>
      </c>
    </row>
    <row r="111" spans="1:18" x14ac:dyDescent="0.25">
      <c r="A111" s="66" t="s">
        <v>82</v>
      </c>
      <c r="B111" s="117" t="s">
        <v>86</v>
      </c>
      <c r="C111" s="60">
        <v>45827</v>
      </c>
      <c r="D111" s="60">
        <v>45827</v>
      </c>
      <c r="E111" s="44">
        <v>499104</v>
      </c>
      <c r="F111" s="44" t="s">
        <v>124</v>
      </c>
      <c r="G111" s="44" t="s">
        <v>141</v>
      </c>
      <c r="H111" s="44">
        <v>280511</v>
      </c>
      <c r="I111" s="44">
        <v>1</v>
      </c>
      <c r="J111" s="44">
        <v>7.95</v>
      </c>
      <c r="K111" s="61">
        <v>100.768171</v>
      </c>
      <c r="L111" s="44">
        <v>596</v>
      </c>
      <c r="M111" s="52">
        <v>60057.829662368029</v>
      </c>
      <c r="N111" s="44"/>
      <c r="O111" s="59"/>
      <c r="P111" s="44" t="s">
        <v>125</v>
      </c>
      <c r="Q111" s="52">
        <v>60057.829662368029</v>
      </c>
      <c r="R111" s="70">
        <v>-47.58</v>
      </c>
    </row>
    <row r="112" spans="1:18" x14ac:dyDescent="0.25">
      <c r="A112" s="66" t="s">
        <v>82</v>
      </c>
      <c r="B112" s="117" t="s">
        <v>121</v>
      </c>
      <c r="C112" s="60">
        <v>45827</v>
      </c>
      <c r="D112" s="60">
        <v>45827</v>
      </c>
      <c r="E112" s="44">
        <v>499104</v>
      </c>
      <c r="F112" s="44" t="s">
        <v>124</v>
      </c>
      <c r="G112" s="44" t="s">
        <v>141</v>
      </c>
      <c r="H112" s="44">
        <v>280511</v>
      </c>
      <c r="I112" s="44">
        <v>1</v>
      </c>
      <c r="J112" s="44">
        <v>7.95</v>
      </c>
      <c r="K112" s="61">
        <v>100.768171</v>
      </c>
      <c r="L112" s="44">
        <v>4476</v>
      </c>
      <c r="M112" s="52">
        <v>451038.33149120683</v>
      </c>
      <c r="N112" s="44"/>
      <c r="O112" s="59"/>
      <c r="P112" s="44" t="s">
        <v>125</v>
      </c>
      <c r="Q112" s="52">
        <v>451038.33149120683</v>
      </c>
      <c r="R112" s="70">
        <v>94.25</v>
      </c>
    </row>
    <row r="113" spans="1:18" x14ac:dyDescent="0.25">
      <c r="A113" s="66" t="s">
        <v>82</v>
      </c>
      <c r="B113" s="117" t="s">
        <v>85</v>
      </c>
      <c r="C113" s="60">
        <v>45428</v>
      </c>
      <c r="D113" s="60">
        <v>45828</v>
      </c>
      <c r="E113" s="44">
        <v>105206</v>
      </c>
      <c r="F113" s="44" t="s">
        <v>153</v>
      </c>
      <c r="G113" s="44" t="s">
        <v>149</v>
      </c>
      <c r="H113" s="44">
        <v>24</v>
      </c>
      <c r="I113" s="44">
        <v>400</v>
      </c>
      <c r="J113" s="44"/>
      <c r="K113" s="61">
        <v>55.758584999999997</v>
      </c>
      <c r="L113" s="44">
        <v>12470</v>
      </c>
      <c r="M113" s="52">
        <v>695309.5549499999</v>
      </c>
      <c r="N113" s="44"/>
      <c r="O113" s="59"/>
      <c r="P113" s="44" t="s">
        <v>81</v>
      </c>
      <c r="Q113" s="52">
        <v>695309.5549499999</v>
      </c>
      <c r="R113" s="71">
        <v>695347.79494999989</v>
      </c>
    </row>
    <row r="114" spans="1:18" x14ac:dyDescent="0.25">
      <c r="A114" s="66" t="s">
        <v>82</v>
      </c>
      <c r="B114" s="117" t="s">
        <v>121</v>
      </c>
      <c r="C114" s="60">
        <v>45428</v>
      </c>
      <c r="D114" s="60">
        <v>45828</v>
      </c>
      <c r="E114" s="44">
        <v>105206</v>
      </c>
      <c r="F114" s="44" t="s">
        <v>153</v>
      </c>
      <c r="G114" s="44" t="s">
        <v>149</v>
      </c>
      <c r="H114" s="44">
        <v>24</v>
      </c>
      <c r="I114" s="44">
        <v>400</v>
      </c>
      <c r="J114" s="44"/>
      <c r="K114" s="61">
        <v>55.758584999999997</v>
      </c>
      <c r="L114" s="44">
        <v>12470</v>
      </c>
      <c r="M114" s="52">
        <v>695309.5549499999</v>
      </c>
      <c r="N114" s="44"/>
      <c r="O114" s="59"/>
      <c r="P114" s="44" t="s">
        <v>81</v>
      </c>
      <c r="Q114" s="52">
        <v>695309.5549499999</v>
      </c>
      <c r="R114" s="71">
        <v>695403.8049499999</v>
      </c>
    </row>
    <row r="115" spans="1:18" x14ac:dyDescent="0.25">
      <c r="A115" s="66" t="s">
        <v>82</v>
      </c>
      <c r="B115" s="117" t="s">
        <v>85</v>
      </c>
      <c r="C115" s="60">
        <v>45428</v>
      </c>
      <c r="D115" s="60">
        <v>45828</v>
      </c>
      <c r="E115" s="44">
        <v>105206</v>
      </c>
      <c r="F115" s="44" t="s">
        <v>154</v>
      </c>
      <c r="G115" s="44" t="s">
        <v>149</v>
      </c>
      <c r="H115" s="44">
        <v>24</v>
      </c>
      <c r="I115" s="44"/>
      <c r="J115" s="44"/>
      <c r="K115" s="61"/>
      <c r="L115" s="44"/>
      <c r="M115" s="52">
        <v>11439.395</v>
      </c>
      <c r="N115" s="44"/>
      <c r="O115" s="59"/>
      <c r="P115" s="44" t="s">
        <v>81</v>
      </c>
      <c r="Q115" s="52">
        <v>11439.395</v>
      </c>
      <c r="R115" s="71">
        <v>706787.18994999991</v>
      </c>
    </row>
    <row r="116" spans="1:18" x14ac:dyDescent="0.25">
      <c r="A116" s="66" t="s">
        <v>82</v>
      </c>
      <c r="B116" s="117" t="s">
        <v>121</v>
      </c>
      <c r="C116" s="60">
        <v>45428</v>
      </c>
      <c r="D116" s="60">
        <v>45828</v>
      </c>
      <c r="E116" s="44">
        <v>105206</v>
      </c>
      <c r="F116" s="44" t="s">
        <v>154</v>
      </c>
      <c r="G116" s="44" t="s">
        <v>149</v>
      </c>
      <c r="H116" s="44">
        <v>24</v>
      </c>
      <c r="I116" s="44"/>
      <c r="J116" s="44"/>
      <c r="K116" s="61"/>
      <c r="L116" s="44"/>
      <c r="M116" s="52">
        <v>11439.395</v>
      </c>
      <c r="N116" s="44"/>
      <c r="O116" s="59"/>
      <c r="P116" s="44" t="s">
        <v>81</v>
      </c>
      <c r="Q116" s="52">
        <v>11439.395</v>
      </c>
      <c r="R116" s="71">
        <v>706843.19994999992</v>
      </c>
    </row>
    <row r="117" spans="1:18" x14ac:dyDescent="0.25">
      <c r="A117" s="66" t="s">
        <v>82</v>
      </c>
      <c r="B117" s="117" t="s">
        <v>85</v>
      </c>
      <c r="C117" s="60">
        <v>45428</v>
      </c>
      <c r="D117" s="60">
        <v>45828</v>
      </c>
      <c r="E117" s="44">
        <v>105207</v>
      </c>
      <c r="F117" s="44" t="s">
        <v>153</v>
      </c>
      <c r="G117" s="44" t="s">
        <v>149</v>
      </c>
      <c r="H117" s="44">
        <v>24</v>
      </c>
      <c r="I117" s="44">
        <v>400</v>
      </c>
      <c r="J117" s="44"/>
      <c r="K117" s="61">
        <v>55.758584999999997</v>
      </c>
      <c r="L117" s="44">
        <v>5000</v>
      </c>
      <c r="M117" s="52">
        <v>278792.92499999999</v>
      </c>
      <c r="N117" s="44"/>
      <c r="O117" s="59"/>
      <c r="P117" s="44" t="s">
        <v>81</v>
      </c>
      <c r="Q117" s="52">
        <v>278792.92499999999</v>
      </c>
      <c r="R117" s="71">
        <v>985580.11494999984</v>
      </c>
    </row>
    <row r="118" spans="1:18" x14ac:dyDescent="0.25">
      <c r="A118" s="66" t="s">
        <v>82</v>
      </c>
      <c r="B118" s="117" t="s">
        <v>121</v>
      </c>
      <c r="C118" s="60">
        <v>45428</v>
      </c>
      <c r="D118" s="60">
        <v>45828</v>
      </c>
      <c r="E118" s="44">
        <v>105207</v>
      </c>
      <c r="F118" s="44" t="s">
        <v>153</v>
      </c>
      <c r="G118" s="44" t="s">
        <v>149</v>
      </c>
      <c r="H118" s="44">
        <v>24</v>
      </c>
      <c r="I118" s="44">
        <v>400</v>
      </c>
      <c r="J118" s="44"/>
      <c r="K118" s="61">
        <v>55.758584999999997</v>
      </c>
      <c r="L118" s="44">
        <v>5000</v>
      </c>
      <c r="M118" s="52">
        <v>278792.92499999999</v>
      </c>
      <c r="N118" s="44"/>
      <c r="O118" s="59"/>
      <c r="P118" s="44" t="s">
        <v>81</v>
      </c>
      <c r="Q118" s="52">
        <v>278792.92499999999</v>
      </c>
      <c r="R118" s="71">
        <v>985636.12494999985</v>
      </c>
    </row>
    <row r="119" spans="1:18" x14ac:dyDescent="0.25">
      <c r="A119" s="66" t="s">
        <v>82</v>
      </c>
      <c r="B119" s="117" t="s">
        <v>85</v>
      </c>
      <c r="C119" s="60">
        <v>45428</v>
      </c>
      <c r="D119" s="60">
        <v>45828</v>
      </c>
      <c r="E119" s="44">
        <v>105207</v>
      </c>
      <c r="F119" s="44" t="s">
        <v>154</v>
      </c>
      <c r="G119" s="44" t="s">
        <v>149</v>
      </c>
      <c r="H119" s="44">
        <v>24</v>
      </c>
      <c r="I119" s="44"/>
      <c r="J119" s="44"/>
      <c r="K119" s="61"/>
      <c r="L119" s="44"/>
      <c r="M119" s="52">
        <v>4586.7650000000003</v>
      </c>
      <c r="N119" s="44"/>
      <c r="O119" s="59"/>
      <c r="P119" s="44" t="s">
        <v>81</v>
      </c>
      <c r="Q119" s="52">
        <v>4586.7650000000003</v>
      </c>
      <c r="R119" s="71">
        <v>990166.87994999986</v>
      </c>
    </row>
    <row r="120" spans="1:18" x14ac:dyDescent="0.25">
      <c r="A120" s="66" t="s">
        <v>82</v>
      </c>
      <c r="B120" s="117" t="s">
        <v>121</v>
      </c>
      <c r="C120" s="60">
        <v>45428</v>
      </c>
      <c r="D120" s="60">
        <v>45828</v>
      </c>
      <c r="E120" s="44">
        <v>105207</v>
      </c>
      <c r="F120" s="44" t="s">
        <v>154</v>
      </c>
      <c r="G120" s="44" t="s">
        <v>149</v>
      </c>
      <c r="H120" s="44">
        <v>24</v>
      </c>
      <c r="I120" s="44"/>
      <c r="J120" s="44"/>
      <c r="K120" s="61"/>
      <c r="L120" s="44"/>
      <c r="M120" s="52">
        <v>4586.7650000000003</v>
      </c>
      <c r="N120" s="44"/>
      <c r="O120" s="59"/>
      <c r="P120" s="44" t="s">
        <v>81</v>
      </c>
      <c r="Q120" s="52">
        <v>4586.7650000000003</v>
      </c>
      <c r="R120" s="71">
        <v>990222.88994999987</v>
      </c>
    </row>
    <row r="121" spans="1:18" x14ac:dyDescent="0.25">
      <c r="A121" s="66" t="s">
        <v>82</v>
      </c>
      <c r="B121" s="117" t="s">
        <v>85</v>
      </c>
      <c r="C121" s="60">
        <v>45827</v>
      </c>
      <c r="D121" s="60">
        <v>45828</v>
      </c>
      <c r="E121" s="44">
        <v>499104</v>
      </c>
      <c r="F121" s="44" t="s">
        <v>83</v>
      </c>
      <c r="G121" s="44" t="s">
        <v>141</v>
      </c>
      <c r="H121" s="44">
        <v>280511</v>
      </c>
      <c r="I121" s="44">
        <v>1</v>
      </c>
      <c r="J121" s="44">
        <v>266.76462133646015</v>
      </c>
      <c r="K121" s="61">
        <v>100.790423</v>
      </c>
      <c r="L121" s="44">
        <v>11988</v>
      </c>
      <c r="M121" s="52">
        <v>1208275.5934677576</v>
      </c>
      <c r="N121" s="44"/>
      <c r="O121" s="59"/>
      <c r="P121" s="44" t="s">
        <v>81</v>
      </c>
      <c r="Q121" s="52">
        <v>1208275.5934677576</v>
      </c>
      <c r="R121" s="71">
        <v>2198442.4700000002</v>
      </c>
    </row>
    <row r="122" spans="1:18" x14ac:dyDescent="0.25">
      <c r="A122" s="66" t="s">
        <v>82</v>
      </c>
      <c r="B122" s="117" t="s">
        <v>86</v>
      </c>
      <c r="C122" s="60">
        <v>45827</v>
      </c>
      <c r="D122" s="60">
        <v>45828</v>
      </c>
      <c r="E122" s="44">
        <v>499104</v>
      </c>
      <c r="F122" s="44" t="s">
        <v>83</v>
      </c>
      <c r="G122" s="44" t="s">
        <v>141</v>
      </c>
      <c r="H122" s="44">
        <v>280511</v>
      </c>
      <c r="I122" s="44">
        <v>1</v>
      </c>
      <c r="J122" s="44">
        <v>13.262572098475998</v>
      </c>
      <c r="K122" s="61">
        <v>100.790423</v>
      </c>
      <c r="L122" s="44">
        <v>596</v>
      </c>
      <c r="M122" s="52">
        <v>60071.092234466429</v>
      </c>
      <c r="N122" s="44"/>
      <c r="O122" s="59"/>
      <c r="P122" s="44" t="s">
        <v>81</v>
      </c>
      <c r="Q122" s="52">
        <v>60071.092234466429</v>
      </c>
      <c r="R122" s="71">
        <v>60023.51</v>
      </c>
    </row>
    <row r="123" spans="1:18" x14ac:dyDescent="0.25">
      <c r="A123" s="66" t="s">
        <v>82</v>
      </c>
      <c r="B123" s="117" t="s">
        <v>121</v>
      </c>
      <c r="C123" s="60">
        <v>45827</v>
      </c>
      <c r="D123" s="60">
        <v>45828</v>
      </c>
      <c r="E123" s="44">
        <v>499104</v>
      </c>
      <c r="F123" s="44" t="s">
        <v>83</v>
      </c>
      <c r="G123" s="44" t="s">
        <v>141</v>
      </c>
      <c r="H123" s="44">
        <v>280511</v>
      </c>
      <c r="I123" s="44">
        <v>1</v>
      </c>
      <c r="J123" s="44">
        <v>99.602806565064711</v>
      </c>
      <c r="K123" s="61">
        <v>100.790423</v>
      </c>
      <c r="L123" s="44">
        <v>4476</v>
      </c>
      <c r="M123" s="52">
        <v>451137.93429777137</v>
      </c>
      <c r="N123" s="44"/>
      <c r="O123" s="59"/>
      <c r="P123" s="44" t="s">
        <v>81</v>
      </c>
      <c r="Q123" s="52">
        <v>451137.93429777137</v>
      </c>
      <c r="R123" s="71">
        <v>1441360.82</v>
      </c>
    </row>
    <row r="124" spans="1:18" x14ac:dyDescent="0.25">
      <c r="A124" s="66" t="s">
        <v>82</v>
      </c>
      <c r="B124" s="117" t="s">
        <v>85</v>
      </c>
      <c r="C124" s="60">
        <v>45828</v>
      </c>
      <c r="D124" s="60">
        <v>45828</v>
      </c>
      <c r="E124" s="44">
        <v>501660</v>
      </c>
      <c r="F124" s="44" t="s">
        <v>124</v>
      </c>
      <c r="G124" s="44" t="s">
        <v>141</v>
      </c>
      <c r="H124" s="44">
        <v>280907</v>
      </c>
      <c r="I124" s="44">
        <v>3</v>
      </c>
      <c r="J124" s="44">
        <v>7.95</v>
      </c>
      <c r="K124" s="61">
        <v>100.012573</v>
      </c>
      <c r="L124" s="44">
        <v>21982</v>
      </c>
      <c r="M124" s="52">
        <v>2198476.3779098764</v>
      </c>
      <c r="N124" s="44"/>
      <c r="O124" s="59"/>
      <c r="P124" s="44" t="s">
        <v>125</v>
      </c>
      <c r="Q124" s="52">
        <v>2198476.3779098764</v>
      </c>
      <c r="R124" s="70">
        <v>-33.909999999999997</v>
      </c>
    </row>
    <row r="125" spans="1:18" x14ac:dyDescent="0.25">
      <c r="A125" s="66" t="s">
        <v>82</v>
      </c>
      <c r="B125" s="117" t="s">
        <v>86</v>
      </c>
      <c r="C125" s="60">
        <v>45828</v>
      </c>
      <c r="D125" s="60">
        <v>45828</v>
      </c>
      <c r="E125" s="44">
        <v>501660</v>
      </c>
      <c r="F125" s="44" t="s">
        <v>124</v>
      </c>
      <c r="G125" s="44" t="s">
        <v>141</v>
      </c>
      <c r="H125" s="44">
        <v>280907</v>
      </c>
      <c r="I125" s="44">
        <v>3</v>
      </c>
      <c r="J125" s="44">
        <v>7.95</v>
      </c>
      <c r="K125" s="61">
        <v>100.012573</v>
      </c>
      <c r="L125" s="44">
        <v>600</v>
      </c>
      <c r="M125" s="52">
        <v>60007.543751520599</v>
      </c>
      <c r="N125" s="44"/>
      <c r="O125" s="59"/>
      <c r="P125" s="44" t="s">
        <v>125</v>
      </c>
      <c r="Q125" s="52">
        <v>60007.543751520599</v>
      </c>
      <c r="R125" s="70">
        <v>15.97</v>
      </c>
    </row>
    <row r="126" spans="1:18" x14ac:dyDescent="0.25">
      <c r="A126" s="66" t="s">
        <v>82</v>
      </c>
      <c r="B126" s="117" t="s">
        <v>121</v>
      </c>
      <c r="C126" s="60">
        <v>45828</v>
      </c>
      <c r="D126" s="60">
        <v>45828</v>
      </c>
      <c r="E126" s="44">
        <v>501660</v>
      </c>
      <c r="F126" s="44" t="s">
        <v>124</v>
      </c>
      <c r="G126" s="44" t="s">
        <v>141</v>
      </c>
      <c r="H126" s="44">
        <v>280907</v>
      </c>
      <c r="I126" s="44">
        <v>3</v>
      </c>
      <c r="J126" s="44">
        <v>7.95</v>
      </c>
      <c r="K126" s="61">
        <v>100.012573</v>
      </c>
      <c r="L126" s="44">
        <v>14411</v>
      </c>
      <c r="M126" s="52">
        <v>1441281.1883386055</v>
      </c>
      <c r="N126" s="44"/>
      <c r="O126" s="59"/>
      <c r="P126" s="44" t="s">
        <v>125</v>
      </c>
      <c r="Q126" s="52">
        <v>1441281.1883386055</v>
      </c>
      <c r="R126" s="70">
        <v>79.63</v>
      </c>
    </row>
    <row r="127" spans="1:18" x14ac:dyDescent="0.25">
      <c r="A127" s="66" t="s">
        <v>82</v>
      </c>
      <c r="B127" s="117" t="s">
        <v>85</v>
      </c>
      <c r="C127" s="60">
        <v>45828</v>
      </c>
      <c r="D127" s="60">
        <v>45831</v>
      </c>
      <c r="E127" s="44">
        <v>501660</v>
      </c>
      <c r="F127" s="44" t="s">
        <v>83</v>
      </c>
      <c r="G127" s="44" t="s">
        <v>141</v>
      </c>
      <c r="H127" s="44">
        <v>280907</v>
      </c>
      <c r="I127" s="44">
        <v>3</v>
      </c>
      <c r="J127" s="52">
        <v>1456.4879944854426</v>
      </c>
      <c r="K127" s="61">
        <v>100.07883099999999</v>
      </c>
      <c r="L127" s="44">
        <v>21982</v>
      </c>
      <c r="M127" s="52">
        <v>2199932.8659043638</v>
      </c>
      <c r="N127" s="44"/>
      <c r="O127" s="59"/>
      <c r="P127" s="44" t="s">
        <v>81</v>
      </c>
      <c r="Q127" s="52">
        <v>2199932.8659043638</v>
      </c>
      <c r="R127" s="71">
        <v>2199898.96</v>
      </c>
    </row>
    <row r="128" spans="1:18" x14ac:dyDescent="0.25">
      <c r="A128" s="66" t="s">
        <v>82</v>
      </c>
      <c r="B128" s="117" t="s">
        <v>86</v>
      </c>
      <c r="C128" s="60">
        <v>45828</v>
      </c>
      <c r="D128" s="60">
        <v>45831</v>
      </c>
      <c r="E128" s="44">
        <v>501660</v>
      </c>
      <c r="F128" s="44" t="s">
        <v>83</v>
      </c>
      <c r="G128" s="44" t="s">
        <v>141</v>
      </c>
      <c r="H128" s="44">
        <v>280907</v>
      </c>
      <c r="I128" s="44">
        <v>3</v>
      </c>
      <c r="J128" s="52">
        <v>39.754926607736586</v>
      </c>
      <c r="K128" s="61">
        <v>100.07883099999999</v>
      </c>
      <c r="L128" s="44">
        <v>600</v>
      </c>
      <c r="M128" s="52">
        <v>60047.298678128398</v>
      </c>
      <c r="N128" s="44"/>
      <c r="O128" s="59"/>
      <c r="P128" s="44" t="s">
        <v>81</v>
      </c>
      <c r="Q128" s="52">
        <v>60047.298678128398</v>
      </c>
      <c r="R128" s="71">
        <v>60063.27</v>
      </c>
    </row>
    <row r="129" spans="1:18" x14ac:dyDescent="0.25">
      <c r="A129" s="66" t="s">
        <v>82</v>
      </c>
      <c r="B129" s="117" t="s">
        <v>121</v>
      </c>
      <c r="C129" s="60">
        <v>45828</v>
      </c>
      <c r="D129" s="60">
        <v>45831</v>
      </c>
      <c r="E129" s="44">
        <v>501660</v>
      </c>
      <c r="F129" s="44" t="s">
        <v>83</v>
      </c>
      <c r="G129" s="44" t="s">
        <v>141</v>
      </c>
      <c r="H129" s="44">
        <v>280907</v>
      </c>
      <c r="I129" s="44">
        <v>3</v>
      </c>
      <c r="J129" s="52">
        <v>954.84707890681977</v>
      </c>
      <c r="K129" s="61">
        <v>100.07883099999999</v>
      </c>
      <c r="L129" s="44">
        <v>14411</v>
      </c>
      <c r="M129" s="52">
        <v>1442236.0354175139</v>
      </c>
      <c r="N129" s="44"/>
      <c r="O129" s="59"/>
      <c r="P129" s="44" t="s">
        <v>81</v>
      </c>
      <c r="Q129" s="52">
        <v>1442236.0354175139</v>
      </c>
      <c r="R129" s="71">
        <v>1442315.67</v>
      </c>
    </row>
    <row r="130" spans="1:18" x14ac:dyDescent="0.25">
      <c r="A130" s="66" t="s">
        <v>82</v>
      </c>
      <c r="B130" s="117" t="s">
        <v>85</v>
      </c>
      <c r="C130" s="60">
        <v>45831</v>
      </c>
      <c r="D130" s="60">
        <v>45831</v>
      </c>
      <c r="E130" s="44">
        <v>502053</v>
      </c>
      <c r="F130" s="44" t="s">
        <v>124</v>
      </c>
      <c r="G130" s="44" t="s">
        <v>141</v>
      </c>
      <c r="H130" s="44">
        <v>280907</v>
      </c>
      <c r="I130" s="44">
        <v>1</v>
      </c>
      <c r="J130" s="44">
        <v>7.95</v>
      </c>
      <c r="K130" s="61">
        <v>100.080944</v>
      </c>
      <c r="L130" s="44">
        <v>22054</v>
      </c>
      <c r="M130" s="52">
        <v>2207185.1388809914</v>
      </c>
      <c r="N130" s="44"/>
      <c r="O130" s="59"/>
      <c r="P130" s="44" t="s">
        <v>125</v>
      </c>
      <c r="Q130" s="52">
        <v>2207185.1388809914</v>
      </c>
      <c r="R130" s="71">
        <v>-7286.18</v>
      </c>
    </row>
    <row r="131" spans="1:18" x14ac:dyDescent="0.25">
      <c r="A131" s="66" t="s">
        <v>82</v>
      </c>
      <c r="B131" s="117" t="s">
        <v>86</v>
      </c>
      <c r="C131" s="60">
        <v>45831</v>
      </c>
      <c r="D131" s="60">
        <v>45831</v>
      </c>
      <c r="E131" s="44">
        <v>502053</v>
      </c>
      <c r="F131" s="44" t="s">
        <v>124</v>
      </c>
      <c r="G131" s="44" t="s">
        <v>141</v>
      </c>
      <c r="H131" s="44">
        <v>280907</v>
      </c>
      <c r="I131" s="44">
        <v>1</v>
      </c>
      <c r="J131" s="44">
        <v>7.95</v>
      </c>
      <c r="K131" s="61">
        <v>100.080944</v>
      </c>
      <c r="L131" s="44">
        <v>600</v>
      </c>
      <c r="M131" s="52">
        <v>60048.566397415198</v>
      </c>
      <c r="N131" s="44"/>
      <c r="O131" s="59"/>
      <c r="P131" s="44" t="s">
        <v>125</v>
      </c>
      <c r="Q131" s="52">
        <v>60048.566397415198</v>
      </c>
      <c r="R131" s="71">
        <v>14.71</v>
      </c>
    </row>
    <row r="132" spans="1:18" x14ac:dyDescent="0.25">
      <c r="A132" s="66" t="s">
        <v>82</v>
      </c>
      <c r="B132" s="117" t="s">
        <v>121</v>
      </c>
      <c r="C132" s="60">
        <v>45831</v>
      </c>
      <c r="D132" s="60">
        <v>45831</v>
      </c>
      <c r="E132" s="44">
        <v>502053</v>
      </c>
      <c r="F132" s="44" t="s">
        <v>124</v>
      </c>
      <c r="G132" s="44" t="s">
        <v>141</v>
      </c>
      <c r="H132" s="44">
        <v>280907</v>
      </c>
      <c r="I132" s="44">
        <v>1</v>
      </c>
      <c r="J132" s="44">
        <v>7.95</v>
      </c>
      <c r="K132" s="61">
        <v>100.080944</v>
      </c>
      <c r="L132" s="44">
        <v>14486</v>
      </c>
      <c r="M132" s="52">
        <v>1449772.5547215943</v>
      </c>
      <c r="N132" s="44"/>
      <c r="O132" s="59"/>
      <c r="P132" s="44" t="s">
        <v>125</v>
      </c>
      <c r="Q132" s="52">
        <v>1449772.5547215943</v>
      </c>
      <c r="R132" s="71">
        <v>-7456.88</v>
      </c>
    </row>
    <row r="133" spans="1:18" x14ac:dyDescent="0.25">
      <c r="A133" s="66" t="s">
        <v>80</v>
      </c>
      <c r="B133" s="117" t="s">
        <v>85</v>
      </c>
      <c r="C133" s="60">
        <v>45831</v>
      </c>
      <c r="D133" s="60">
        <v>45831</v>
      </c>
      <c r="E133" s="44">
        <v>853998</v>
      </c>
      <c r="F133" s="44" t="s">
        <v>150</v>
      </c>
      <c r="G133" s="44" t="s">
        <v>145</v>
      </c>
      <c r="H133" s="44" t="s">
        <v>94</v>
      </c>
      <c r="I133" s="44"/>
      <c r="J133" s="44"/>
      <c r="K133" s="61"/>
      <c r="L133" s="44"/>
      <c r="M133" s="52">
        <v>7384.4</v>
      </c>
      <c r="N133" s="44"/>
      <c r="O133" s="59"/>
      <c r="P133" s="44" t="s">
        <v>81</v>
      </c>
      <c r="Q133" s="52">
        <v>7384.4</v>
      </c>
      <c r="R133" s="70">
        <v>98.27</v>
      </c>
    </row>
    <row r="134" spans="1:18" x14ac:dyDescent="0.25">
      <c r="A134" s="66" t="s">
        <v>80</v>
      </c>
      <c r="B134" s="117" t="s">
        <v>121</v>
      </c>
      <c r="C134" s="60">
        <v>45831</v>
      </c>
      <c r="D134" s="60">
        <v>45831</v>
      </c>
      <c r="E134" s="44">
        <v>853998</v>
      </c>
      <c r="F134" s="44" t="s">
        <v>150</v>
      </c>
      <c r="G134" s="44" t="s">
        <v>145</v>
      </c>
      <c r="H134" s="44" t="s">
        <v>94</v>
      </c>
      <c r="I134" s="44"/>
      <c r="J134" s="44"/>
      <c r="K134" s="61"/>
      <c r="L134" s="44"/>
      <c r="M134" s="52">
        <v>7384.3908000000001</v>
      </c>
      <c r="N134" s="44"/>
      <c r="O134" s="59"/>
      <c r="P134" s="44" t="s">
        <v>81</v>
      </c>
      <c r="Q134" s="52">
        <v>7384.3908000000001</v>
      </c>
      <c r="R134" s="70">
        <v>-72.53</v>
      </c>
    </row>
    <row r="135" spans="1:18" x14ac:dyDescent="0.25">
      <c r="A135" s="66" t="s">
        <v>82</v>
      </c>
      <c r="B135" s="117" t="s">
        <v>85</v>
      </c>
      <c r="C135" s="60">
        <v>45831</v>
      </c>
      <c r="D135" s="60">
        <v>45832</v>
      </c>
      <c r="E135" s="44">
        <v>502053</v>
      </c>
      <c r="F135" s="44" t="s">
        <v>83</v>
      </c>
      <c r="G135" s="44" t="s">
        <v>141</v>
      </c>
      <c r="H135" s="44">
        <v>280907</v>
      </c>
      <c r="I135" s="44">
        <v>1</v>
      </c>
      <c r="J135" s="44">
        <v>487.41477705977428</v>
      </c>
      <c r="K135" s="61">
        <v>100.10304499999999</v>
      </c>
      <c r="L135" s="44">
        <v>22054</v>
      </c>
      <c r="M135" s="52">
        <v>2207672.553658044</v>
      </c>
      <c r="N135" s="44"/>
      <c r="O135" s="59"/>
      <c r="P135" s="44" t="s">
        <v>81</v>
      </c>
      <c r="Q135" s="52">
        <v>2207672.553658044</v>
      </c>
      <c r="R135" s="71">
        <v>2207770.8199999998</v>
      </c>
    </row>
    <row r="136" spans="1:18" x14ac:dyDescent="0.25">
      <c r="A136" s="66" t="s">
        <v>82</v>
      </c>
      <c r="B136" s="117" t="s">
        <v>86</v>
      </c>
      <c r="C136" s="60">
        <v>45831</v>
      </c>
      <c r="D136" s="60">
        <v>45832</v>
      </c>
      <c r="E136" s="44">
        <v>502053</v>
      </c>
      <c r="F136" s="44" t="s">
        <v>83</v>
      </c>
      <c r="G136" s="44" t="s">
        <v>141</v>
      </c>
      <c r="H136" s="44">
        <v>280907</v>
      </c>
      <c r="I136" s="44">
        <v>1</v>
      </c>
      <c r="J136" s="44">
        <v>13.26058158319872</v>
      </c>
      <c r="K136" s="61">
        <v>100.10304499999999</v>
      </c>
      <c r="L136" s="44">
        <v>600</v>
      </c>
      <c r="M136" s="52">
        <v>60061.826978998201</v>
      </c>
      <c r="N136" s="44"/>
      <c r="O136" s="59"/>
      <c r="P136" s="44" t="s">
        <v>81</v>
      </c>
      <c r="Q136" s="52">
        <v>60061.826978998201</v>
      </c>
      <c r="R136" s="71">
        <v>60076.54</v>
      </c>
    </row>
    <row r="137" spans="1:18" x14ac:dyDescent="0.25">
      <c r="A137" s="66" t="s">
        <v>82</v>
      </c>
      <c r="B137" s="117" t="s">
        <v>121</v>
      </c>
      <c r="C137" s="60">
        <v>45831</v>
      </c>
      <c r="D137" s="60">
        <v>45832</v>
      </c>
      <c r="E137" s="44">
        <v>502053</v>
      </c>
      <c r="F137" s="44" t="s">
        <v>83</v>
      </c>
      <c r="G137" s="44" t="s">
        <v>141</v>
      </c>
      <c r="H137" s="44">
        <v>280907</v>
      </c>
      <c r="I137" s="44">
        <v>1</v>
      </c>
      <c r="J137" s="44">
        <v>320.15464135702774</v>
      </c>
      <c r="K137" s="61">
        <v>100.10304499999999</v>
      </c>
      <c r="L137" s="44">
        <v>14486</v>
      </c>
      <c r="M137" s="52">
        <v>1450092.7093629465</v>
      </c>
      <c r="N137" s="44"/>
      <c r="O137" s="59"/>
      <c r="P137" s="44" t="s">
        <v>81</v>
      </c>
      <c r="Q137" s="52">
        <v>1450092.7093629465</v>
      </c>
      <c r="R137" s="71">
        <v>1450020.18</v>
      </c>
    </row>
    <row r="138" spans="1:18" x14ac:dyDescent="0.25">
      <c r="A138" s="66" t="s">
        <v>82</v>
      </c>
      <c r="B138" s="117" t="s">
        <v>85</v>
      </c>
      <c r="C138" s="60">
        <v>45832</v>
      </c>
      <c r="D138" s="60">
        <v>45832</v>
      </c>
      <c r="E138" s="44">
        <v>503659</v>
      </c>
      <c r="F138" s="44" t="s">
        <v>124</v>
      </c>
      <c r="G138" s="44" t="s">
        <v>141</v>
      </c>
      <c r="H138" s="44">
        <v>280907</v>
      </c>
      <c r="I138" s="44">
        <v>1</v>
      </c>
      <c r="J138" s="44">
        <v>7.95</v>
      </c>
      <c r="K138" s="61">
        <v>100.10449</v>
      </c>
      <c r="L138" s="44">
        <v>22055</v>
      </c>
      <c r="M138" s="52">
        <v>2207804.5245092832</v>
      </c>
      <c r="N138" s="44"/>
      <c r="O138" s="59"/>
      <c r="P138" s="44" t="s">
        <v>125</v>
      </c>
      <c r="Q138" s="52">
        <v>2207804.5245092832</v>
      </c>
      <c r="R138" s="70">
        <v>-33.700000000000003</v>
      </c>
    </row>
    <row r="139" spans="1:18" x14ac:dyDescent="0.25">
      <c r="A139" s="66" t="s">
        <v>82</v>
      </c>
      <c r="B139" s="117" t="s">
        <v>86</v>
      </c>
      <c r="C139" s="60">
        <v>45832</v>
      </c>
      <c r="D139" s="60">
        <v>45832</v>
      </c>
      <c r="E139" s="44">
        <v>503659</v>
      </c>
      <c r="F139" s="44" t="s">
        <v>124</v>
      </c>
      <c r="G139" s="44" t="s">
        <v>141</v>
      </c>
      <c r="H139" s="44">
        <v>280907</v>
      </c>
      <c r="I139" s="44">
        <v>1</v>
      </c>
      <c r="J139" s="44">
        <v>7.95</v>
      </c>
      <c r="K139" s="61">
        <v>100.10449</v>
      </c>
      <c r="L139" s="44">
        <v>600</v>
      </c>
      <c r="M139" s="52">
        <v>60062.693933600996</v>
      </c>
      <c r="N139" s="44"/>
      <c r="O139" s="59"/>
      <c r="P139" s="44" t="s">
        <v>125</v>
      </c>
      <c r="Q139" s="52">
        <v>60062.693933600996</v>
      </c>
      <c r="R139" s="70">
        <v>13.85</v>
      </c>
    </row>
    <row r="140" spans="1:18" x14ac:dyDescent="0.25">
      <c r="A140" s="66" t="s">
        <v>82</v>
      </c>
      <c r="B140" s="117" t="s">
        <v>121</v>
      </c>
      <c r="C140" s="60">
        <v>45832</v>
      </c>
      <c r="D140" s="60">
        <v>45832</v>
      </c>
      <c r="E140" s="44">
        <v>503659</v>
      </c>
      <c r="F140" s="44" t="s">
        <v>124</v>
      </c>
      <c r="G140" s="44" t="s">
        <v>141</v>
      </c>
      <c r="H140" s="44">
        <v>280907</v>
      </c>
      <c r="I140" s="44">
        <v>1</v>
      </c>
      <c r="J140" s="44">
        <v>7.95</v>
      </c>
      <c r="K140" s="61">
        <v>100.10449</v>
      </c>
      <c r="L140" s="44">
        <v>14484</v>
      </c>
      <c r="M140" s="52">
        <v>1449913.4315571282</v>
      </c>
      <c r="N140" s="44"/>
      <c r="O140" s="59"/>
      <c r="P140" s="44" t="s">
        <v>125</v>
      </c>
      <c r="Q140" s="52">
        <v>1449913.4315571282</v>
      </c>
      <c r="R140" s="70">
        <v>106.75</v>
      </c>
    </row>
    <row r="141" spans="1:18" x14ac:dyDescent="0.25">
      <c r="A141" s="66" t="s">
        <v>82</v>
      </c>
      <c r="B141" s="117" t="s">
        <v>85</v>
      </c>
      <c r="C141" s="60">
        <v>45832</v>
      </c>
      <c r="D141" s="60">
        <v>45833</v>
      </c>
      <c r="E141" s="44">
        <v>503659</v>
      </c>
      <c r="F141" s="44" t="s">
        <v>83</v>
      </c>
      <c r="G141" s="44" t="s">
        <v>141</v>
      </c>
      <c r="H141" s="44">
        <v>280907</v>
      </c>
      <c r="I141" s="44">
        <v>1</v>
      </c>
      <c r="J141" s="44">
        <v>487.55095721478779</v>
      </c>
      <c r="K141" s="61">
        <v>100.12659600000001</v>
      </c>
      <c r="L141" s="44">
        <v>22055</v>
      </c>
      <c r="M141" s="52">
        <v>2208292.0754664838</v>
      </c>
      <c r="N141" s="44"/>
      <c r="O141" s="59"/>
      <c r="P141" s="44" t="s">
        <v>81</v>
      </c>
      <c r="Q141" s="52">
        <v>2208292.0754664838</v>
      </c>
      <c r="R141" s="71">
        <v>2208258.38</v>
      </c>
    </row>
    <row r="142" spans="1:18" x14ac:dyDescent="0.25">
      <c r="A142" s="66" t="s">
        <v>82</v>
      </c>
      <c r="B142" s="117" t="s">
        <v>86</v>
      </c>
      <c r="C142" s="60">
        <v>45832</v>
      </c>
      <c r="D142" s="60">
        <v>45833</v>
      </c>
      <c r="E142" s="44">
        <v>503659</v>
      </c>
      <c r="F142" s="44" t="s">
        <v>83</v>
      </c>
      <c r="G142" s="44" t="s">
        <v>141</v>
      </c>
      <c r="H142" s="44">
        <v>280907</v>
      </c>
      <c r="I142" s="44">
        <v>1</v>
      </c>
      <c r="J142" s="44">
        <v>13.26368507498856</v>
      </c>
      <c r="K142" s="61">
        <v>100.12659600000001</v>
      </c>
      <c r="L142" s="44">
        <v>600</v>
      </c>
      <c r="M142" s="52">
        <v>60075.957618675602</v>
      </c>
      <c r="N142" s="44"/>
      <c r="O142" s="59"/>
      <c r="P142" s="44" t="s">
        <v>81</v>
      </c>
      <c r="Q142" s="52">
        <v>60075.957618675602</v>
      </c>
      <c r="R142" s="71">
        <v>60089.81</v>
      </c>
    </row>
    <row r="143" spans="1:18" x14ac:dyDescent="0.25">
      <c r="A143" s="66" t="s">
        <v>82</v>
      </c>
      <c r="B143" s="117" t="s">
        <v>121</v>
      </c>
      <c r="C143" s="60">
        <v>45832</v>
      </c>
      <c r="D143" s="60">
        <v>45833</v>
      </c>
      <c r="E143" s="44">
        <v>503659</v>
      </c>
      <c r="F143" s="44" t="s">
        <v>83</v>
      </c>
      <c r="G143" s="44" t="s">
        <v>141</v>
      </c>
      <c r="H143" s="44">
        <v>280907</v>
      </c>
      <c r="I143" s="44">
        <v>1</v>
      </c>
      <c r="J143" s="44">
        <v>320.1853577102238</v>
      </c>
      <c r="K143" s="61">
        <v>100.12659600000001</v>
      </c>
      <c r="L143" s="44">
        <v>14484</v>
      </c>
      <c r="M143" s="52">
        <v>1450233.616914829</v>
      </c>
      <c r="N143" s="44"/>
      <c r="O143" s="59"/>
      <c r="P143" s="44" t="s">
        <v>81</v>
      </c>
      <c r="Q143" s="52">
        <v>1450233.616914829</v>
      </c>
      <c r="R143" s="71">
        <v>1450340.37</v>
      </c>
    </row>
    <row r="144" spans="1:18" x14ac:dyDescent="0.25">
      <c r="A144" s="66" t="s">
        <v>82</v>
      </c>
      <c r="B144" s="117" t="s">
        <v>85</v>
      </c>
      <c r="C144" s="60">
        <v>45833</v>
      </c>
      <c r="D144" s="60">
        <v>45833</v>
      </c>
      <c r="E144" s="44">
        <v>504699</v>
      </c>
      <c r="F144" s="44" t="s">
        <v>124</v>
      </c>
      <c r="G144" s="44" t="s">
        <v>141</v>
      </c>
      <c r="H144" s="44">
        <v>280907</v>
      </c>
      <c r="I144" s="44">
        <v>1</v>
      </c>
      <c r="J144" s="44">
        <v>7.95</v>
      </c>
      <c r="K144" s="61">
        <v>100.12384299999999</v>
      </c>
      <c r="L144" s="44">
        <v>22055</v>
      </c>
      <c r="M144" s="52">
        <v>2208231.3520086124</v>
      </c>
      <c r="N144" s="44"/>
      <c r="O144" s="59"/>
      <c r="P144" s="44" t="s">
        <v>125</v>
      </c>
      <c r="Q144" s="52">
        <v>2208231.3520086124</v>
      </c>
      <c r="R144" s="70">
        <v>27.03</v>
      </c>
    </row>
    <row r="145" spans="1:18" x14ac:dyDescent="0.25">
      <c r="A145" s="66" t="s">
        <v>82</v>
      </c>
      <c r="B145" s="117" t="s">
        <v>86</v>
      </c>
      <c r="C145" s="60">
        <v>45833</v>
      </c>
      <c r="D145" s="60">
        <v>45833</v>
      </c>
      <c r="E145" s="44">
        <v>504699</v>
      </c>
      <c r="F145" s="44" t="s">
        <v>124</v>
      </c>
      <c r="G145" s="44" t="s">
        <v>141</v>
      </c>
      <c r="H145" s="44">
        <v>280907</v>
      </c>
      <c r="I145" s="44">
        <v>1</v>
      </c>
      <c r="J145" s="44">
        <v>7.95</v>
      </c>
      <c r="K145" s="61">
        <v>100.12384299999999</v>
      </c>
      <c r="L145" s="44">
        <v>600</v>
      </c>
      <c r="M145" s="52">
        <v>60074.305654281001</v>
      </c>
      <c r="N145" s="44"/>
      <c r="O145" s="59"/>
      <c r="P145" s="44" t="s">
        <v>125</v>
      </c>
      <c r="Q145" s="52">
        <v>60074.305654281001</v>
      </c>
      <c r="R145" s="70">
        <v>15.5</v>
      </c>
    </row>
    <row r="146" spans="1:18" x14ac:dyDescent="0.25">
      <c r="A146" s="66" t="s">
        <v>82</v>
      </c>
      <c r="B146" s="117" t="s">
        <v>121</v>
      </c>
      <c r="C146" s="60">
        <v>45833</v>
      </c>
      <c r="D146" s="60">
        <v>45833</v>
      </c>
      <c r="E146" s="44">
        <v>504699</v>
      </c>
      <c r="F146" s="44" t="s">
        <v>124</v>
      </c>
      <c r="G146" s="44" t="s">
        <v>141</v>
      </c>
      <c r="H146" s="44">
        <v>280907</v>
      </c>
      <c r="I146" s="44">
        <v>1</v>
      </c>
      <c r="J146" s="44">
        <v>7.95</v>
      </c>
      <c r="K146" s="61">
        <v>100.12384299999999</v>
      </c>
      <c r="L146" s="44">
        <v>14485</v>
      </c>
      <c r="M146" s="52">
        <v>1450293.8623371006</v>
      </c>
      <c r="N146" s="44"/>
      <c r="O146" s="59"/>
      <c r="P146" s="44" t="s">
        <v>125</v>
      </c>
      <c r="Q146" s="52">
        <v>1450293.8623371006</v>
      </c>
      <c r="R146" s="70">
        <v>46.51</v>
      </c>
    </row>
    <row r="147" spans="1:18" x14ac:dyDescent="0.25">
      <c r="A147" s="79" t="s">
        <v>82</v>
      </c>
      <c r="B147" s="77" t="s">
        <v>85</v>
      </c>
      <c r="C147" s="92">
        <v>45833</v>
      </c>
      <c r="D147" s="92">
        <v>45834</v>
      </c>
      <c r="E147" s="77">
        <v>504699</v>
      </c>
      <c r="F147" s="77" t="s">
        <v>83</v>
      </c>
      <c r="G147" s="77" t="s">
        <v>141</v>
      </c>
      <c r="H147" s="77">
        <v>280907</v>
      </c>
      <c r="I147" s="77">
        <v>1</v>
      </c>
      <c r="J147" s="77">
        <v>487.65065831987135</v>
      </c>
      <c r="K147" s="111">
        <v>100.14595300000001</v>
      </c>
      <c r="L147" s="77">
        <v>22055</v>
      </c>
      <c r="M147" s="78">
        <v>2208719.00266694</v>
      </c>
      <c r="N147" s="77"/>
      <c r="O147" s="93"/>
      <c r="P147" s="77" t="s">
        <v>81</v>
      </c>
      <c r="Q147" s="78">
        <v>2208719.00266694</v>
      </c>
      <c r="R147" s="94">
        <v>2208746.0299999998</v>
      </c>
    </row>
    <row r="148" spans="1:18" x14ac:dyDescent="0.25">
      <c r="A148" s="79" t="s">
        <v>82</v>
      </c>
      <c r="B148" s="77" t="s">
        <v>86</v>
      </c>
      <c r="C148" s="92">
        <v>45833</v>
      </c>
      <c r="D148" s="92">
        <v>45834</v>
      </c>
      <c r="E148" s="77">
        <v>504699</v>
      </c>
      <c r="F148" s="77" t="s">
        <v>83</v>
      </c>
      <c r="G148" s="77" t="s">
        <v>141</v>
      </c>
      <c r="H148" s="77">
        <v>280907</v>
      </c>
      <c r="I148" s="77">
        <v>1</v>
      </c>
      <c r="J148" s="77">
        <v>13.2663974151858</v>
      </c>
      <c r="K148" s="111">
        <v>100.14595300000001</v>
      </c>
      <c r="L148" s="77">
        <v>600</v>
      </c>
      <c r="M148" s="78">
        <v>60087.572051696399</v>
      </c>
      <c r="N148" s="77"/>
      <c r="O148" s="93"/>
      <c r="P148" s="77" t="s">
        <v>81</v>
      </c>
      <c r="Q148" s="78">
        <v>60087.572051696399</v>
      </c>
      <c r="R148" s="94">
        <v>60103.07</v>
      </c>
    </row>
    <row r="149" spans="1:18" x14ac:dyDescent="0.25">
      <c r="A149" s="79" t="s">
        <v>82</v>
      </c>
      <c r="B149" s="77" t="s">
        <v>121</v>
      </c>
      <c r="C149" s="92">
        <v>45833</v>
      </c>
      <c r="D149" s="92">
        <v>45834</v>
      </c>
      <c r="E149" s="77">
        <v>504699</v>
      </c>
      <c r="F149" s="77" t="s">
        <v>83</v>
      </c>
      <c r="G149" s="77" t="s">
        <v>141</v>
      </c>
      <c r="H149" s="77">
        <v>280907</v>
      </c>
      <c r="I149" s="77">
        <v>1</v>
      </c>
      <c r="J149" s="77">
        <v>320.27294426494387</v>
      </c>
      <c r="K149" s="111">
        <v>100.14595300000001</v>
      </c>
      <c r="L149" s="77">
        <v>14485</v>
      </c>
      <c r="M149" s="78">
        <v>1450614.1352813707</v>
      </c>
      <c r="N149" s="77"/>
      <c r="O149" s="93"/>
      <c r="P149" s="77" t="s">
        <v>81</v>
      </c>
      <c r="Q149" s="78">
        <v>1450614.1352813707</v>
      </c>
      <c r="R149" s="94">
        <v>1450660.65</v>
      </c>
    </row>
    <row r="150" spans="1:18" x14ac:dyDescent="0.25">
      <c r="A150" s="66" t="s">
        <v>82</v>
      </c>
      <c r="B150" s="117" t="s">
        <v>85</v>
      </c>
      <c r="C150" s="60">
        <v>45834</v>
      </c>
      <c r="D150" s="60">
        <v>45834</v>
      </c>
      <c r="E150" s="44">
        <v>506033</v>
      </c>
      <c r="F150" s="44" t="s">
        <v>124</v>
      </c>
      <c r="G150" s="44" t="s">
        <v>141</v>
      </c>
      <c r="H150" s="44">
        <v>280907</v>
      </c>
      <c r="I150" s="44">
        <v>1</v>
      </c>
      <c r="J150" s="44">
        <v>7.95</v>
      </c>
      <c r="K150" s="44">
        <v>100.151599</v>
      </c>
      <c r="L150" s="44">
        <v>22054</v>
      </c>
      <c r="M150" s="52">
        <v>2208743.3621713654</v>
      </c>
      <c r="N150" s="44"/>
      <c r="O150" s="44"/>
      <c r="P150" s="44" t="s">
        <v>125</v>
      </c>
      <c r="Q150" s="52">
        <v>2208743.3621713654</v>
      </c>
      <c r="R150" s="70">
        <v>2.67</v>
      </c>
    </row>
    <row r="151" spans="1:18" x14ac:dyDescent="0.25">
      <c r="A151" s="66" t="s">
        <v>82</v>
      </c>
      <c r="B151" s="117" t="s">
        <v>86</v>
      </c>
      <c r="C151" s="60">
        <v>45834</v>
      </c>
      <c r="D151" s="60">
        <v>45834</v>
      </c>
      <c r="E151" s="44">
        <v>506033</v>
      </c>
      <c r="F151" s="44" t="s">
        <v>124</v>
      </c>
      <c r="G151" s="44" t="s">
        <v>141</v>
      </c>
      <c r="H151" s="44">
        <v>280907</v>
      </c>
      <c r="I151" s="44">
        <v>1</v>
      </c>
      <c r="J151" s="44">
        <v>7.95</v>
      </c>
      <c r="K151" s="44">
        <v>100.151599</v>
      </c>
      <c r="L151" s="44">
        <v>600</v>
      </c>
      <c r="M151" s="52">
        <v>60090.959340836998</v>
      </c>
      <c r="N151" s="44"/>
      <c r="O151" s="44"/>
      <c r="P151" s="44" t="s">
        <v>125</v>
      </c>
      <c r="Q151" s="52">
        <v>60090.959340836998</v>
      </c>
      <c r="R151" s="70">
        <v>12.11</v>
      </c>
    </row>
    <row r="152" spans="1:18" x14ac:dyDescent="0.25">
      <c r="A152" s="66" t="s">
        <v>82</v>
      </c>
      <c r="B152" s="117" t="s">
        <v>121</v>
      </c>
      <c r="C152" s="60">
        <v>45834</v>
      </c>
      <c r="D152" s="60">
        <v>45834</v>
      </c>
      <c r="E152" s="44">
        <v>506033</v>
      </c>
      <c r="F152" s="44" t="s">
        <v>124</v>
      </c>
      <c r="G152" s="44" t="s">
        <v>141</v>
      </c>
      <c r="H152" s="44">
        <v>280907</v>
      </c>
      <c r="I152" s="44">
        <v>1</v>
      </c>
      <c r="J152" s="44">
        <v>7.95</v>
      </c>
      <c r="K152" s="44">
        <v>100.151599</v>
      </c>
      <c r="L152" s="44">
        <v>14484</v>
      </c>
      <c r="M152" s="52">
        <v>1450595.7584878053</v>
      </c>
      <c r="N152" s="44"/>
      <c r="O152" s="44"/>
      <c r="P152" s="44" t="s">
        <v>125</v>
      </c>
      <c r="Q152" s="52">
        <v>1450595.7584878053</v>
      </c>
      <c r="R152" s="70">
        <v>64.89</v>
      </c>
    </row>
    <row r="153" spans="1:18" x14ac:dyDescent="0.25">
      <c r="A153" s="66" t="s">
        <v>82</v>
      </c>
      <c r="B153" s="117" t="s">
        <v>85</v>
      </c>
      <c r="C153" s="60">
        <v>45834</v>
      </c>
      <c r="D153" s="60">
        <v>45835</v>
      </c>
      <c r="E153" s="44">
        <v>506033</v>
      </c>
      <c r="F153" s="44" t="s">
        <v>83</v>
      </c>
      <c r="G153" s="44" t="s">
        <v>141</v>
      </c>
      <c r="H153" s="44">
        <v>280907</v>
      </c>
      <c r="I153" s="44">
        <v>1</v>
      </c>
      <c r="J153" s="44">
        <v>487.7616990683386</v>
      </c>
      <c r="K153" s="61">
        <v>100.173716</v>
      </c>
      <c r="L153" s="44">
        <v>22054</v>
      </c>
      <c r="M153" s="52">
        <v>2209231.1238704305</v>
      </c>
      <c r="N153" s="44"/>
      <c r="O153" s="59"/>
      <c r="P153" s="44" t="s">
        <v>81</v>
      </c>
      <c r="Q153" s="52">
        <v>2209231.1238704305</v>
      </c>
      <c r="R153" s="71">
        <v>2209233.79</v>
      </c>
    </row>
    <row r="154" spans="1:18" x14ac:dyDescent="0.25">
      <c r="A154" s="66" t="s">
        <v>82</v>
      </c>
      <c r="B154" s="117" t="s">
        <v>86</v>
      </c>
      <c r="C154" s="60">
        <v>45834</v>
      </c>
      <c r="D154" s="60">
        <v>45835</v>
      </c>
      <c r="E154" s="44">
        <v>506033</v>
      </c>
      <c r="F154" s="44" t="s">
        <v>83</v>
      </c>
      <c r="G154" s="44" t="s">
        <v>141</v>
      </c>
      <c r="H154" s="44">
        <v>280907</v>
      </c>
      <c r="I154" s="44">
        <v>1</v>
      </c>
      <c r="J154" s="44">
        <v>13.27001992568256</v>
      </c>
      <c r="K154" s="61">
        <v>100.173716</v>
      </c>
      <c r="L154" s="44">
        <v>600</v>
      </c>
      <c r="M154" s="52">
        <v>60104.229360762598</v>
      </c>
      <c r="N154" s="44"/>
      <c r="O154" s="59"/>
      <c r="P154" s="44" t="s">
        <v>81</v>
      </c>
      <c r="Q154" s="52">
        <v>60104.229360762598</v>
      </c>
      <c r="R154" s="71">
        <v>60116.34</v>
      </c>
    </row>
    <row r="155" spans="1:18" x14ac:dyDescent="0.25">
      <c r="A155" s="66" t="s">
        <v>82</v>
      </c>
      <c r="B155" s="117" t="s">
        <v>121</v>
      </c>
      <c r="C155" s="60">
        <v>45834</v>
      </c>
      <c r="D155" s="60">
        <v>45835</v>
      </c>
      <c r="E155" s="44">
        <v>506033</v>
      </c>
      <c r="F155" s="44" t="s">
        <v>83</v>
      </c>
      <c r="G155" s="44" t="s">
        <v>141</v>
      </c>
      <c r="H155" s="44">
        <v>280907</v>
      </c>
      <c r="I155" s="44">
        <v>1</v>
      </c>
      <c r="J155" s="44">
        <v>320.33828100597697</v>
      </c>
      <c r="K155" s="61">
        <v>100.173716</v>
      </c>
      <c r="L155" s="44">
        <v>14484</v>
      </c>
      <c r="M155" s="52">
        <v>1450916.0967688092</v>
      </c>
      <c r="N155" s="44"/>
      <c r="O155" s="59"/>
      <c r="P155" s="44" t="s">
        <v>81</v>
      </c>
      <c r="Q155" s="52">
        <v>1450916.0967688092</v>
      </c>
      <c r="R155" s="71">
        <v>1450980.99</v>
      </c>
    </row>
    <row r="156" spans="1:18" x14ac:dyDescent="0.25">
      <c r="A156" s="66" t="s">
        <v>82</v>
      </c>
      <c r="B156" s="117" t="s">
        <v>85</v>
      </c>
      <c r="C156" s="60">
        <v>45835</v>
      </c>
      <c r="D156" s="60">
        <v>45835</v>
      </c>
      <c r="E156" s="44">
        <v>507428</v>
      </c>
      <c r="F156" s="44" t="s">
        <v>124</v>
      </c>
      <c r="G156" s="44" t="s">
        <v>141</v>
      </c>
      <c r="H156" s="44">
        <v>280907</v>
      </c>
      <c r="I156" s="44">
        <v>3</v>
      </c>
      <c r="J156" s="44">
        <v>7.45</v>
      </c>
      <c r="K156" s="61">
        <v>100.17311599999999</v>
      </c>
      <c r="L156" s="44">
        <v>22054</v>
      </c>
      <c r="M156" s="52">
        <v>2209217.8972212537</v>
      </c>
      <c r="N156" s="44"/>
      <c r="O156" s="59"/>
      <c r="P156" s="44" t="s">
        <v>125</v>
      </c>
      <c r="Q156" s="52">
        <v>2209217.8972212537</v>
      </c>
      <c r="R156" s="70">
        <v>15.71</v>
      </c>
    </row>
    <row r="157" spans="1:18" x14ac:dyDescent="0.25">
      <c r="A157" s="66" t="s">
        <v>82</v>
      </c>
      <c r="B157" s="117" t="s">
        <v>86</v>
      </c>
      <c r="C157" s="60">
        <v>45835</v>
      </c>
      <c r="D157" s="60">
        <v>45835</v>
      </c>
      <c r="E157" s="44">
        <v>507428</v>
      </c>
      <c r="F157" s="44" t="s">
        <v>124</v>
      </c>
      <c r="G157" s="44" t="s">
        <v>141</v>
      </c>
      <c r="H157" s="44">
        <v>280907</v>
      </c>
      <c r="I157" s="44">
        <v>3</v>
      </c>
      <c r="J157" s="44">
        <v>7.45</v>
      </c>
      <c r="K157" s="61">
        <v>100.17311599999999</v>
      </c>
      <c r="L157" s="44">
        <v>600</v>
      </c>
      <c r="M157" s="52">
        <v>60103.869517219202</v>
      </c>
      <c r="N157" s="44"/>
      <c r="O157" s="59"/>
      <c r="P157" s="44" t="s">
        <v>125</v>
      </c>
      <c r="Q157" s="52">
        <v>60103.869517219202</v>
      </c>
      <c r="R157" s="70">
        <v>12.33</v>
      </c>
    </row>
    <row r="158" spans="1:18" x14ac:dyDescent="0.25">
      <c r="A158" s="66" t="s">
        <v>82</v>
      </c>
      <c r="B158" s="117" t="s">
        <v>121</v>
      </c>
      <c r="C158" s="60">
        <v>45835</v>
      </c>
      <c r="D158" s="60">
        <v>45835</v>
      </c>
      <c r="E158" s="44">
        <v>507428</v>
      </c>
      <c r="F158" s="44" t="s">
        <v>124</v>
      </c>
      <c r="G158" s="44" t="s">
        <v>141</v>
      </c>
      <c r="H158" s="44">
        <v>280907</v>
      </c>
      <c r="I158" s="44">
        <v>3</v>
      </c>
      <c r="J158" s="44">
        <v>7.45</v>
      </c>
      <c r="K158" s="61">
        <v>100.17311599999999</v>
      </c>
      <c r="L158" s="44">
        <v>14485</v>
      </c>
      <c r="M158" s="52">
        <v>1451007.5832615334</v>
      </c>
      <c r="N158" s="44"/>
      <c r="O158" s="59"/>
      <c r="P158" s="44" t="s">
        <v>125</v>
      </c>
      <c r="Q158" s="52">
        <v>1451007.5832615334</v>
      </c>
      <c r="R158" s="70">
        <v>-26.29</v>
      </c>
    </row>
    <row r="159" spans="1:18" x14ac:dyDescent="0.25">
      <c r="A159" s="66"/>
      <c r="B159" s="117" t="s">
        <v>121</v>
      </c>
      <c r="C159" s="60">
        <v>45835</v>
      </c>
      <c r="D159" s="60">
        <v>45838</v>
      </c>
      <c r="E159" s="44">
        <v>8576</v>
      </c>
      <c r="F159" s="44" t="s">
        <v>160</v>
      </c>
      <c r="G159" s="44" t="s">
        <v>101</v>
      </c>
      <c r="H159" s="44" t="s">
        <v>102</v>
      </c>
      <c r="I159" s="44"/>
      <c r="J159" s="44"/>
      <c r="K159" s="61">
        <v>193.22</v>
      </c>
      <c r="L159" s="44">
        <v>100</v>
      </c>
      <c r="M159" s="52">
        <v>19322</v>
      </c>
      <c r="N159" s="44"/>
      <c r="O159" s="59"/>
      <c r="P159" s="44" t="s">
        <v>125</v>
      </c>
      <c r="Q159" s="52">
        <v>19322</v>
      </c>
      <c r="R159" s="71">
        <v>-19348.29</v>
      </c>
    </row>
    <row r="160" spans="1:18" x14ac:dyDescent="0.25">
      <c r="A160" s="66"/>
      <c r="B160" s="117" t="s">
        <v>121</v>
      </c>
      <c r="C160" s="60">
        <v>45835</v>
      </c>
      <c r="D160" s="60">
        <v>45838</v>
      </c>
      <c r="E160" s="44">
        <v>8576</v>
      </c>
      <c r="F160" s="44" t="s">
        <v>159</v>
      </c>
      <c r="G160" s="44" t="s">
        <v>101</v>
      </c>
      <c r="H160" s="44" t="s">
        <v>102</v>
      </c>
      <c r="I160" s="44"/>
      <c r="J160" s="44"/>
      <c r="K160" s="61"/>
      <c r="L160" s="44"/>
      <c r="M160" s="44">
        <v>17.389800000000001</v>
      </c>
      <c r="N160" s="113">
        <v>8.9999999999999998E-4</v>
      </c>
      <c r="O160" s="59">
        <v>2.782368</v>
      </c>
      <c r="P160" s="44" t="s">
        <v>125</v>
      </c>
      <c r="Q160" s="44">
        <v>20.172167999999999</v>
      </c>
      <c r="R160" s="71">
        <v>-19368.462168000002</v>
      </c>
    </row>
    <row r="161" spans="1:18" x14ac:dyDescent="0.25">
      <c r="A161" s="66"/>
      <c r="B161" s="117" t="s">
        <v>121</v>
      </c>
      <c r="C161" s="60">
        <v>45835</v>
      </c>
      <c r="D161" s="60">
        <v>45838</v>
      </c>
      <c r="E161" s="44">
        <v>8576</v>
      </c>
      <c r="F161" s="44" t="s">
        <v>160</v>
      </c>
      <c r="G161" s="44" t="s">
        <v>101</v>
      </c>
      <c r="H161" s="44" t="s">
        <v>102</v>
      </c>
      <c r="I161" s="44"/>
      <c r="J161" s="44"/>
      <c r="K161" s="61">
        <v>193.22</v>
      </c>
      <c r="L161" s="44">
        <v>90</v>
      </c>
      <c r="M161" s="52">
        <v>17389.8</v>
      </c>
      <c r="N161" s="44"/>
      <c r="O161" s="59"/>
      <c r="P161" s="44" t="s">
        <v>125</v>
      </c>
      <c r="Q161" s="52">
        <v>17389.8</v>
      </c>
      <c r="R161" s="71">
        <v>-36758.262168000001</v>
      </c>
    </row>
    <row r="162" spans="1:18" x14ac:dyDescent="0.25">
      <c r="A162" s="66"/>
      <c r="B162" s="117" t="s">
        <v>121</v>
      </c>
      <c r="C162" s="60">
        <v>45835</v>
      </c>
      <c r="D162" s="60">
        <v>45838</v>
      </c>
      <c r="E162" s="44">
        <v>8576</v>
      </c>
      <c r="F162" s="44" t="s">
        <v>159</v>
      </c>
      <c r="G162" s="44" t="s">
        <v>101</v>
      </c>
      <c r="H162" s="44" t="s">
        <v>102</v>
      </c>
      <c r="I162" s="44"/>
      <c r="J162" s="44"/>
      <c r="K162" s="61"/>
      <c r="L162" s="44"/>
      <c r="M162" s="44">
        <v>15.65082</v>
      </c>
      <c r="N162" s="113">
        <v>8.9999999999999998E-4</v>
      </c>
      <c r="O162" s="59">
        <v>2.5041310000000001</v>
      </c>
      <c r="P162" s="44" t="s">
        <v>125</v>
      </c>
      <c r="Q162" s="44">
        <v>18.154951000000001</v>
      </c>
      <c r="R162" s="71">
        <v>-36776.417118999998</v>
      </c>
    </row>
    <row r="163" spans="1:18" x14ac:dyDescent="0.25">
      <c r="A163" s="66"/>
      <c r="B163" s="117" t="s">
        <v>85</v>
      </c>
      <c r="C163" s="60">
        <v>45835</v>
      </c>
      <c r="D163" s="60">
        <v>45838</v>
      </c>
      <c r="E163" s="44">
        <v>8576</v>
      </c>
      <c r="F163" s="44" t="s">
        <v>160</v>
      </c>
      <c r="G163" s="44" t="s">
        <v>101</v>
      </c>
      <c r="H163" s="44" t="s">
        <v>102</v>
      </c>
      <c r="I163" s="44"/>
      <c r="J163" s="44"/>
      <c r="K163" s="61">
        <v>193.22</v>
      </c>
      <c r="L163" s="44">
        <v>600</v>
      </c>
      <c r="M163" s="52">
        <v>115932</v>
      </c>
      <c r="N163" s="44"/>
      <c r="O163" s="59"/>
      <c r="P163" s="44" t="s">
        <v>125</v>
      </c>
      <c r="Q163" s="52">
        <v>115932</v>
      </c>
      <c r="R163" s="71">
        <v>-115916.29</v>
      </c>
    </row>
    <row r="164" spans="1:18" x14ac:dyDescent="0.25">
      <c r="A164" s="66"/>
      <c r="B164" s="117" t="s">
        <v>85</v>
      </c>
      <c r="C164" s="60">
        <v>45835</v>
      </c>
      <c r="D164" s="60">
        <v>45838</v>
      </c>
      <c r="E164" s="44">
        <v>8576</v>
      </c>
      <c r="F164" s="44" t="s">
        <v>159</v>
      </c>
      <c r="G164" s="44" t="s">
        <v>101</v>
      </c>
      <c r="H164" s="44" t="s">
        <v>102</v>
      </c>
      <c r="I164" s="44"/>
      <c r="J164" s="44"/>
      <c r="K164" s="61"/>
      <c r="L164" s="44"/>
      <c r="M164" s="44">
        <v>104.33880000000001</v>
      </c>
      <c r="N164" s="113">
        <v>8.9999999999999998E-4</v>
      </c>
      <c r="O164" s="59">
        <v>16.694208</v>
      </c>
      <c r="P164" s="44" t="s">
        <v>125</v>
      </c>
      <c r="Q164" s="44">
        <v>121.033008</v>
      </c>
      <c r="R164" s="71">
        <v>-116037.32300799999</v>
      </c>
    </row>
    <row r="165" spans="1:18" x14ac:dyDescent="0.25">
      <c r="A165" s="66"/>
      <c r="B165" s="117" t="s">
        <v>121</v>
      </c>
      <c r="C165" s="60">
        <v>45835</v>
      </c>
      <c r="D165" s="60">
        <v>45838</v>
      </c>
      <c r="E165" s="44">
        <v>8576</v>
      </c>
      <c r="F165" s="44" t="s">
        <v>160</v>
      </c>
      <c r="G165" s="44" t="s">
        <v>101</v>
      </c>
      <c r="H165" s="44" t="s">
        <v>102</v>
      </c>
      <c r="I165" s="44"/>
      <c r="J165" s="44"/>
      <c r="K165" s="61">
        <v>193.22</v>
      </c>
      <c r="L165" s="44">
        <v>100</v>
      </c>
      <c r="M165" s="52">
        <v>19322</v>
      </c>
      <c r="N165" s="44"/>
      <c r="O165" s="59"/>
      <c r="P165" s="44" t="s">
        <v>125</v>
      </c>
      <c r="Q165" s="52">
        <v>19322</v>
      </c>
      <c r="R165" s="71">
        <v>-56098.417118999998</v>
      </c>
    </row>
    <row r="166" spans="1:18" x14ac:dyDescent="0.25">
      <c r="A166" s="66"/>
      <c r="B166" s="117" t="s">
        <v>121</v>
      </c>
      <c r="C166" s="60">
        <v>45835</v>
      </c>
      <c r="D166" s="60">
        <v>45838</v>
      </c>
      <c r="E166" s="44">
        <v>8576</v>
      </c>
      <c r="F166" s="44" t="s">
        <v>159</v>
      </c>
      <c r="G166" s="44" t="s">
        <v>101</v>
      </c>
      <c r="H166" s="44" t="s">
        <v>102</v>
      </c>
      <c r="I166" s="44"/>
      <c r="J166" s="44"/>
      <c r="K166" s="61"/>
      <c r="L166" s="44"/>
      <c r="M166" s="44">
        <v>17.389800000000001</v>
      </c>
      <c r="N166" s="113">
        <v>8.9999999999999998E-4</v>
      </c>
      <c r="O166" s="59">
        <v>2.782368</v>
      </c>
      <c r="P166" s="44" t="s">
        <v>125</v>
      </c>
      <c r="Q166" s="44">
        <v>20.172167999999999</v>
      </c>
      <c r="R166" s="71">
        <v>-56118.589286999995</v>
      </c>
    </row>
    <row r="167" spans="1:18" x14ac:dyDescent="0.25">
      <c r="A167" s="66"/>
      <c r="B167" s="117" t="s">
        <v>121</v>
      </c>
      <c r="C167" s="60">
        <v>45835</v>
      </c>
      <c r="D167" s="60">
        <v>45838</v>
      </c>
      <c r="E167" s="44">
        <v>8576</v>
      </c>
      <c r="F167" s="44" t="s">
        <v>160</v>
      </c>
      <c r="G167" s="44" t="s">
        <v>101</v>
      </c>
      <c r="H167" s="44" t="s">
        <v>102</v>
      </c>
      <c r="I167" s="44"/>
      <c r="J167" s="44"/>
      <c r="K167" s="61">
        <v>193.22</v>
      </c>
      <c r="L167" s="44">
        <v>10</v>
      </c>
      <c r="M167" s="52">
        <v>1932.2</v>
      </c>
      <c r="N167" s="44"/>
      <c r="O167" s="59"/>
      <c r="P167" s="44" t="s">
        <v>125</v>
      </c>
      <c r="Q167" s="52">
        <v>1932.2</v>
      </c>
      <c r="R167" s="71">
        <v>-58050.789286999992</v>
      </c>
    </row>
    <row r="168" spans="1:18" x14ac:dyDescent="0.25">
      <c r="A168" s="66"/>
      <c r="B168" s="117" t="s">
        <v>121</v>
      </c>
      <c r="C168" s="60">
        <v>45835</v>
      </c>
      <c r="D168" s="60">
        <v>45838</v>
      </c>
      <c r="E168" s="44">
        <v>8576</v>
      </c>
      <c r="F168" s="44" t="s">
        <v>159</v>
      </c>
      <c r="G168" s="44" t="s">
        <v>101</v>
      </c>
      <c r="H168" s="44" t="s">
        <v>102</v>
      </c>
      <c r="I168" s="44"/>
      <c r="J168" s="44"/>
      <c r="K168" s="61"/>
      <c r="L168" s="44"/>
      <c r="M168" s="44">
        <v>1.73898</v>
      </c>
      <c r="N168" s="113">
        <v>8.9999999999999998E-4</v>
      </c>
      <c r="O168" s="59">
        <v>0.27823599999999998</v>
      </c>
      <c r="P168" s="44" t="s">
        <v>125</v>
      </c>
      <c r="Q168" s="44">
        <v>2.0172159999999999</v>
      </c>
      <c r="R168" s="71">
        <v>-58052.806502999993</v>
      </c>
    </row>
    <row r="169" spans="1:18" x14ac:dyDescent="0.25">
      <c r="A169" s="66"/>
      <c r="B169" s="117" t="s">
        <v>121</v>
      </c>
      <c r="C169" s="60">
        <v>45835</v>
      </c>
      <c r="D169" s="60">
        <v>45838</v>
      </c>
      <c r="E169" s="44">
        <v>8576</v>
      </c>
      <c r="F169" s="44" t="s">
        <v>160</v>
      </c>
      <c r="G169" s="44" t="s">
        <v>101</v>
      </c>
      <c r="H169" s="44" t="s">
        <v>102</v>
      </c>
      <c r="I169" s="44"/>
      <c r="J169" s="44"/>
      <c r="K169" s="61">
        <v>193.22</v>
      </c>
      <c r="L169" s="44">
        <v>100</v>
      </c>
      <c r="M169" s="52">
        <v>19322</v>
      </c>
      <c r="N169" s="44"/>
      <c r="O169" s="59"/>
      <c r="P169" s="44" t="s">
        <v>125</v>
      </c>
      <c r="Q169" s="52">
        <v>19322</v>
      </c>
      <c r="R169" s="71">
        <v>-77374.806503</v>
      </c>
    </row>
    <row r="170" spans="1:18" x14ac:dyDescent="0.25">
      <c r="A170" s="66"/>
      <c r="B170" s="117" t="s">
        <v>121</v>
      </c>
      <c r="C170" s="60">
        <v>45835</v>
      </c>
      <c r="D170" s="60">
        <v>45838</v>
      </c>
      <c r="E170" s="44">
        <v>8576</v>
      </c>
      <c r="F170" s="44" t="s">
        <v>159</v>
      </c>
      <c r="G170" s="44" t="s">
        <v>101</v>
      </c>
      <c r="H170" s="44" t="s">
        <v>102</v>
      </c>
      <c r="I170" s="44"/>
      <c r="J170" s="44"/>
      <c r="K170" s="61"/>
      <c r="L170" s="44"/>
      <c r="M170" s="44">
        <v>17.389800000000001</v>
      </c>
      <c r="N170" s="113">
        <v>8.9999999999999998E-4</v>
      </c>
      <c r="O170" s="59">
        <v>2.782368</v>
      </c>
      <c r="P170" s="44" t="s">
        <v>125</v>
      </c>
      <c r="Q170" s="44">
        <v>20.172167999999999</v>
      </c>
      <c r="R170" s="71">
        <v>-77394.978671000004</v>
      </c>
    </row>
    <row r="171" spans="1:18" x14ac:dyDescent="0.25">
      <c r="A171" s="66"/>
      <c r="B171" s="117" t="s">
        <v>85</v>
      </c>
      <c r="C171" s="60">
        <v>45835</v>
      </c>
      <c r="D171" s="60">
        <v>45838</v>
      </c>
      <c r="E171" s="44">
        <v>8577</v>
      </c>
      <c r="F171" s="44" t="s">
        <v>160</v>
      </c>
      <c r="G171" s="44" t="s">
        <v>147</v>
      </c>
      <c r="H171" s="44">
        <v>12</v>
      </c>
      <c r="I171" s="44"/>
      <c r="J171" s="44"/>
      <c r="K171" s="61">
        <v>9.2100000000000009</v>
      </c>
      <c r="L171" s="44">
        <v>366</v>
      </c>
      <c r="M171" s="52">
        <v>3370.86</v>
      </c>
      <c r="N171" s="44"/>
      <c r="O171" s="59"/>
      <c r="P171" s="44" t="s">
        <v>125</v>
      </c>
      <c r="Q171" s="52">
        <v>3370.86</v>
      </c>
      <c r="R171" s="71">
        <v>-119408.18300799999</v>
      </c>
    </row>
    <row r="172" spans="1:18" x14ac:dyDescent="0.25">
      <c r="A172" s="66"/>
      <c r="B172" s="117" t="s">
        <v>85</v>
      </c>
      <c r="C172" s="60">
        <v>45835</v>
      </c>
      <c r="D172" s="60">
        <v>45838</v>
      </c>
      <c r="E172" s="44">
        <v>8577</v>
      </c>
      <c r="F172" s="44" t="s">
        <v>159</v>
      </c>
      <c r="G172" s="44" t="s">
        <v>147</v>
      </c>
      <c r="H172" s="44">
        <v>12</v>
      </c>
      <c r="I172" s="44"/>
      <c r="J172" s="44"/>
      <c r="K172" s="61"/>
      <c r="L172" s="44"/>
      <c r="M172" s="44">
        <v>3.0337740000000002</v>
      </c>
      <c r="N172" s="113">
        <v>8.9999999999999998E-4</v>
      </c>
      <c r="O172" s="59">
        <v>0.48540299999999997</v>
      </c>
      <c r="P172" s="44" t="s">
        <v>125</v>
      </c>
      <c r="Q172" s="44">
        <v>3.519177</v>
      </c>
      <c r="R172" s="71">
        <v>-119411.70218499999</v>
      </c>
    </row>
    <row r="173" spans="1:18" x14ac:dyDescent="0.25">
      <c r="A173" s="66"/>
      <c r="B173" s="117" t="s">
        <v>85</v>
      </c>
      <c r="C173" s="60">
        <v>45835</v>
      </c>
      <c r="D173" s="60">
        <v>45838</v>
      </c>
      <c r="E173" s="44">
        <v>8577</v>
      </c>
      <c r="F173" s="44" t="s">
        <v>160</v>
      </c>
      <c r="G173" s="44" t="s">
        <v>147</v>
      </c>
      <c r="H173" s="44">
        <v>12</v>
      </c>
      <c r="I173" s="44"/>
      <c r="J173" s="44"/>
      <c r="K173" s="61">
        <v>9.26</v>
      </c>
      <c r="L173" s="44">
        <v>200</v>
      </c>
      <c r="M173" s="52">
        <v>1852</v>
      </c>
      <c r="N173" s="44"/>
      <c r="O173" s="59"/>
      <c r="P173" s="44" t="s">
        <v>125</v>
      </c>
      <c r="Q173" s="52">
        <v>1852</v>
      </c>
      <c r="R173" s="71">
        <v>-121263.70218499999</v>
      </c>
    </row>
    <row r="174" spans="1:18" x14ac:dyDescent="0.25">
      <c r="A174" s="66"/>
      <c r="B174" s="117" t="s">
        <v>85</v>
      </c>
      <c r="C174" s="60">
        <v>45835</v>
      </c>
      <c r="D174" s="60">
        <v>45838</v>
      </c>
      <c r="E174" s="44">
        <v>8577</v>
      </c>
      <c r="F174" s="44" t="s">
        <v>159</v>
      </c>
      <c r="G174" s="44" t="s">
        <v>147</v>
      </c>
      <c r="H174" s="44">
        <v>12</v>
      </c>
      <c r="I174" s="44"/>
      <c r="J174" s="44"/>
      <c r="K174" s="61"/>
      <c r="L174" s="44"/>
      <c r="M174" s="44">
        <v>1.6668000000000001</v>
      </c>
      <c r="N174" s="113">
        <v>8.9999999999999998E-4</v>
      </c>
      <c r="O174" s="59">
        <v>0.26668799999999998</v>
      </c>
      <c r="P174" s="44" t="s">
        <v>125</v>
      </c>
      <c r="Q174" s="44">
        <v>1.9334880000000001</v>
      </c>
      <c r="R174" s="71">
        <v>-121265.63567299998</v>
      </c>
    </row>
    <row r="175" spans="1:18" x14ac:dyDescent="0.25">
      <c r="A175" s="66"/>
      <c r="B175" s="117" t="s">
        <v>85</v>
      </c>
      <c r="C175" s="60">
        <v>45835</v>
      </c>
      <c r="D175" s="60">
        <v>45838</v>
      </c>
      <c r="E175" s="44">
        <v>8577</v>
      </c>
      <c r="F175" s="44" t="s">
        <v>160</v>
      </c>
      <c r="G175" s="44" t="s">
        <v>147</v>
      </c>
      <c r="H175" s="44">
        <v>12</v>
      </c>
      <c r="I175" s="44"/>
      <c r="J175" s="44"/>
      <c r="K175" s="61">
        <v>9.27</v>
      </c>
      <c r="L175" s="44">
        <v>200</v>
      </c>
      <c r="M175" s="52">
        <v>1854</v>
      </c>
      <c r="N175" s="44"/>
      <c r="O175" s="59"/>
      <c r="P175" s="44" t="s">
        <v>125</v>
      </c>
      <c r="Q175" s="52">
        <v>1854</v>
      </c>
      <c r="R175" s="71">
        <v>-123119.63567299998</v>
      </c>
    </row>
    <row r="176" spans="1:18" x14ac:dyDescent="0.25">
      <c r="A176" s="66"/>
      <c r="B176" s="117" t="s">
        <v>85</v>
      </c>
      <c r="C176" s="60">
        <v>45835</v>
      </c>
      <c r="D176" s="60">
        <v>45838</v>
      </c>
      <c r="E176" s="44">
        <v>8577</v>
      </c>
      <c r="F176" s="44" t="s">
        <v>159</v>
      </c>
      <c r="G176" s="44" t="s">
        <v>147</v>
      </c>
      <c r="H176" s="44">
        <v>12</v>
      </c>
      <c r="I176" s="44"/>
      <c r="J176" s="44"/>
      <c r="K176" s="61"/>
      <c r="L176" s="44"/>
      <c r="M176" s="44">
        <v>1.6686000000000001</v>
      </c>
      <c r="N176" s="113">
        <v>8.9999999999999998E-4</v>
      </c>
      <c r="O176" s="59">
        <v>0.26697599999999999</v>
      </c>
      <c r="P176" s="44" t="s">
        <v>125</v>
      </c>
      <c r="Q176" s="44">
        <v>1.935576</v>
      </c>
      <c r="R176" s="71">
        <v>-123121.57124899999</v>
      </c>
    </row>
    <row r="177" spans="1:18" x14ac:dyDescent="0.25">
      <c r="A177" s="66"/>
      <c r="B177" s="117" t="s">
        <v>85</v>
      </c>
      <c r="C177" s="60">
        <v>45835</v>
      </c>
      <c r="D177" s="60">
        <v>45838</v>
      </c>
      <c r="E177" s="44">
        <v>8577</v>
      </c>
      <c r="F177" s="44" t="s">
        <v>160</v>
      </c>
      <c r="G177" s="44" t="s">
        <v>147</v>
      </c>
      <c r="H177" s="44">
        <v>12</v>
      </c>
      <c r="I177" s="44"/>
      <c r="J177" s="44"/>
      <c r="K177" s="61">
        <v>9.27</v>
      </c>
      <c r="L177" s="44">
        <v>200</v>
      </c>
      <c r="M177" s="52">
        <v>1854</v>
      </c>
      <c r="N177" s="44"/>
      <c r="O177" s="59"/>
      <c r="P177" s="44" t="s">
        <v>125</v>
      </c>
      <c r="Q177" s="52">
        <v>1854</v>
      </c>
      <c r="R177" s="71">
        <v>-124975.57124899999</v>
      </c>
    </row>
    <row r="178" spans="1:18" x14ac:dyDescent="0.25">
      <c r="A178" s="66"/>
      <c r="B178" s="117" t="s">
        <v>85</v>
      </c>
      <c r="C178" s="60">
        <v>45835</v>
      </c>
      <c r="D178" s="60">
        <v>45838</v>
      </c>
      <c r="E178" s="44">
        <v>8577</v>
      </c>
      <c r="F178" s="44" t="s">
        <v>159</v>
      </c>
      <c r="G178" s="44" t="s">
        <v>147</v>
      </c>
      <c r="H178" s="44">
        <v>12</v>
      </c>
      <c r="I178" s="44"/>
      <c r="J178" s="44"/>
      <c r="K178" s="61"/>
      <c r="L178" s="44"/>
      <c r="M178" s="44">
        <v>1.6686000000000001</v>
      </c>
      <c r="N178" s="113">
        <v>8.9999999999999998E-4</v>
      </c>
      <c r="O178" s="59">
        <v>0.26697599999999999</v>
      </c>
      <c r="P178" s="44" t="s">
        <v>125</v>
      </c>
      <c r="Q178" s="44">
        <v>1.935576</v>
      </c>
      <c r="R178" s="71">
        <v>-124977.50682499999</v>
      </c>
    </row>
    <row r="179" spans="1:18" x14ac:dyDescent="0.25">
      <c r="A179" s="66"/>
      <c r="B179" s="117" t="s">
        <v>85</v>
      </c>
      <c r="C179" s="60">
        <v>45835</v>
      </c>
      <c r="D179" s="60">
        <v>45838</v>
      </c>
      <c r="E179" s="44">
        <v>8577</v>
      </c>
      <c r="F179" s="44" t="s">
        <v>160</v>
      </c>
      <c r="G179" s="44" t="s">
        <v>147</v>
      </c>
      <c r="H179" s="44">
        <v>12</v>
      </c>
      <c r="I179" s="44"/>
      <c r="J179" s="44"/>
      <c r="K179" s="61">
        <v>9.2899999999999991</v>
      </c>
      <c r="L179" s="44">
        <v>485</v>
      </c>
      <c r="M179" s="52">
        <v>4505.6499999999996</v>
      </c>
      <c r="N179" s="44"/>
      <c r="O179" s="59"/>
      <c r="P179" s="44" t="s">
        <v>125</v>
      </c>
      <c r="Q179" s="52">
        <v>4505.6499999999996</v>
      </c>
      <c r="R179" s="71">
        <v>-129483.15682499998</v>
      </c>
    </row>
    <row r="180" spans="1:18" x14ac:dyDescent="0.25">
      <c r="A180" s="79"/>
      <c r="B180" s="117" t="s">
        <v>85</v>
      </c>
      <c r="C180" s="60">
        <v>45835</v>
      </c>
      <c r="D180" s="60">
        <v>45838</v>
      </c>
      <c r="E180" s="44">
        <v>8577</v>
      </c>
      <c r="F180" s="44" t="s">
        <v>159</v>
      </c>
      <c r="G180" s="44" t="s">
        <v>147</v>
      </c>
      <c r="H180" s="44">
        <v>12</v>
      </c>
      <c r="I180" s="44"/>
      <c r="J180" s="44"/>
      <c r="K180" s="61"/>
      <c r="L180" s="44"/>
      <c r="M180" s="44">
        <v>4.0550850000000001</v>
      </c>
      <c r="N180" s="113">
        <v>8.9999999999999998E-4</v>
      </c>
      <c r="O180" s="59">
        <v>0.64881299999999997</v>
      </c>
      <c r="P180" s="44" t="s">
        <v>125</v>
      </c>
      <c r="Q180" s="44">
        <v>4.7038979999999997</v>
      </c>
      <c r="R180" s="71">
        <v>-129487.86072299999</v>
      </c>
    </row>
    <row r="181" spans="1:18" x14ac:dyDescent="0.25">
      <c r="A181" s="66"/>
      <c r="B181" s="117" t="s">
        <v>85</v>
      </c>
      <c r="C181" s="92">
        <v>45835</v>
      </c>
      <c r="D181" s="92">
        <v>45838</v>
      </c>
      <c r="E181" s="77">
        <v>8577</v>
      </c>
      <c r="F181" s="77" t="s">
        <v>160</v>
      </c>
      <c r="G181" s="77" t="s">
        <v>147</v>
      </c>
      <c r="H181" s="77">
        <v>12</v>
      </c>
      <c r="I181" s="77"/>
      <c r="J181" s="77"/>
      <c r="K181" s="111">
        <v>9.2799999999999994</v>
      </c>
      <c r="L181" s="77">
        <v>100</v>
      </c>
      <c r="M181" s="77">
        <v>928</v>
      </c>
      <c r="N181" s="77"/>
      <c r="O181" s="93"/>
      <c r="P181" s="77" t="s">
        <v>125</v>
      </c>
      <c r="Q181" s="77">
        <v>928</v>
      </c>
      <c r="R181" s="71">
        <v>-130415.86072299999</v>
      </c>
    </row>
    <row r="182" spans="1:18" x14ac:dyDescent="0.25">
      <c r="A182" s="66"/>
      <c r="B182" s="117" t="s">
        <v>85</v>
      </c>
      <c r="C182" s="60">
        <v>45835</v>
      </c>
      <c r="D182" s="60">
        <v>45838</v>
      </c>
      <c r="E182" s="44">
        <v>8577</v>
      </c>
      <c r="F182" s="44" t="s">
        <v>159</v>
      </c>
      <c r="G182" s="44" t="s">
        <v>147</v>
      </c>
      <c r="H182" s="44">
        <v>12</v>
      </c>
      <c r="I182" s="44"/>
      <c r="J182" s="44"/>
      <c r="K182" s="44"/>
      <c r="L182" s="44"/>
      <c r="M182" s="44">
        <v>0.83520000000000005</v>
      </c>
      <c r="N182" s="113">
        <v>8.9999999999999998E-4</v>
      </c>
      <c r="O182" s="44">
        <v>0.133632</v>
      </c>
      <c r="P182" s="44" t="s">
        <v>125</v>
      </c>
      <c r="Q182" s="44">
        <v>0.96883200000000003</v>
      </c>
      <c r="R182" s="71">
        <v>-130416.82955499999</v>
      </c>
    </row>
    <row r="183" spans="1:18" x14ac:dyDescent="0.25">
      <c r="A183" s="66"/>
      <c r="B183" s="117" t="s">
        <v>85</v>
      </c>
      <c r="C183" s="60">
        <v>45835</v>
      </c>
      <c r="D183" s="60">
        <v>45838</v>
      </c>
      <c r="E183" s="44">
        <v>8577</v>
      </c>
      <c r="F183" s="44" t="s">
        <v>160</v>
      </c>
      <c r="G183" s="44" t="s">
        <v>147</v>
      </c>
      <c r="H183" s="44">
        <v>12</v>
      </c>
      <c r="I183" s="44"/>
      <c r="J183" s="44"/>
      <c r="K183" s="61">
        <v>9.2899999999999991</v>
      </c>
      <c r="L183" s="44">
        <v>100</v>
      </c>
      <c r="M183" s="44">
        <v>929</v>
      </c>
      <c r="N183" s="44"/>
      <c r="O183" s="59"/>
      <c r="P183" s="44" t="s">
        <v>125</v>
      </c>
      <c r="Q183" s="44">
        <v>929</v>
      </c>
      <c r="R183" s="71">
        <v>-131345.829555</v>
      </c>
    </row>
    <row r="184" spans="1:18" x14ac:dyDescent="0.25">
      <c r="A184" s="66"/>
      <c r="B184" s="117" t="s">
        <v>85</v>
      </c>
      <c r="C184" s="60">
        <v>45835</v>
      </c>
      <c r="D184" s="60">
        <v>45838</v>
      </c>
      <c r="E184" s="44">
        <v>8577</v>
      </c>
      <c r="F184" s="44" t="s">
        <v>159</v>
      </c>
      <c r="G184" s="44" t="s">
        <v>147</v>
      </c>
      <c r="H184" s="44">
        <v>12</v>
      </c>
      <c r="I184" s="44"/>
      <c r="J184" s="44"/>
      <c r="K184" s="61"/>
      <c r="L184" s="44"/>
      <c r="M184" s="44">
        <v>0.83609999999999995</v>
      </c>
      <c r="N184" s="113">
        <v>8.9999999999999998E-4</v>
      </c>
      <c r="O184" s="59">
        <v>0.13377600000000001</v>
      </c>
      <c r="P184" s="44" t="s">
        <v>125</v>
      </c>
      <c r="Q184" s="44">
        <v>0.96987599999999996</v>
      </c>
      <c r="R184" s="71">
        <v>-131346.79943099999</v>
      </c>
    </row>
    <row r="185" spans="1:18" x14ac:dyDescent="0.25">
      <c r="A185" s="66"/>
      <c r="B185" s="117" t="s">
        <v>85</v>
      </c>
      <c r="C185" s="60">
        <v>45835</v>
      </c>
      <c r="D185" s="60">
        <v>45838</v>
      </c>
      <c r="E185" s="44">
        <v>8577</v>
      </c>
      <c r="F185" s="44" t="s">
        <v>160</v>
      </c>
      <c r="G185" s="44" t="s">
        <v>147</v>
      </c>
      <c r="H185" s="44">
        <v>12</v>
      </c>
      <c r="I185" s="44"/>
      <c r="J185" s="44"/>
      <c r="K185" s="61">
        <v>9.2899999999999991</v>
      </c>
      <c r="L185" s="44">
        <v>400</v>
      </c>
      <c r="M185" s="52">
        <v>3716</v>
      </c>
      <c r="N185" s="44"/>
      <c r="O185" s="59"/>
      <c r="P185" s="44" t="s">
        <v>125</v>
      </c>
      <c r="Q185" s="52">
        <v>3716</v>
      </c>
      <c r="R185" s="71">
        <v>-135062.79943099999</v>
      </c>
    </row>
    <row r="186" spans="1:18" x14ac:dyDescent="0.25">
      <c r="A186" s="66"/>
      <c r="B186" s="117" t="s">
        <v>85</v>
      </c>
      <c r="C186" s="60">
        <v>45835</v>
      </c>
      <c r="D186" s="60">
        <v>45838</v>
      </c>
      <c r="E186" s="44">
        <v>8577</v>
      </c>
      <c r="F186" s="44" t="s">
        <v>159</v>
      </c>
      <c r="G186" s="44" t="s">
        <v>147</v>
      </c>
      <c r="H186" s="44">
        <v>12</v>
      </c>
      <c r="I186" s="44"/>
      <c r="J186" s="44"/>
      <c r="K186" s="61"/>
      <c r="L186" s="44"/>
      <c r="M186" s="44">
        <v>3.3443999999999998</v>
      </c>
      <c r="N186" s="113">
        <v>8.9999999999999998E-4</v>
      </c>
      <c r="O186" s="59">
        <v>0.53510400000000002</v>
      </c>
      <c r="P186" s="44" t="s">
        <v>125</v>
      </c>
      <c r="Q186" s="44">
        <v>3.8795039999999998</v>
      </c>
      <c r="R186" s="71">
        <v>-135066.678935</v>
      </c>
    </row>
    <row r="187" spans="1:18" x14ac:dyDescent="0.25">
      <c r="A187" s="66"/>
      <c r="B187" s="117" t="s">
        <v>85</v>
      </c>
      <c r="C187" s="60">
        <v>45835</v>
      </c>
      <c r="D187" s="60">
        <v>45838</v>
      </c>
      <c r="E187" s="44">
        <v>8577</v>
      </c>
      <c r="F187" s="44" t="s">
        <v>160</v>
      </c>
      <c r="G187" s="44" t="s">
        <v>147</v>
      </c>
      <c r="H187" s="44">
        <v>12</v>
      </c>
      <c r="I187" s="44"/>
      <c r="J187" s="44"/>
      <c r="K187" s="61">
        <v>9.2799999999999994</v>
      </c>
      <c r="L187" s="44">
        <v>2349</v>
      </c>
      <c r="M187" s="52">
        <v>21798.720000000001</v>
      </c>
      <c r="N187" s="44"/>
      <c r="O187" s="59"/>
      <c r="P187" s="44" t="s">
        <v>125</v>
      </c>
      <c r="Q187" s="52">
        <v>21798.720000000001</v>
      </c>
      <c r="R187" s="71">
        <v>-156865.398935</v>
      </c>
    </row>
    <row r="188" spans="1:18" x14ac:dyDescent="0.25">
      <c r="A188" s="66"/>
      <c r="B188" s="117" t="s">
        <v>85</v>
      </c>
      <c r="C188" s="60">
        <v>45835</v>
      </c>
      <c r="D188" s="60">
        <v>45838</v>
      </c>
      <c r="E188" s="44">
        <v>8577</v>
      </c>
      <c r="F188" s="44" t="s">
        <v>159</v>
      </c>
      <c r="G188" s="44" t="s">
        <v>147</v>
      </c>
      <c r="H188" s="44">
        <v>12</v>
      </c>
      <c r="I188" s="44"/>
      <c r="J188" s="44"/>
      <c r="K188" s="61"/>
      <c r="L188" s="44"/>
      <c r="M188" s="44">
        <v>19.618848</v>
      </c>
      <c r="N188" s="113">
        <v>8.9999999999999998E-4</v>
      </c>
      <c r="O188" s="59">
        <v>3.1390150000000001</v>
      </c>
      <c r="P188" s="44" t="s">
        <v>125</v>
      </c>
      <c r="Q188" s="44">
        <v>22.757863</v>
      </c>
      <c r="R188" s="71">
        <v>-156888.15679800001</v>
      </c>
    </row>
    <row r="189" spans="1:18" x14ac:dyDescent="0.25">
      <c r="A189" s="66"/>
      <c r="B189" s="117" t="s">
        <v>121</v>
      </c>
      <c r="C189" s="60">
        <v>45835</v>
      </c>
      <c r="D189" s="60">
        <v>45838</v>
      </c>
      <c r="E189" s="44">
        <v>8578</v>
      </c>
      <c r="F189" s="44" t="s">
        <v>160</v>
      </c>
      <c r="G189" s="44" t="s">
        <v>142</v>
      </c>
      <c r="H189" s="44">
        <v>11</v>
      </c>
      <c r="I189" s="44"/>
      <c r="J189" s="44"/>
      <c r="K189" s="61">
        <v>26.09</v>
      </c>
      <c r="L189" s="44">
        <v>100</v>
      </c>
      <c r="M189" s="52">
        <v>2609</v>
      </c>
      <c r="N189" s="44"/>
      <c r="O189" s="59"/>
      <c r="P189" s="44" t="s">
        <v>125</v>
      </c>
      <c r="Q189" s="52">
        <v>2609</v>
      </c>
      <c r="R189" s="71">
        <v>-80003.978671000004</v>
      </c>
    </row>
    <row r="190" spans="1:18" x14ac:dyDescent="0.25">
      <c r="A190" s="66"/>
      <c r="B190" s="117" t="s">
        <v>121</v>
      </c>
      <c r="C190" s="60">
        <v>45835</v>
      </c>
      <c r="D190" s="60">
        <v>45838</v>
      </c>
      <c r="E190" s="44">
        <v>8578</v>
      </c>
      <c r="F190" s="44" t="s">
        <v>159</v>
      </c>
      <c r="G190" s="44" t="s">
        <v>142</v>
      </c>
      <c r="H190" s="44">
        <v>11</v>
      </c>
      <c r="I190" s="44"/>
      <c r="J190" s="44"/>
      <c r="K190" s="61"/>
      <c r="L190" s="44"/>
      <c r="M190" s="44">
        <v>2.3481000000000001</v>
      </c>
      <c r="N190" s="113">
        <v>8.9999999999999998E-4</v>
      </c>
      <c r="O190" s="59">
        <v>0.37569599999999997</v>
      </c>
      <c r="P190" s="44" t="s">
        <v>125</v>
      </c>
      <c r="Q190" s="44">
        <v>2.7237960000000001</v>
      </c>
      <c r="R190" s="71">
        <v>-80006.70246700001</v>
      </c>
    </row>
    <row r="191" spans="1:18" x14ac:dyDescent="0.25">
      <c r="A191" s="66"/>
      <c r="B191" s="117" t="s">
        <v>121</v>
      </c>
      <c r="C191" s="60">
        <v>45835</v>
      </c>
      <c r="D191" s="60">
        <v>45838</v>
      </c>
      <c r="E191" s="44">
        <v>8578</v>
      </c>
      <c r="F191" s="44" t="s">
        <v>160</v>
      </c>
      <c r="G191" s="44" t="s">
        <v>142</v>
      </c>
      <c r="H191" s="44">
        <v>11</v>
      </c>
      <c r="I191" s="44"/>
      <c r="J191" s="44"/>
      <c r="K191" s="61">
        <v>26.09</v>
      </c>
      <c r="L191" s="44">
        <v>100</v>
      </c>
      <c r="M191" s="52">
        <v>2609</v>
      </c>
      <c r="N191" s="44"/>
      <c r="O191" s="59"/>
      <c r="P191" s="44" t="s">
        <v>125</v>
      </c>
      <c r="Q191" s="52">
        <v>2609</v>
      </c>
      <c r="R191" s="71">
        <v>-82615.70246700001</v>
      </c>
    </row>
    <row r="192" spans="1:18" x14ac:dyDescent="0.25">
      <c r="A192" s="66"/>
      <c r="B192" s="117" t="s">
        <v>121</v>
      </c>
      <c r="C192" s="60">
        <v>45835</v>
      </c>
      <c r="D192" s="60">
        <v>45838</v>
      </c>
      <c r="E192" s="44">
        <v>8578</v>
      </c>
      <c r="F192" s="44" t="s">
        <v>159</v>
      </c>
      <c r="G192" s="44" t="s">
        <v>142</v>
      </c>
      <c r="H192" s="44">
        <v>11</v>
      </c>
      <c r="I192" s="44"/>
      <c r="J192" s="44"/>
      <c r="K192" s="61"/>
      <c r="L192" s="44"/>
      <c r="M192" s="44">
        <v>2.3481000000000001</v>
      </c>
      <c r="N192" s="113">
        <v>8.9999999999999998E-4</v>
      </c>
      <c r="O192" s="59">
        <v>0.37569599999999997</v>
      </c>
      <c r="P192" s="44" t="s">
        <v>125</v>
      </c>
      <c r="Q192" s="44">
        <v>2.7237960000000001</v>
      </c>
      <c r="R192" s="71">
        <v>-82618.426263000016</v>
      </c>
    </row>
    <row r="193" spans="1:18" x14ac:dyDescent="0.25">
      <c r="A193" s="66"/>
      <c r="B193" s="117" t="s">
        <v>121</v>
      </c>
      <c r="C193" s="60">
        <v>45835</v>
      </c>
      <c r="D193" s="60">
        <v>45838</v>
      </c>
      <c r="E193" s="44">
        <v>8578</v>
      </c>
      <c r="F193" s="44" t="s">
        <v>160</v>
      </c>
      <c r="G193" s="44" t="s">
        <v>142</v>
      </c>
      <c r="H193" s="44">
        <v>11</v>
      </c>
      <c r="I193" s="44"/>
      <c r="J193" s="44"/>
      <c r="K193" s="61">
        <v>26.09</v>
      </c>
      <c r="L193" s="44">
        <v>935</v>
      </c>
      <c r="M193" s="52">
        <v>24394.15</v>
      </c>
      <c r="N193" s="44"/>
      <c r="O193" s="59"/>
      <c r="P193" s="44" t="s">
        <v>125</v>
      </c>
      <c r="Q193" s="52">
        <v>24394.15</v>
      </c>
      <c r="R193" s="71">
        <v>-107012.57626300002</v>
      </c>
    </row>
    <row r="194" spans="1:18" x14ac:dyDescent="0.25">
      <c r="A194" s="66"/>
      <c r="B194" s="117" t="s">
        <v>121</v>
      </c>
      <c r="C194" s="60">
        <v>45835</v>
      </c>
      <c r="D194" s="60">
        <v>45838</v>
      </c>
      <c r="E194" s="44">
        <v>8578</v>
      </c>
      <c r="F194" s="44" t="s">
        <v>159</v>
      </c>
      <c r="G194" s="44" t="s">
        <v>142</v>
      </c>
      <c r="H194" s="44">
        <v>11</v>
      </c>
      <c r="I194" s="44"/>
      <c r="J194" s="44"/>
      <c r="K194" s="61"/>
      <c r="L194" s="44"/>
      <c r="M194" s="44">
        <v>21.954734999999999</v>
      </c>
      <c r="N194" s="113">
        <v>8.9999999999999998E-4</v>
      </c>
      <c r="O194" s="59">
        <v>3.5127570000000001</v>
      </c>
      <c r="P194" s="44" t="s">
        <v>125</v>
      </c>
      <c r="Q194" s="44">
        <v>25.467492</v>
      </c>
      <c r="R194" s="71">
        <v>-107038.04375500002</v>
      </c>
    </row>
    <row r="195" spans="1:18" x14ac:dyDescent="0.25">
      <c r="A195" s="66"/>
      <c r="B195" s="117" t="s">
        <v>121</v>
      </c>
      <c r="C195" s="60">
        <v>45835</v>
      </c>
      <c r="D195" s="60">
        <v>45838</v>
      </c>
      <c r="E195" s="44">
        <v>8578</v>
      </c>
      <c r="F195" s="44" t="s">
        <v>160</v>
      </c>
      <c r="G195" s="44" t="s">
        <v>142</v>
      </c>
      <c r="H195" s="44">
        <v>11</v>
      </c>
      <c r="I195" s="44"/>
      <c r="J195" s="44"/>
      <c r="K195" s="61">
        <v>26.09</v>
      </c>
      <c r="L195" s="44">
        <v>100</v>
      </c>
      <c r="M195" s="52">
        <v>2609</v>
      </c>
      <c r="N195" s="44"/>
      <c r="O195" s="59"/>
      <c r="P195" s="44" t="s">
        <v>125</v>
      </c>
      <c r="Q195" s="52">
        <v>2609</v>
      </c>
      <c r="R195" s="71">
        <v>-109647.04375500002</v>
      </c>
    </row>
    <row r="196" spans="1:18" x14ac:dyDescent="0.25">
      <c r="A196" s="66"/>
      <c r="B196" s="117" t="s">
        <v>121</v>
      </c>
      <c r="C196" s="60">
        <v>45835</v>
      </c>
      <c r="D196" s="60">
        <v>45838</v>
      </c>
      <c r="E196" s="44">
        <v>8578</v>
      </c>
      <c r="F196" s="44" t="s">
        <v>159</v>
      </c>
      <c r="G196" s="44" t="s">
        <v>142</v>
      </c>
      <c r="H196" s="44">
        <v>11</v>
      </c>
      <c r="I196" s="44"/>
      <c r="J196" s="44"/>
      <c r="K196" s="61"/>
      <c r="L196" s="44"/>
      <c r="M196" s="44">
        <v>2.3481000000000001</v>
      </c>
      <c r="N196" s="113">
        <v>8.9999999999999998E-4</v>
      </c>
      <c r="O196" s="59">
        <v>0.37569599999999997</v>
      </c>
      <c r="P196" s="44" t="s">
        <v>125</v>
      </c>
      <c r="Q196" s="44">
        <v>2.7237960000000001</v>
      </c>
      <c r="R196" s="71">
        <v>-109649.76755100003</v>
      </c>
    </row>
    <row r="197" spans="1:18" x14ac:dyDescent="0.25">
      <c r="A197" s="66"/>
      <c r="B197" s="117" t="s">
        <v>121</v>
      </c>
      <c r="C197" s="60">
        <v>45835</v>
      </c>
      <c r="D197" s="60">
        <v>45838</v>
      </c>
      <c r="E197" s="44">
        <v>8578</v>
      </c>
      <c r="F197" s="44" t="s">
        <v>160</v>
      </c>
      <c r="G197" s="44" t="s">
        <v>142</v>
      </c>
      <c r="H197" s="44">
        <v>11</v>
      </c>
      <c r="I197" s="44"/>
      <c r="J197" s="44"/>
      <c r="K197" s="61">
        <v>26.09</v>
      </c>
      <c r="L197" s="44">
        <v>100</v>
      </c>
      <c r="M197" s="52">
        <v>2609</v>
      </c>
      <c r="N197" s="44"/>
      <c r="O197" s="59"/>
      <c r="P197" s="44" t="s">
        <v>125</v>
      </c>
      <c r="Q197" s="52">
        <v>2609</v>
      </c>
      <c r="R197" s="71">
        <v>-112258.76755100003</v>
      </c>
    </row>
    <row r="198" spans="1:18" x14ac:dyDescent="0.25">
      <c r="A198" s="66"/>
      <c r="B198" s="117" t="s">
        <v>121</v>
      </c>
      <c r="C198" s="60">
        <v>45835</v>
      </c>
      <c r="D198" s="60">
        <v>45838</v>
      </c>
      <c r="E198" s="44">
        <v>8578</v>
      </c>
      <c r="F198" s="44" t="s">
        <v>159</v>
      </c>
      <c r="G198" s="44" t="s">
        <v>142</v>
      </c>
      <c r="H198" s="44">
        <v>11</v>
      </c>
      <c r="I198" s="44"/>
      <c r="J198" s="44"/>
      <c r="K198" s="61"/>
      <c r="L198" s="44"/>
      <c r="M198" s="44">
        <v>2.3481000000000001</v>
      </c>
      <c r="N198" s="113">
        <v>8.9999999999999998E-4</v>
      </c>
      <c r="O198" s="59">
        <v>0.37569599999999997</v>
      </c>
      <c r="P198" s="44" t="s">
        <v>125</v>
      </c>
      <c r="Q198" s="44">
        <v>2.7237960000000001</v>
      </c>
      <c r="R198" s="71">
        <v>-112261.49134700003</v>
      </c>
    </row>
    <row r="199" spans="1:18" x14ac:dyDescent="0.25">
      <c r="A199" s="66"/>
      <c r="B199" s="117" t="s">
        <v>121</v>
      </c>
      <c r="C199" s="60">
        <v>45835</v>
      </c>
      <c r="D199" s="60">
        <v>45838</v>
      </c>
      <c r="E199" s="44">
        <v>8578</v>
      </c>
      <c r="F199" s="44" t="s">
        <v>160</v>
      </c>
      <c r="G199" s="44" t="s">
        <v>142</v>
      </c>
      <c r="H199" s="44">
        <v>11</v>
      </c>
      <c r="I199" s="44"/>
      <c r="J199" s="44"/>
      <c r="K199" s="61">
        <v>26.09</v>
      </c>
      <c r="L199" s="44">
        <v>100</v>
      </c>
      <c r="M199" s="52">
        <v>2609</v>
      </c>
      <c r="N199" s="44"/>
      <c r="O199" s="59"/>
      <c r="P199" s="44" t="s">
        <v>125</v>
      </c>
      <c r="Q199" s="52">
        <v>2609</v>
      </c>
      <c r="R199" s="71">
        <v>-114870.49134700003</v>
      </c>
    </row>
    <row r="200" spans="1:18" x14ac:dyDescent="0.25">
      <c r="A200" s="66"/>
      <c r="B200" s="117" t="s">
        <v>121</v>
      </c>
      <c r="C200" s="60">
        <v>45835</v>
      </c>
      <c r="D200" s="60">
        <v>45838</v>
      </c>
      <c r="E200" s="44">
        <v>8578</v>
      </c>
      <c r="F200" s="44" t="s">
        <v>159</v>
      </c>
      <c r="G200" s="44" t="s">
        <v>142</v>
      </c>
      <c r="H200" s="44">
        <v>11</v>
      </c>
      <c r="I200" s="44"/>
      <c r="J200" s="44"/>
      <c r="K200" s="61"/>
      <c r="L200" s="44"/>
      <c r="M200" s="44">
        <v>2.3481000000000001</v>
      </c>
      <c r="N200" s="113">
        <v>8.9999999999999998E-4</v>
      </c>
      <c r="O200" s="59">
        <v>0.37569599999999997</v>
      </c>
      <c r="P200" s="44" t="s">
        <v>125</v>
      </c>
      <c r="Q200" s="44">
        <v>2.7237960000000001</v>
      </c>
      <c r="R200" s="71">
        <v>-114873.21514300004</v>
      </c>
    </row>
    <row r="201" spans="1:18" x14ac:dyDescent="0.25">
      <c r="A201" s="66"/>
      <c r="B201" s="117" t="s">
        <v>121</v>
      </c>
      <c r="C201" s="60">
        <v>45835</v>
      </c>
      <c r="D201" s="60">
        <v>45838</v>
      </c>
      <c r="E201" s="44">
        <v>8578</v>
      </c>
      <c r="F201" s="44" t="s">
        <v>160</v>
      </c>
      <c r="G201" s="44" t="s">
        <v>142</v>
      </c>
      <c r="H201" s="44">
        <v>11</v>
      </c>
      <c r="I201" s="44"/>
      <c r="J201" s="44"/>
      <c r="K201" s="61">
        <v>26.09</v>
      </c>
      <c r="L201" s="44">
        <v>100</v>
      </c>
      <c r="M201" s="52">
        <v>2609</v>
      </c>
      <c r="N201" s="44"/>
      <c r="O201" s="59"/>
      <c r="P201" s="44" t="s">
        <v>125</v>
      </c>
      <c r="Q201" s="52">
        <v>2609</v>
      </c>
      <c r="R201" s="71">
        <v>-117482.21514300004</v>
      </c>
    </row>
    <row r="202" spans="1:18" x14ac:dyDescent="0.25">
      <c r="A202" s="66"/>
      <c r="B202" s="117" t="s">
        <v>121</v>
      </c>
      <c r="C202" s="60">
        <v>45835</v>
      </c>
      <c r="D202" s="60">
        <v>45838</v>
      </c>
      <c r="E202" s="44">
        <v>8578</v>
      </c>
      <c r="F202" s="44" t="s">
        <v>159</v>
      </c>
      <c r="G202" s="44" t="s">
        <v>142</v>
      </c>
      <c r="H202" s="44">
        <v>11</v>
      </c>
      <c r="I202" s="44"/>
      <c r="J202" s="44"/>
      <c r="K202" s="61"/>
      <c r="L202" s="44"/>
      <c r="M202" s="44">
        <v>2.3481000000000001</v>
      </c>
      <c r="N202" s="113">
        <v>8.9999999999999998E-4</v>
      </c>
      <c r="O202" s="59">
        <v>0.37569599999999997</v>
      </c>
      <c r="P202" s="44" t="s">
        <v>125</v>
      </c>
      <c r="Q202" s="44">
        <v>2.7237960000000001</v>
      </c>
      <c r="R202" s="71">
        <v>-117484.93893900004</v>
      </c>
    </row>
    <row r="203" spans="1:18" x14ac:dyDescent="0.25">
      <c r="A203" s="66"/>
      <c r="B203" s="117" t="s">
        <v>121</v>
      </c>
      <c r="C203" s="60">
        <v>45835</v>
      </c>
      <c r="D203" s="60">
        <v>45838</v>
      </c>
      <c r="E203" s="44">
        <v>8578</v>
      </c>
      <c r="F203" s="44" t="s">
        <v>160</v>
      </c>
      <c r="G203" s="44" t="s">
        <v>142</v>
      </c>
      <c r="H203" s="44">
        <v>11</v>
      </c>
      <c r="I203" s="44"/>
      <c r="J203" s="44"/>
      <c r="K203" s="61">
        <v>26.09</v>
      </c>
      <c r="L203" s="44">
        <v>100</v>
      </c>
      <c r="M203" s="52">
        <v>2609</v>
      </c>
      <c r="N203" s="44"/>
      <c r="O203" s="59"/>
      <c r="P203" s="44" t="s">
        <v>125</v>
      </c>
      <c r="Q203" s="52">
        <v>2609</v>
      </c>
      <c r="R203" s="71">
        <v>-120093.93893900004</v>
      </c>
    </row>
    <row r="204" spans="1:18" x14ac:dyDescent="0.25">
      <c r="A204" s="66"/>
      <c r="B204" s="117" t="s">
        <v>121</v>
      </c>
      <c r="C204" s="60">
        <v>45835</v>
      </c>
      <c r="D204" s="60">
        <v>45838</v>
      </c>
      <c r="E204" s="44">
        <v>8578</v>
      </c>
      <c r="F204" s="44" t="s">
        <v>159</v>
      </c>
      <c r="G204" s="44" t="s">
        <v>142</v>
      </c>
      <c r="H204" s="44">
        <v>11</v>
      </c>
      <c r="I204" s="44"/>
      <c r="J204" s="44"/>
      <c r="K204" s="61"/>
      <c r="L204" s="44"/>
      <c r="M204" s="44">
        <v>2.3481000000000001</v>
      </c>
      <c r="N204" s="113">
        <v>8.9999999999999998E-4</v>
      </c>
      <c r="O204" s="59">
        <v>0.37569599999999997</v>
      </c>
      <c r="P204" s="44" t="s">
        <v>125</v>
      </c>
      <c r="Q204" s="44">
        <v>2.7237960000000001</v>
      </c>
      <c r="R204" s="71">
        <v>-120096.66273500005</v>
      </c>
    </row>
    <row r="205" spans="1:18" x14ac:dyDescent="0.25">
      <c r="A205" s="66"/>
      <c r="B205" s="117" t="s">
        <v>121</v>
      </c>
      <c r="C205" s="60">
        <v>45835</v>
      </c>
      <c r="D205" s="60">
        <v>45838</v>
      </c>
      <c r="E205" s="44">
        <v>8578</v>
      </c>
      <c r="F205" s="44" t="s">
        <v>160</v>
      </c>
      <c r="G205" s="44" t="s">
        <v>142</v>
      </c>
      <c r="H205" s="44">
        <v>11</v>
      </c>
      <c r="I205" s="44"/>
      <c r="J205" s="44"/>
      <c r="K205" s="61">
        <v>26.09</v>
      </c>
      <c r="L205" s="44">
        <v>100</v>
      </c>
      <c r="M205" s="52">
        <v>2609</v>
      </c>
      <c r="N205" s="44"/>
      <c r="O205" s="59"/>
      <c r="P205" s="44" t="s">
        <v>125</v>
      </c>
      <c r="Q205" s="52">
        <v>2609</v>
      </c>
      <c r="R205" s="71">
        <v>-122705.66273500005</v>
      </c>
    </row>
    <row r="206" spans="1:18" x14ac:dyDescent="0.25">
      <c r="A206" s="79"/>
      <c r="B206" s="117" t="s">
        <v>121</v>
      </c>
      <c r="C206" s="60">
        <v>45835</v>
      </c>
      <c r="D206" s="60">
        <v>45838</v>
      </c>
      <c r="E206" s="44">
        <v>8578</v>
      </c>
      <c r="F206" s="44" t="s">
        <v>159</v>
      </c>
      <c r="G206" s="44" t="s">
        <v>142</v>
      </c>
      <c r="H206" s="44">
        <v>11</v>
      </c>
      <c r="I206" s="44"/>
      <c r="J206" s="44"/>
      <c r="K206" s="61"/>
      <c r="L206" s="44"/>
      <c r="M206" s="44">
        <v>2.3481000000000001</v>
      </c>
      <c r="N206" s="113">
        <v>8.9999999999999998E-4</v>
      </c>
      <c r="O206" s="59">
        <v>0.37569599999999997</v>
      </c>
      <c r="P206" s="44" t="s">
        <v>125</v>
      </c>
      <c r="Q206" s="44">
        <v>2.7237960000000001</v>
      </c>
      <c r="R206" s="71">
        <v>-122708.38653100005</v>
      </c>
    </row>
    <row r="207" spans="1:18" x14ac:dyDescent="0.25">
      <c r="A207" s="66"/>
      <c r="B207" s="117" t="s">
        <v>121</v>
      </c>
      <c r="C207" s="92">
        <v>45835</v>
      </c>
      <c r="D207" s="92">
        <v>45838</v>
      </c>
      <c r="E207" s="77">
        <v>8578</v>
      </c>
      <c r="F207" s="77" t="s">
        <v>160</v>
      </c>
      <c r="G207" s="77" t="s">
        <v>142</v>
      </c>
      <c r="H207" s="77">
        <v>11</v>
      </c>
      <c r="I207" s="77"/>
      <c r="J207" s="77"/>
      <c r="K207" s="111">
        <v>26.09</v>
      </c>
      <c r="L207" s="77">
        <v>100</v>
      </c>
      <c r="M207" s="78">
        <v>2609</v>
      </c>
      <c r="N207" s="77"/>
      <c r="O207" s="93"/>
      <c r="P207" s="77" t="s">
        <v>125</v>
      </c>
      <c r="Q207" s="78">
        <v>2609</v>
      </c>
      <c r="R207" s="71">
        <v>-125317.38653100005</v>
      </c>
    </row>
    <row r="208" spans="1:18" x14ac:dyDescent="0.25">
      <c r="A208" s="66"/>
      <c r="B208" s="117" t="s">
        <v>121</v>
      </c>
      <c r="C208" s="60">
        <v>45835</v>
      </c>
      <c r="D208" s="60">
        <v>45838</v>
      </c>
      <c r="E208" s="44">
        <v>8578</v>
      </c>
      <c r="F208" s="44" t="s">
        <v>159</v>
      </c>
      <c r="G208" s="44" t="s">
        <v>142</v>
      </c>
      <c r="H208" s="44">
        <v>11</v>
      </c>
      <c r="I208" s="44"/>
      <c r="J208" s="44"/>
      <c r="K208" s="44"/>
      <c r="L208" s="44"/>
      <c r="M208" s="44">
        <v>2.3481000000000001</v>
      </c>
      <c r="N208" s="113">
        <v>8.9999999999999998E-4</v>
      </c>
      <c r="O208" s="44">
        <v>0.37569599999999997</v>
      </c>
      <c r="P208" s="44" t="s">
        <v>125</v>
      </c>
      <c r="Q208" s="44">
        <v>2.7237960000000001</v>
      </c>
      <c r="R208" s="71">
        <v>-125320.11032700006</v>
      </c>
    </row>
    <row r="209" spans="1:18" x14ac:dyDescent="0.25">
      <c r="A209" s="66"/>
      <c r="B209" s="117" t="s">
        <v>121</v>
      </c>
      <c r="C209" s="60">
        <v>45835</v>
      </c>
      <c r="D209" s="60">
        <v>45838</v>
      </c>
      <c r="E209" s="44">
        <v>8578</v>
      </c>
      <c r="F209" s="44" t="s">
        <v>160</v>
      </c>
      <c r="G209" s="44" t="s">
        <v>142</v>
      </c>
      <c r="H209" s="44">
        <v>11</v>
      </c>
      <c r="I209" s="44"/>
      <c r="J209" s="44"/>
      <c r="K209" s="61">
        <v>26.1</v>
      </c>
      <c r="L209" s="44">
        <v>300</v>
      </c>
      <c r="M209" s="52">
        <v>7830</v>
      </c>
      <c r="N209" s="44"/>
      <c r="O209" s="59"/>
      <c r="P209" s="44" t="s">
        <v>125</v>
      </c>
      <c r="Q209" s="52">
        <v>7830</v>
      </c>
      <c r="R209" s="71">
        <v>-133150.11032700006</v>
      </c>
    </row>
    <row r="210" spans="1:18" x14ac:dyDescent="0.25">
      <c r="A210" s="66"/>
      <c r="B210" s="117" t="s">
        <v>121</v>
      </c>
      <c r="C210" s="60">
        <v>45835</v>
      </c>
      <c r="D210" s="60">
        <v>45838</v>
      </c>
      <c r="E210" s="44">
        <v>8578</v>
      </c>
      <c r="F210" s="44" t="s">
        <v>159</v>
      </c>
      <c r="G210" s="44" t="s">
        <v>142</v>
      </c>
      <c r="H210" s="44">
        <v>11</v>
      </c>
      <c r="I210" s="44"/>
      <c r="J210" s="44"/>
      <c r="K210" s="61"/>
      <c r="L210" s="44"/>
      <c r="M210" s="44">
        <v>7.0469999999999997</v>
      </c>
      <c r="N210" s="113">
        <v>8.9999999999999998E-4</v>
      </c>
      <c r="O210" s="59">
        <v>1.1275200000000001</v>
      </c>
      <c r="P210" s="44" t="s">
        <v>125</v>
      </c>
      <c r="Q210" s="44">
        <v>8.1745199999999993</v>
      </c>
      <c r="R210" s="71">
        <v>-133158.28484700006</v>
      </c>
    </row>
    <row r="211" spans="1:18" x14ac:dyDescent="0.25">
      <c r="A211" s="66"/>
      <c r="B211" s="117" t="s">
        <v>121</v>
      </c>
      <c r="C211" s="60">
        <v>45835</v>
      </c>
      <c r="D211" s="60">
        <v>45838</v>
      </c>
      <c r="E211" s="44">
        <v>8578</v>
      </c>
      <c r="F211" s="44" t="s">
        <v>160</v>
      </c>
      <c r="G211" s="44" t="s">
        <v>142</v>
      </c>
      <c r="H211" s="44">
        <v>11</v>
      </c>
      <c r="I211" s="44"/>
      <c r="J211" s="44"/>
      <c r="K211" s="61">
        <v>26.1</v>
      </c>
      <c r="L211" s="44">
        <v>200</v>
      </c>
      <c r="M211" s="52">
        <v>5220</v>
      </c>
      <c r="N211" s="44"/>
      <c r="O211" s="59"/>
      <c r="P211" s="44" t="s">
        <v>125</v>
      </c>
      <c r="Q211" s="52">
        <v>5220</v>
      </c>
      <c r="R211" s="71">
        <v>-138378.28484700006</v>
      </c>
    </row>
    <row r="212" spans="1:18" x14ac:dyDescent="0.25">
      <c r="A212" s="66"/>
      <c r="B212" s="117" t="s">
        <v>121</v>
      </c>
      <c r="C212" s="60">
        <v>45835</v>
      </c>
      <c r="D212" s="60">
        <v>45838</v>
      </c>
      <c r="E212" s="44">
        <v>8578</v>
      </c>
      <c r="F212" s="44" t="s">
        <v>159</v>
      </c>
      <c r="G212" s="44" t="s">
        <v>142</v>
      </c>
      <c r="H212" s="44">
        <v>11</v>
      </c>
      <c r="I212" s="44"/>
      <c r="J212" s="44"/>
      <c r="K212" s="61"/>
      <c r="L212" s="44"/>
      <c r="M212" s="44">
        <v>4.6980000000000004</v>
      </c>
      <c r="N212" s="113">
        <v>8.9999999999999998E-4</v>
      </c>
      <c r="O212" s="59">
        <v>0.75168000000000001</v>
      </c>
      <c r="P212" s="44" t="s">
        <v>125</v>
      </c>
      <c r="Q212" s="44">
        <v>5.4496799999999999</v>
      </c>
      <c r="R212" s="71">
        <v>-138383.73452700005</v>
      </c>
    </row>
    <row r="213" spans="1:18" x14ac:dyDescent="0.25">
      <c r="A213" s="66"/>
      <c r="B213" s="117" t="s">
        <v>121</v>
      </c>
      <c r="C213" s="60">
        <v>45835</v>
      </c>
      <c r="D213" s="60">
        <v>45838</v>
      </c>
      <c r="E213" s="44">
        <v>8578</v>
      </c>
      <c r="F213" s="44" t="s">
        <v>160</v>
      </c>
      <c r="G213" s="44" t="s">
        <v>142</v>
      </c>
      <c r="H213" s="44">
        <v>11</v>
      </c>
      <c r="I213" s="44"/>
      <c r="J213" s="44"/>
      <c r="K213" s="61">
        <v>26.1</v>
      </c>
      <c r="L213" s="44">
        <v>300</v>
      </c>
      <c r="M213" s="52">
        <v>7830</v>
      </c>
      <c r="N213" s="44"/>
      <c r="O213" s="59"/>
      <c r="P213" s="44" t="s">
        <v>125</v>
      </c>
      <c r="Q213" s="52">
        <v>7830</v>
      </c>
      <c r="R213" s="71">
        <v>-146213.73452700005</v>
      </c>
    </row>
    <row r="214" spans="1:18" x14ac:dyDescent="0.25">
      <c r="A214" s="66"/>
      <c r="B214" s="117" t="s">
        <v>121</v>
      </c>
      <c r="C214" s="60">
        <v>45835</v>
      </c>
      <c r="D214" s="60">
        <v>45838</v>
      </c>
      <c r="E214" s="44">
        <v>8578</v>
      </c>
      <c r="F214" s="44" t="s">
        <v>159</v>
      </c>
      <c r="G214" s="44" t="s">
        <v>142</v>
      </c>
      <c r="H214" s="44">
        <v>11</v>
      </c>
      <c r="I214" s="44"/>
      <c r="J214" s="44"/>
      <c r="K214" s="61"/>
      <c r="L214" s="44"/>
      <c r="M214" s="44">
        <v>7.0469999999999997</v>
      </c>
      <c r="N214" s="113">
        <v>8.9999999999999998E-4</v>
      </c>
      <c r="O214" s="59">
        <v>1.1275200000000001</v>
      </c>
      <c r="P214" s="44" t="s">
        <v>125</v>
      </c>
      <c r="Q214" s="44">
        <v>8.1745199999999993</v>
      </c>
      <c r="R214" s="71">
        <v>-146221.90904700005</v>
      </c>
    </row>
    <row r="215" spans="1:18" x14ac:dyDescent="0.25">
      <c r="A215" s="66"/>
      <c r="B215" s="117" t="s">
        <v>121</v>
      </c>
      <c r="C215" s="60">
        <v>45835</v>
      </c>
      <c r="D215" s="60">
        <v>45838</v>
      </c>
      <c r="E215" s="44">
        <v>8578</v>
      </c>
      <c r="F215" s="44" t="s">
        <v>160</v>
      </c>
      <c r="G215" s="44" t="s">
        <v>142</v>
      </c>
      <c r="H215" s="44">
        <v>11</v>
      </c>
      <c r="I215" s="44"/>
      <c r="J215" s="44"/>
      <c r="K215" s="61">
        <v>26.1</v>
      </c>
      <c r="L215" s="44">
        <v>100</v>
      </c>
      <c r="M215" s="52">
        <v>2610</v>
      </c>
      <c r="N215" s="44"/>
      <c r="O215" s="59"/>
      <c r="P215" s="44" t="s">
        <v>125</v>
      </c>
      <c r="Q215" s="52">
        <v>2610</v>
      </c>
      <c r="R215" s="71">
        <v>-148831.90904700005</v>
      </c>
    </row>
    <row r="216" spans="1:18" x14ac:dyDescent="0.25">
      <c r="A216" s="66"/>
      <c r="B216" s="117" t="s">
        <v>121</v>
      </c>
      <c r="C216" s="60">
        <v>45835</v>
      </c>
      <c r="D216" s="60">
        <v>45838</v>
      </c>
      <c r="E216" s="44">
        <v>8578</v>
      </c>
      <c r="F216" s="44" t="s">
        <v>159</v>
      </c>
      <c r="G216" s="44" t="s">
        <v>142</v>
      </c>
      <c r="H216" s="44">
        <v>11</v>
      </c>
      <c r="I216" s="44"/>
      <c r="J216" s="44"/>
      <c r="K216" s="61"/>
      <c r="L216" s="44"/>
      <c r="M216" s="44">
        <v>2.3490000000000002</v>
      </c>
      <c r="N216" s="113">
        <v>8.9999999999999998E-4</v>
      </c>
      <c r="O216" s="59">
        <v>0.37584000000000001</v>
      </c>
      <c r="P216" s="44" t="s">
        <v>125</v>
      </c>
      <c r="Q216" s="44">
        <v>2.7248399999999999</v>
      </c>
      <c r="R216" s="71">
        <v>-148834.63388700006</v>
      </c>
    </row>
    <row r="217" spans="1:18" x14ac:dyDescent="0.25">
      <c r="A217" s="66"/>
      <c r="B217" s="117" t="s">
        <v>121</v>
      </c>
      <c r="C217" s="60">
        <v>45835</v>
      </c>
      <c r="D217" s="60">
        <v>45838</v>
      </c>
      <c r="E217" s="44">
        <v>8578</v>
      </c>
      <c r="F217" s="44" t="s">
        <v>160</v>
      </c>
      <c r="G217" s="44" t="s">
        <v>142</v>
      </c>
      <c r="H217" s="44">
        <v>11</v>
      </c>
      <c r="I217" s="44"/>
      <c r="J217" s="44"/>
      <c r="K217" s="61">
        <v>26.1</v>
      </c>
      <c r="L217" s="44">
        <v>200</v>
      </c>
      <c r="M217" s="52">
        <v>5220</v>
      </c>
      <c r="N217" s="44"/>
      <c r="O217" s="59"/>
      <c r="P217" s="44" t="s">
        <v>125</v>
      </c>
      <c r="Q217" s="52">
        <v>5220</v>
      </c>
      <c r="R217" s="71">
        <v>-154054.63388700006</v>
      </c>
    </row>
    <row r="218" spans="1:18" x14ac:dyDescent="0.25">
      <c r="A218" s="66"/>
      <c r="B218" s="117" t="s">
        <v>121</v>
      </c>
      <c r="C218" s="60">
        <v>45835</v>
      </c>
      <c r="D218" s="60">
        <v>45838</v>
      </c>
      <c r="E218" s="44">
        <v>8578</v>
      </c>
      <c r="F218" s="44" t="s">
        <v>159</v>
      </c>
      <c r="G218" s="44" t="s">
        <v>142</v>
      </c>
      <c r="H218" s="44">
        <v>11</v>
      </c>
      <c r="I218" s="44"/>
      <c r="J218" s="44"/>
      <c r="K218" s="61"/>
      <c r="L218" s="44"/>
      <c r="M218" s="44">
        <v>4.6980000000000004</v>
      </c>
      <c r="N218" s="113">
        <v>8.9999999999999998E-4</v>
      </c>
      <c r="O218" s="59">
        <v>0.75168000000000001</v>
      </c>
      <c r="P218" s="44" t="s">
        <v>125</v>
      </c>
      <c r="Q218" s="44">
        <v>5.4496799999999999</v>
      </c>
      <c r="R218" s="71">
        <v>-154060.08356700005</v>
      </c>
    </row>
    <row r="219" spans="1:18" x14ac:dyDescent="0.25">
      <c r="A219" s="66"/>
      <c r="B219" s="117" t="s">
        <v>121</v>
      </c>
      <c r="C219" s="60">
        <v>45835</v>
      </c>
      <c r="D219" s="60">
        <v>45838</v>
      </c>
      <c r="E219" s="44">
        <v>8578</v>
      </c>
      <c r="F219" s="44" t="s">
        <v>160</v>
      </c>
      <c r="G219" s="44" t="s">
        <v>142</v>
      </c>
      <c r="H219" s="44">
        <v>11</v>
      </c>
      <c r="I219" s="44"/>
      <c r="J219" s="44"/>
      <c r="K219" s="61">
        <v>26.1</v>
      </c>
      <c r="L219" s="44">
        <v>65</v>
      </c>
      <c r="M219" s="52">
        <v>1696.5</v>
      </c>
      <c r="N219" s="44"/>
      <c r="O219" s="59"/>
      <c r="P219" s="44" t="s">
        <v>125</v>
      </c>
      <c r="Q219" s="52">
        <v>1696.5</v>
      </c>
      <c r="R219" s="71">
        <v>-155756.58356700005</v>
      </c>
    </row>
    <row r="220" spans="1:18" x14ac:dyDescent="0.25">
      <c r="A220" s="66"/>
      <c r="B220" s="117" t="s">
        <v>121</v>
      </c>
      <c r="C220" s="60">
        <v>45835</v>
      </c>
      <c r="D220" s="60">
        <v>45838</v>
      </c>
      <c r="E220" s="44">
        <v>8578</v>
      </c>
      <c r="F220" s="44" t="s">
        <v>159</v>
      </c>
      <c r="G220" s="44" t="s">
        <v>142</v>
      </c>
      <c r="H220" s="44">
        <v>11</v>
      </c>
      <c r="I220" s="44"/>
      <c r="J220" s="44"/>
      <c r="K220" s="61"/>
      <c r="L220" s="44"/>
      <c r="M220" s="44">
        <v>1.52685</v>
      </c>
      <c r="N220" s="113">
        <v>8.9999999999999998E-4</v>
      </c>
      <c r="O220" s="59">
        <v>0.24429600000000001</v>
      </c>
      <c r="P220" s="44" t="s">
        <v>125</v>
      </c>
      <c r="Q220" s="44">
        <v>1.7711460000000001</v>
      </c>
      <c r="R220" s="71">
        <v>-155758.35471300007</v>
      </c>
    </row>
    <row r="221" spans="1:18" x14ac:dyDescent="0.25">
      <c r="A221" s="66"/>
      <c r="B221" s="117" t="s">
        <v>85</v>
      </c>
      <c r="C221" s="60">
        <v>45835</v>
      </c>
      <c r="D221" s="60">
        <v>45838</v>
      </c>
      <c r="E221" s="44">
        <v>8579</v>
      </c>
      <c r="F221" s="44" t="s">
        <v>160</v>
      </c>
      <c r="G221" s="44" t="s">
        <v>161</v>
      </c>
      <c r="H221" s="44" t="s">
        <v>94</v>
      </c>
      <c r="I221" s="44"/>
      <c r="J221" s="44"/>
      <c r="K221" s="61">
        <v>1515.9</v>
      </c>
      <c r="L221" s="44">
        <v>18</v>
      </c>
      <c r="M221" s="52">
        <v>27286.2</v>
      </c>
      <c r="N221" s="44"/>
      <c r="O221" s="59"/>
      <c r="P221" s="44" t="s">
        <v>125</v>
      </c>
      <c r="Q221" s="52">
        <v>27286.2</v>
      </c>
      <c r="R221" s="71">
        <v>-184174.35679800002</v>
      </c>
    </row>
    <row r="222" spans="1:18" x14ac:dyDescent="0.25">
      <c r="A222" s="66"/>
      <c r="B222" s="117" t="s">
        <v>85</v>
      </c>
      <c r="C222" s="60">
        <v>45835</v>
      </c>
      <c r="D222" s="60">
        <v>45838</v>
      </c>
      <c r="E222" s="44">
        <v>8579</v>
      </c>
      <c r="F222" s="44" t="s">
        <v>159</v>
      </c>
      <c r="G222" s="44" t="s">
        <v>161</v>
      </c>
      <c r="H222" s="44" t="s">
        <v>94</v>
      </c>
      <c r="I222" s="44"/>
      <c r="J222" s="44"/>
      <c r="K222" s="61"/>
      <c r="L222" s="44"/>
      <c r="M222" s="44">
        <v>24.557580000000002</v>
      </c>
      <c r="N222" s="113">
        <v>8.9999999999999998E-4</v>
      </c>
      <c r="O222" s="59">
        <v>3.9292128000000002</v>
      </c>
      <c r="P222" s="44" t="s">
        <v>125</v>
      </c>
      <c r="Q222" s="118">
        <v>28.486792800000003</v>
      </c>
      <c r="R222" s="71">
        <v>-184202.84359080001</v>
      </c>
    </row>
    <row r="223" spans="1:18" x14ac:dyDescent="0.25">
      <c r="A223" s="66"/>
      <c r="B223" s="117" t="s">
        <v>121</v>
      </c>
      <c r="C223" s="60">
        <v>45835</v>
      </c>
      <c r="D223" s="60">
        <v>45838</v>
      </c>
      <c r="E223" s="44">
        <v>8579</v>
      </c>
      <c r="F223" s="44" t="s">
        <v>160</v>
      </c>
      <c r="G223" s="44" t="s">
        <v>161</v>
      </c>
      <c r="H223" s="44" t="s">
        <v>94</v>
      </c>
      <c r="I223" s="44"/>
      <c r="J223" s="44"/>
      <c r="K223" s="61">
        <v>1515.9</v>
      </c>
      <c r="L223" s="44">
        <v>12</v>
      </c>
      <c r="M223" s="52">
        <v>18190.800000000003</v>
      </c>
      <c r="N223" s="44"/>
      <c r="O223" s="59"/>
      <c r="P223" s="44" t="s">
        <v>125</v>
      </c>
      <c r="Q223" s="52">
        <v>18190.800000000003</v>
      </c>
      <c r="R223" s="71">
        <v>-173949.15471300005</v>
      </c>
    </row>
    <row r="224" spans="1:18" x14ac:dyDescent="0.25">
      <c r="A224" s="66"/>
      <c r="B224" s="117" t="s">
        <v>121</v>
      </c>
      <c r="C224" s="60">
        <v>45835</v>
      </c>
      <c r="D224" s="60">
        <v>45838</v>
      </c>
      <c r="E224" s="44">
        <v>8579</v>
      </c>
      <c r="F224" s="44" t="s">
        <v>159</v>
      </c>
      <c r="G224" s="44" t="s">
        <v>161</v>
      </c>
      <c r="H224" s="44" t="s">
        <v>94</v>
      </c>
      <c r="I224" s="44"/>
      <c r="J224" s="44"/>
      <c r="K224" s="61"/>
      <c r="L224" s="44"/>
      <c r="M224" s="44">
        <v>16.371720000000003</v>
      </c>
      <c r="N224" s="113">
        <v>8.9999999999999998E-4</v>
      </c>
      <c r="O224" s="59">
        <v>2.6194752000000006</v>
      </c>
      <c r="P224" s="44" t="s">
        <v>125</v>
      </c>
      <c r="Q224" s="118">
        <v>18.991195200000003</v>
      </c>
      <c r="R224" s="71">
        <v>-173968.14590820007</v>
      </c>
    </row>
    <row r="225" spans="1:23" x14ac:dyDescent="0.25">
      <c r="A225" s="66"/>
      <c r="B225" s="117" t="s">
        <v>85</v>
      </c>
      <c r="C225" s="60">
        <v>45835</v>
      </c>
      <c r="D225" s="60">
        <v>45838</v>
      </c>
      <c r="E225" s="44">
        <v>8580</v>
      </c>
      <c r="F225" s="44" t="s">
        <v>160</v>
      </c>
      <c r="G225" s="44" t="s">
        <v>162</v>
      </c>
      <c r="H225" s="44" t="s">
        <v>94</v>
      </c>
      <c r="I225" s="44"/>
      <c r="J225" s="44"/>
      <c r="K225" s="61">
        <v>450.5</v>
      </c>
      <c r="L225" s="44">
        <v>90</v>
      </c>
      <c r="M225" s="52">
        <v>40545</v>
      </c>
      <c r="N225" s="44"/>
      <c r="O225" s="59"/>
      <c r="P225" s="44" t="s">
        <v>125</v>
      </c>
      <c r="Q225" s="52">
        <v>40545</v>
      </c>
      <c r="R225" s="71">
        <v>-224747.84359080001</v>
      </c>
    </row>
    <row r="226" spans="1:23" x14ac:dyDescent="0.25">
      <c r="A226" s="66"/>
      <c r="B226" s="117" t="s">
        <v>85</v>
      </c>
      <c r="C226" s="60">
        <v>45835</v>
      </c>
      <c r="D226" s="60">
        <v>45838</v>
      </c>
      <c r="E226" s="44">
        <v>8580</v>
      </c>
      <c r="F226" s="44" t="s">
        <v>159</v>
      </c>
      <c r="G226" s="44" t="s">
        <v>162</v>
      </c>
      <c r="H226" s="44" t="s">
        <v>94</v>
      </c>
      <c r="I226" s="44"/>
      <c r="J226" s="44"/>
      <c r="K226" s="61"/>
      <c r="L226" s="44"/>
      <c r="M226" s="44">
        <v>36.490499999999997</v>
      </c>
      <c r="N226" s="113">
        <v>8.9999999999999998E-4</v>
      </c>
      <c r="O226" s="59">
        <v>5.8384799999999997</v>
      </c>
      <c r="P226" s="44" t="s">
        <v>125</v>
      </c>
      <c r="Q226" s="44">
        <v>42.328980000000001</v>
      </c>
      <c r="R226" s="71">
        <v>-224790.1725708</v>
      </c>
    </row>
    <row r="227" spans="1:23" x14ac:dyDescent="0.25">
      <c r="A227" s="66"/>
      <c r="B227" s="117" t="s">
        <v>121</v>
      </c>
      <c r="C227" s="60">
        <v>45835</v>
      </c>
      <c r="D227" s="60">
        <v>45838</v>
      </c>
      <c r="E227" s="44">
        <v>8581</v>
      </c>
      <c r="F227" s="44" t="s">
        <v>160</v>
      </c>
      <c r="G227" s="44" t="s">
        <v>115</v>
      </c>
      <c r="H227" s="44" t="s">
        <v>94</v>
      </c>
      <c r="I227" s="44"/>
      <c r="J227" s="44"/>
      <c r="K227" s="61">
        <v>51.48</v>
      </c>
      <c r="L227" s="44">
        <v>60</v>
      </c>
      <c r="M227" s="52">
        <v>3088.8</v>
      </c>
      <c r="N227" s="44"/>
      <c r="O227" s="59"/>
      <c r="P227" s="44" t="s">
        <v>125</v>
      </c>
      <c r="Q227" s="52">
        <v>3088.8</v>
      </c>
      <c r="R227" s="71">
        <v>-177056.94590820005</v>
      </c>
    </row>
    <row r="228" spans="1:23" x14ac:dyDescent="0.25">
      <c r="A228" s="66"/>
      <c r="B228" s="117" t="s">
        <v>121</v>
      </c>
      <c r="C228" s="60">
        <v>45835</v>
      </c>
      <c r="D228" s="60">
        <v>45838</v>
      </c>
      <c r="E228" s="44">
        <v>8581</v>
      </c>
      <c r="F228" s="44" t="s">
        <v>159</v>
      </c>
      <c r="G228" s="44" t="s">
        <v>115</v>
      </c>
      <c r="H228" s="44" t="s">
        <v>94</v>
      </c>
      <c r="I228" s="44"/>
      <c r="J228" s="44"/>
      <c r="K228" s="61"/>
      <c r="L228" s="44"/>
      <c r="M228" s="44">
        <v>2.7799200000000002</v>
      </c>
      <c r="N228" s="113">
        <v>8.9999999999999998E-4</v>
      </c>
      <c r="O228" s="59">
        <v>0.44478699999999999</v>
      </c>
      <c r="P228" s="44" t="s">
        <v>125</v>
      </c>
      <c r="Q228" s="44">
        <v>3.224707</v>
      </c>
      <c r="R228" s="71">
        <v>-177060.17061520004</v>
      </c>
    </row>
    <row r="229" spans="1:23" x14ac:dyDescent="0.25">
      <c r="A229" s="66"/>
      <c r="B229" s="117" t="s">
        <v>121</v>
      </c>
      <c r="C229" s="60">
        <v>45835</v>
      </c>
      <c r="D229" s="60">
        <v>45838</v>
      </c>
      <c r="E229" s="44">
        <v>8581</v>
      </c>
      <c r="F229" s="44" t="s">
        <v>160</v>
      </c>
      <c r="G229" s="44" t="s">
        <v>115</v>
      </c>
      <c r="H229" s="44" t="s">
        <v>94</v>
      </c>
      <c r="I229" s="44"/>
      <c r="J229" s="44"/>
      <c r="K229" s="61">
        <v>51.48</v>
      </c>
      <c r="L229" s="44">
        <v>348</v>
      </c>
      <c r="M229" s="52">
        <v>17915.04</v>
      </c>
      <c r="N229" s="44"/>
      <c r="O229" s="59"/>
      <c r="P229" s="44" t="s">
        <v>125</v>
      </c>
      <c r="Q229" s="52">
        <v>17915.04</v>
      </c>
      <c r="R229" s="71">
        <v>-194975.21061520005</v>
      </c>
    </row>
    <row r="230" spans="1:23" x14ac:dyDescent="0.25">
      <c r="A230" s="66"/>
      <c r="B230" s="117" t="s">
        <v>121</v>
      </c>
      <c r="C230" s="60">
        <v>45835</v>
      </c>
      <c r="D230" s="60">
        <v>45838</v>
      </c>
      <c r="E230" s="44">
        <v>8581</v>
      </c>
      <c r="F230" s="44" t="s">
        <v>159</v>
      </c>
      <c r="G230" s="44" t="s">
        <v>115</v>
      </c>
      <c r="H230" s="44" t="s">
        <v>94</v>
      </c>
      <c r="I230" s="44"/>
      <c r="J230" s="44"/>
      <c r="K230" s="61"/>
      <c r="L230" s="44"/>
      <c r="M230" s="44">
        <v>16.123536000000001</v>
      </c>
      <c r="N230" s="113">
        <v>8.9999999999999998E-4</v>
      </c>
      <c r="O230" s="59">
        <v>2.5797650000000001</v>
      </c>
      <c r="P230" s="44" t="s">
        <v>125</v>
      </c>
      <c r="Q230" s="44">
        <v>18.703301</v>
      </c>
      <c r="R230" s="71">
        <v>-194993.91391620005</v>
      </c>
    </row>
    <row r="231" spans="1:23" x14ac:dyDescent="0.25">
      <c r="A231" s="66"/>
      <c r="B231" s="117" t="s">
        <v>85</v>
      </c>
      <c r="C231" s="60">
        <v>45835</v>
      </c>
      <c r="D231" s="60">
        <v>45838</v>
      </c>
      <c r="E231" s="44">
        <v>8581</v>
      </c>
      <c r="F231" s="44" t="s">
        <v>160</v>
      </c>
      <c r="G231" s="44" t="s">
        <v>115</v>
      </c>
      <c r="H231" s="44" t="s">
        <v>94</v>
      </c>
      <c r="I231" s="44"/>
      <c r="J231" s="44"/>
      <c r="K231" s="61">
        <v>51.48</v>
      </c>
      <c r="L231" s="44">
        <v>5400</v>
      </c>
      <c r="M231" s="52">
        <v>277992</v>
      </c>
      <c r="N231" s="44"/>
      <c r="O231" s="59"/>
      <c r="P231" s="44" t="s">
        <v>125</v>
      </c>
      <c r="Q231" s="52">
        <v>277992</v>
      </c>
      <c r="R231" s="71">
        <v>-502782.1725708</v>
      </c>
      <c r="S231" s="52"/>
      <c r="T231" s="44"/>
      <c r="U231" s="59"/>
      <c r="V231" s="44"/>
      <c r="W231" s="52"/>
    </row>
    <row r="232" spans="1:23" x14ac:dyDescent="0.25">
      <c r="A232" s="66"/>
      <c r="B232" s="117" t="s">
        <v>85</v>
      </c>
      <c r="C232" s="60">
        <v>45835</v>
      </c>
      <c r="D232" s="60">
        <v>45838</v>
      </c>
      <c r="E232" s="44">
        <v>8581</v>
      </c>
      <c r="F232" s="44" t="s">
        <v>159</v>
      </c>
      <c r="G232" s="44" t="s">
        <v>115</v>
      </c>
      <c r="H232" s="44" t="s">
        <v>94</v>
      </c>
      <c r="I232" s="44"/>
      <c r="J232" s="44"/>
      <c r="K232" s="61"/>
      <c r="L232" s="44"/>
      <c r="M232" s="44">
        <v>250.19280000000001</v>
      </c>
      <c r="N232" s="113">
        <v>8.9999999999999998E-4</v>
      </c>
      <c r="O232" s="59">
        <v>40.030847999999999</v>
      </c>
      <c r="P232" s="44" t="s">
        <v>125</v>
      </c>
      <c r="Q232" s="61">
        <v>290.22364800000003</v>
      </c>
      <c r="R232" s="71">
        <v>-503072.39621879999</v>
      </c>
      <c r="S232" s="44"/>
      <c r="T232" s="113"/>
      <c r="U232" s="59"/>
      <c r="V232" s="44"/>
      <c r="W232" s="44"/>
    </row>
    <row r="233" spans="1:23" x14ac:dyDescent="0.25">
      <c r="A233" s="66"/>
      <c r="B233" s="117" t="s">
        <v>121</v>
      </c>
      <c r="C233" s="60">
        <v>45835</v>
      </c>
      <c r="D233" s="60">
        <v>45838</v>
      </c>
      <c r="E233" s="44">
        <v>8581</v>
      </c>
      <c r="F233" s="44" t="s">
        <v>160</v>
      </c>
      <c r="G233" s="44" t="s">
        <v>115</v>
      </c>
      <c r="H233" s="44" t="s">
        <v>94</v>
      </c>
      <c r="I233" s="44"/>
      <c r="J233" s="44"/>
      <c r="K233" s="61">
        <v>51.48</v>
      </c>
      <c r="L233" s="44">
        <v>1128</v>
      </c>
      <c r="M233" s="52">
        <v>58069.439999999995</v>
      </c>
      <c r="N233" s="44"/>
      <c r="O233" s="59"/>
      <c r="P233" s="44" t="s">
        <v>125</v>
      </c>
      <c r="Q233" s="52">
        <v>58069.439999999995</v>
      </c>
      <c r="R233" s="71">
        <v>-253063.35391620005</v>
      </c>
      <c r="S233" s="52"/>
      <c r="T233" s="44"/>
      <c r="U233" s="59"/>
      <c r="V233" s="44"/>
      <c r="W233" s="52"/>
    </row>
    <row r="234" spans="1:23" x14ac:dyDescent="0.25">
      <c r="A234" s="66"/>
      <c r="B234" s="117" t="s">
        <v>121</v>
      </c>
      <c r="C234" s="60">
        <v>45835</v>
      </c>
      <c r="D234" s="60">
        <v>45838</v>
      </c>
      <c r="E234" s="44">
        <v>8581</v>
      </c>
      <c r="F234" s="44" t="s">
        <v>159</v>
      </c>
      <c r="G234" s="44" t="s">
        <v>115</v>
      </c>
      <c r="H234" s="44" t="s">
        <v>94</v>
      </c>
      <c r="I234" s="44"/>
      <c r="J234" s="44"/>
      <c r="K234" s="61"/>
      <c r="L234" s="44"/>
      <c r="M234" s="44">
        <v>52.262495999999992</v>
      </c>
      <c r="N234" s="113">
        <v>8.9999999999999998E-4</v>
      </c>
      <c r="O234" s="59">
        <v>8.3619993599999987</v>
      </c>
      <c r="P234" s="44" t="s">
        <v>125</v>
      </c>
      <c r="Q234" s="61">
        <v>60.62449535999999</v>
      </c>
      <c r="R234" s="71">
        <v>-253123.97841156006</v>
      </c>
      <c r="S234" s="44"/>
      <c r="T234" s="113"/>
      <c r="U234" s="59"/>
      <c r="V234" s="44"/>
      <c r="W234" s="44"/>
    </row>
    <row r="235" spans="1:23" x14ac:dyDescent="0.25">
      <c r="A235" s="66"/>
      <c r="B235" s="117" t="s">
        <v>121</v>
      </c>
      <c r="C235" s="60">
        <v>45835</v>
      </c>
      <c r="D235" s="60">
        <v>45838</v>
      </c>
      <c r="E235" s="44">
        <v>8581</v>
      </c>
      <c r="F235" s="44" t="s">
        <v>160</v>
      </c>
      <c r="G235" s="44" t="s">
        <v>115</v>
      </c>
      <c r="H235" s="44" t="s">
        <v>94</v>
      </c>
      <c r="I235" s="44"/>
      <c r="J235" s="44"/>
      <c r="K235" s="61">
        <v>51.48</v>
      </c>
      <c r="L235" s="44">
        <v>2064</v>
      </c>
      <c r="M235" s="52">
        <v>106254.72</v>
      </c>
      <c r="N235" s="44"/>
      <c r="O235" s="59"/>
      <c r="P235" s="44" t="s">
        <v>125</v>
      </c>
      <c r="Q235" s="52">
        <v>106254.72</v>
      </c>
      <c r="R235" s="71">
        <v>-359378.69841156004</v>
      </c>
      <c r="S235" s="52"/>
      <c r="T235" s="44"/>
      <c r="U235" s="59"/>
      <c r="V235" s="44"/>
      <c r="W235" s="52"/>
    </row>
    <row r="236" spans="1:23" x14ac:dyDescent="0.25">
      <c r="A236" s="79"/>
      <c r="B236" s="117" t="s">
        <v>121</v>
      </c>
      <c r="C236" s="60">
        <v>45835</v>
      </c>
      <c r="D236" s="60">
        <v>45838</v>
      </c>
      <c r="E236" s="44">
        <v>8581</v>
      </c>
      <c r="F236" s="44" t="s">
        <v>159</v>
      </c>
      <c r="G236" s="44" t="s">
        <v>115</v>
      </c>
      <c r="H236" s="44" t="s">
        <v>94</v>
      </c>
      <c r="I236" s="44"/>
      <c r="J236" s="44"/>
      <c r="K236" s="61"/>
      <c r="L236" s="44"/>
      <c r="M236" s="44">
        <v>95.629248000000004</v>
      </c>
      <c r="N236" s="113">
        <v>8.9999999999999998E-4</v>
      </c>
      <c r="O236" s="59">
        <v>15.300679000000001</v>
      </c>
      <c r="P236" s="44" t="s">
        <v>125</v>
      </c>
      <c r="Q236" s="44">
        <v>110.92992700000001</v>
      </c>
      <c r="R236" s="71">
        <v>-359489.62833856005</v>
      </c>
    </row>
    <row r="237" spans="1:23" x14ac:dyDescent="0.25">
      <c r="A237" s="66"/>
      <c r="B237" s="117" t="s">
        <v>85</v>
      </c>
      <c r="C237" s="92">
        <v>45835</v>
      </c>
      <c r="D237" s="92">
        <v>45838</v>
      </c>
      <c r="E237" s="77">
        <v>8582</v>
      </c>
      <c r="F237" s="77" t="s">
        <v>160</v>
      </c>
      <c r="G237" s="77" t="s">
        <v>95</v>
      </c>
      <c r="H237" s="77" t="s">
        <v>94</v>
      </c>
      <c r="I237" s="77"/>
      <c r="J237" s="77"/>
      <c r="K237" s="111">
        <v>3.28</v>
      </c>
      <c r="L237" s="77">
        <v>2098</v>
      </c>
      <c r="M237" s="78">
        <v>6881.44</v>
      </c>
      <c r="N237" s="77"/>
      <c r="O237" s="93"/>
      <c r="P237" s="77" t="s">
        <v>125</v>
      </c>
      <c r="Q237" s="78">
        <v>6881.44</v>
      </c>
      <c r="R237" s="71">
        <v>-509953.83621879999</v>
      </c>
    </row>
    <row r="238" spans="1:23" x14ac:dyDescent="0.25">
      <c r="A238" s="66"/>
      <c r="B238" s="117" t="s">
        <v>85</v>
      </c>
      <c r="C238" s="60">
        <v>45835</v>
      </c>
      <c r="D238" s="60">
        <v>45838</v>
      </c>
      <c r="E238" s="44">
        <v>8582</v>
      </c>
      <c r="F238" s="44" t="s">
        <v>159</v>
      </c>
      <c r="G238" s="44" t="s">
        <v>95</v>
      </c>
      <c r="H238" s="44" t="s">
        <v>94</v>
      </c>
      <c r="I238" s="44"/>
      <c r="J238" s="44"/>
      <c r="K238" s="44"/>
      <c r="L238" s="44"/>
      <c r="M238" s="44">
        <v>6.1932960000000001</v>
      </c>
      <c r="N238" s="113">
        <v>8.9999999999999998E-4</v>
      </c>
      <c r="O238" s="44">
        <v>0.990927</v>
      </c>
      <c r="P238" s="44" t="s">
        <v>125</v>
      </c>
      <c r="Q238" s="44">
        <v>7.1842230000000002</v>
      </c>
      <c r="R238" s="71">
        <v>-509961.02044180001</v>
      </c>
    </row>
    <row r="239" spans="1:23" x14ac:dyDescent="0.25">
      <c r="A239" s="66"/>
      <c r="B239" s="117" t="s">
        <v>85</v>
      </c>
      <c r="C239" s="60">
        <v>45835</v>
      </c>
      <c r="D239" s="60">
        <v>45838</v>
      </c>
      <c r="E239" s="44">
        <v>8582</v>
      </c>
      <c r="F239" s="44" t="s">
        <v>160</v>
      </c>
      <c r="G239" s="44" t="s">
        <v>95</v>
      </c>
      <c r="H239" s="44" t="s">
        <v>94</v>
      </c>
      <c r="I239" s="44"/>
      <c r="J239" s="44"/>
      <c r="K239" s="61">
        <v>3.27</v>
      </c>
      <c r="L239" s="44">
        <v>165</v>
      </c>
      <c r="M239" s="44">
        <v>539.54999999999995</v>
      </c>
      <c r="N239" s="44"/>
      <c r="O239" s="59"/>
      <c r="P239" s="44" t="s">
        <v>125</v>
      </c>
      <c r="Q239" s="44">
        <v>539.54999999999995</v>
      </c>
      <c r="R239" s="71">
        <v>-510500.5704418</v>
      </c>
    </row>
    <row r="240" spans="1:23" x14ac:dyDescent="0.25">
      <c r="A240" s="66"/>
      <c r="B240" s="117" t="s">
        <v>85</v>
      </c>
      <c r="C240" s="60">
        <v>45835</v>
      </c>
      <c r="D240" s="60">
        <v>45838</v>
      </c>
      <c r="E240" s="44">
        <v>8582</v>
      </c>
      <c r="F240" s="44" t="s">
        <v>159</v>
      </c>
      <c r="G240" s="44" t="s">
        <v>95</v>
      </c>
      <c r="H240" s="44" t="s">
        <v>94</v>
      </c>
      <c r="I240" s="44"/>
      <c r="J240" s="44"/>
      <c r="K240" s="61"/>
      <c r="L240" s="44"/>
      <c r="M240" s="44">
        <v>0.485595</v>
      </c>
      <c r="N240" s="113">
        <v>8.9999999999999998E-4</v>
      </c>
      <c r="O240" s="59">
        <v>7.7695E-2</v>
      </c>
      <c r="P240" s="44" t="s">
        <v>125</v>
      </c>
      <c r="Q240" s="44">
        <v>0.56328999999999996</v>
      </c>
      <c r="R240" s="71">
        <v>-510501.13373180002</v>
      </c>
    </row>
    <row r="241" spans="1:19" x14ac:dyDescent="0.25">
      <c r="A241" s="66"/>
      <c r="B241" s="117" t="s">
        <v>85</v>
      </c>
      <c r="C241" s="60">
        <v>45835</v>
      </c>
      <c r="D241" s="60">
        <v>45838</v>
      </c>
      <c r="E241" s="44">
        <v>8582</v>
      </c>
      <c r="F241" s="44" t="s">
        <v>160</v>
      </c>
      <c r="G241" s="44" t="s">
        <v>95</v>
      </c>
      <c r="H241" s="44" t="s">
        <v>94</v>
      </c>
      <c r="I241" s="44"/>
      <c r="J241" s="44"/>
      <c r="K241" s="61">
        <v>3.28</v>
      </c>
      <c r="L241" s="44">
        <v>2198</v>
      </c>
      <c r="M241" s="52">
        <v>7209.44</v>
      </c>
      <c r="N241" s="44"/>
      <c r="O241" s="59"/>
      <c r="P241" s="44" t="s">
        <v>125</v>
      </c>
      <c r="Q241" s="52">
        <v>7209.44</v>
      </c>
      <c r="R241" s="71">
        <v>-517710.57373180002</v>
      </c>
    </row>
    <row r="242" spans="1:19" x14ac:dyDescent="0.25">
      <c r="A242" s="66"/>
      <c r="B242" s="117" t="s">
        <v>85</v>
      </c>
      <c r="C242" s="60">
        <v>45835</v>
      </c>
      <c r="D242" s="60">
        <v>45838</v>
      </c>
      <c r="E242" s="44">
        <v>8582</v>
      </c>
      <c r="F242" s="44" t="s">
        <v>159</v>
      </c>
      <c r="G242" s="44" t="s">
        <v>95</v>
      </c>
      <c r="H242" s="44" t="s">
        <v>94</v>
      </c>
      <c r="I242" s="44"/>
      <c r="J242" s="44"/>
      <c r="K242" s="61"/>
      <c r="L242" s="44"/>
      <c r="M242" s="44">
        <v>6.4884959999999996</v>
      </c>
      <c r="N242" s="113">
        <v>8.9999999999999998E-4</v>
      </c>
      <c r="O242" s="59">
        <v>1.0381590000000001</v>
      </c>
      <c r="P242" s="44" t="s">
        <v>125</v>
      </c>
      <c r="Q242" s="44">
        <v>7.5266549999999999</v>
      </c>
      <c r="R242" s="71">
        <v>-517718.10038680001</v>
      </c>
    </row>
    <row r="243" spans="1:19" x14ac:dyDescent="0.25">
      <c r="A243" s="66"/>
      <c r="B243" s="117" t="s">
        <v>85</v>
      </c>
      <c r="C243" s="60">
        <v>45835</v>
      </c>
      <c r="D243" s="60">
        <v>45838</v>
      </c>
      <c r="E243" s="44">
        <v>8582</v>
      </c>
      <c r="F243" s="44" t="s">
        <v>160</v>
      </c>
      <c r="G243" s="44" t="s">
        <v>95</v>
      </c>
      <c r="H243" s="44" t="s">
        <v>94</v>
      </c>
      <c r="I243" s="44"/>
      <c r="J243" s="44"/>
      <c r="K243" s="61">
        <v>3.28</v>
      </c>
      <c r="L243" s="44">
        <v>1</v>
      </c>
      <c r="M243" s="44">
        <v>3.28</v>
      </c>
      <c r="N243" s="44"/>
      <c r="O243" s="59"/>
      <c r="P243" s="44" t="s">
        <v>125</v>
      </c>
      <c r="Q243" s="44">
        <v>3.28</v>
      </c>
      <c r="R243" s="71">
        <v>-517721.38038680004</v>
      </c>
    </row>
    <row r="244" spans="1:19" x14ac:dyDescent="0.25">
      <c r="A244" s="66"/>
      <c r="B244" s="117" t="s">
        <v>85</v>
      </c>
      <c r="C244" s="60">
        <v>45835</v>
      </c>
      <c r="D244" s="60">
        <v>45838</v>
      </c>
      <c r="E244" s="44">
        <v>8582</v>
      </c>
      <c r="F244" s="44" t="s">
        <v>159</v>
      </c>
      <c r="G244" s="44" t="s">
        <v>95</v>
      </c>
      <c r="H244" s="44" t="s">
        <v>94</v>
      </c>
      <c r="I244" s="44"/>
      <c r="J244" s="44"/>
      <c r="K244" s="61"/>
      <c r="L244" s="44"/>
      <c r="M244" s="44">
        <v>2.9520000000000002E-3</v>
      </c>
      <c r="N244" s="113">
        <v>8.9999999999999998E-4</v>
      </c>
      <c r="O244" s="59">
        <v>4.7199999999999998E-4</v>
      </c>
      <c r="P244" s="44" t="s">
        <v>125</v>
      </c>
      <c r="Q244" s="44">
        <v>3.424E-3</v>
      </c>
      <c r="R244" s="71">
        <v>-517721.38381080003</v>
      </c>
    </row>
    <row r="245" spans="1:19" x14ac:dyDescent="0.25">
      <c r="A245" s="66"/>
      <c r="B245" s="117" t="s">
        <v>85</v>
      </c>
      <c r="C245" s="60">
        <v>45835</v>
      </c>
      <c r="D245" s="60">
        <v>45838</v>
      </c>
      <c r="E245" s="44">
        <v>8582</v>
      </c>
      <c r="F245" s="44" t="s">
        <v>160</v>
      </c>
      <c r="G245" s="44" t="s">
        <v>95</v>
      </c>
      <c r="H245" s="44" t="s">
        <v>94</v>
      </c>
      <c r="I245" s="44"/>
      <c r="J245" s="44"/>
      <c r="K245" s="61">
        <v>3.28</v>
      </c>
      <c r="L245" s="44">
        <v>938</v>
      </c>
      <c r="M245" s="44">
        <v>3076.64</v>
      </c>
      <c r="N245" s="44"/>
      <c r="O245" s="59"/>
      <c r="P245" s="44" t="s">
        <v>125</v>
      </c>
      <c r="Q245" s="44">
        <v>3076.64</v>
      </c>
      <c r="R245" s="71">
        <v>-520798.02381080005</v>
      </c>
    </row>
    <row r="246" spans="1:19" x14ac:dyDescent="0.25">
      <c r="A246" s="66"/>
      <c r="B246" s="117" t="s">
        <v>85</v>
      </c>
      <c r="C246" s="60">
        <v>45835</v>
      </c>
      <c r="D246" s="60">
        <v>45838</v>
      </c>
      <c r="E246" s="44">
        <v>8582</v>
      </c>
      <c r="F246" s="44" t="s">
        <v>159</v>
      </c>
      <c r="G246" s="44" t="s">
        <v>95</v>
      </c>
      <c r="H246" s="44" t="s">
        <v>94</v>
      </c>
      <c r="I246" s="44"/>
      <c r="J246" s="44"/>
      <c r="K246" s="61"/>
      <c r="L246" s="44"/>
      <c r="M246" s="44">
        <v>2.7689759999999999</v>
      </c>
      <c r="N246" s="113">
        <v>8.9999999999999998E-4</v>
      </c>
      <c r="O246" s="59">
        <v>0.44303616000000001</v>
      </c>
      <c r="P246" s="44" t="s">
        <v>125</v>
      </c>
      <c r="Q246" s="119">
        <v>3.21201216</v>
      </c>
      <c r="R246" s="71">
        <v>-520801.23582296004</v>
      </c>
    </row>
    <row r="247" spans="1:19" x14ac:dyDescent="0.25">
      <c r="A247" s="66"/>
      <c r="B247" s="117" t="s">
        <v>121</v>
      </c>
      <c r="C247" s="60">
        <v>45835</v>
      </c>
      <c r="D247" s="60">
        <v>45838</v>
      </c>
      <c r="E247" s="44">
        <v>8582</v>
      </c>
      <c r="F247" s="44" t="s">
        <v>160</v>
      </c>
      <c r="G247" s="44" t="s">
        <v>95</v>
      </c>
      <c r="H247" s="44" t="s">
        <v>94</v>
      </c>
      <c r="I247" s="44"/>
      <c r="J247" s="44"/>
      <c r="K247" s="61">
        <v>3.28</v>
      </c>
      <c r="L247" s="44">
        <v>3600</v>
      </c>
      <c r="M247" s="78">
        <v>11808</v>
      </c>
      <c r="N247" s="44"/>
      <c r="O247" s="59"/>
      <c r="P247" s="44" t="s">
        <v>125</v>
      </c>
      <c r="Q247" s="78">
        <v>11808</v>
      </c>
      <c r="R247" s="71">
        <v>-371297.62833856005</v>
      </c>
    </row>
    <row r="248" spans="1:19" x14ac:dyDescent="0.25">
      <c r="A248" s="66"/>
      <c r="B248" s="117" t="s">
        <v>121</v>
      </c>
      <c r="C248" s="60">
        <v>45835</v>
      </c>
      <c r="D248" s="60">
        <v>45838</v>
      </c>
      <c r="E248" s="44">
        <v>8582</v>
      </c>
      <c r="F248" s="44" t="s">
        <v>159</v>
      </c>
      <c r="G248" s="44" t="s">
        <v>95</v>
      </c>
      <c r="H248" s="44" t="s">
        <v>94</v>
      </c>
      <c r="I248" s="44"/>
      <c r="J248" s="44"/>
      <c r="K248" s="61"/>
      <c r="L248" s="44"/>
      <c r="M248" s="44">
        <v>10.6272</v>
      </c>
      <c r="N248" s="113">
        <v>8.9999999999999998E-4</v>
      </c>
      <c r="O248" s="59">
        <v>1.7003520000000001</v>
      </c>
      <c r="P248" s="44" t="s">
        <v>125</v>
      </c>
      <c r="Q248" s="119">
        <v>12.327552000000001</v>
      </c>
      <c r="R248" s="71">
        <v>-371309.95589056006</v>
      </c>
    </row>
    <row r="249" spans="1:19" x14ac:dyDescent="0.25">
      <c r="A249" s="66" t="s">
        <v>82</v>
      </c>
      <c r="B249" s="117" t="s">
        <v>85</v>
      </c>
      <c r="C249" s="60">
        <v>45835</v>
      </c>
      <c r="D249" s="60">
        <v>45838</v>
      </c>
      <c r="E249" s="44">
        <v>507428</v>
      </c>
      <c r="F249" s="44" t="s">
        <v>83</v>
      </c>
      <c r="G249" s="44" t="s">
        <v>141</v>
      </c>
      <c r="H249" s="44">
        <v>280907</v>
      </c>
      <c r="I249" s="44">
        <v>3</v>
      </c>
      <c r="J249" s="52">
        <v>1371.5534559358086</v>
      </c>
      <c r="K249" s="61">
        <v>100.23530700000001</v>
      </c>
      <c r="L249" s="44">
        <v>22054</v>
      </c>
      <c r="M249" s="52">
        <v>2210589.4506771876</v>
      </c>
      <c r="N249" s="44"/>
      <c r="O249" s="59"/>
      <c r="P249" s="44" t="s">
        <v>81</v>
      </c>
      <c r="Q249" s="52">
        <v>2210589.4506771876</v>
      </c>
      <c r="R249" s="71">
        <v>1689788.21</v>
      </c>
      <c r="S249" s="62"/>
    </row>
    <row r="250" spans="1:19" x14ac:dyDescent="0.25">
      <c r="A250" s="66" t="s">
        <v>82</v>
      </c>
      <c r="B250" s="117" t="s">
        <v>86</v>
      </c>
      <c r="C250" s="60">
        <v>45835</v>
      </c>
      <c r="D250" s="60">
        <v>45838</v>
      </c>
      <c r="E250" s="44">
        <v>507428</v>
      </c>
      <c r="F250" s="44" t="s">
        <v>83</v>
      </c>
      <c r="G250" s="44" t="s">
        <v>141</v>
      </c>
      <c r="H250" s="44">
        <v>280907</v>
      </c>
      <c r="I250" s="44">
        <v>3</v>
      </c>
      <c r="J250" s="52">
        <v>37.314413419855143</v>
      </c>
      <c r="K250" s="61">
        <v>100.23530700000001</v>
      </c>
      <c r="L250" s="44">
        <v>600</v>
      </c>
      <c r="M250" s="52">
        <v>60141.183930639003</v>
      </c>
      <c r="N250" s="44"/>
      <c r="O250" s="59"/>
      <c r="P250" s="44" t="s">
        <v>81</v>
      </c>
      <c r="Q250" s="52">
        <v>60141.183930639003</v>
      </c>
      <c r="R250" s="71">
        <v>60153.51</v>
      </c>
      <c r="S250" s="62"/>
    </row>
    <row r="251" spans="1:19" x14ac:dyDescent="0.25">
      <c r="A251" s="66" t="s">
        <v>82</v>
      </c>
      <c r="B251" s="117" t="s">
        <v>121</v>
      </c>
      <c r="C251" s="60">
        <v>45835</v>
      </c>
      <c r="D251" s="60">
        <v>45838</v>
      </c>
      <c r="E251" s="44">
        <v>507428</v>
      </c>
      <c r="F251" s="44" t="s">
        <v>83</v>
      </c>
      <c r="G251" s="44" t="s">
        <v>141</v>
      </c>
      <c r="H251" s="44">
        <v>280907</v>
      </c>
      <c r="I251" s="44">
        <v>3</v>
      </c>
      <c r="J251" s="52">
        <v>900.83213064433608</v>
      </c>
      <c r="K251" s="61">
        <v>100.23530700000001</v>
      </c>
      <c r="L251" s="44">
        <v>14485</v>
      </c>
      <c r="M251" s="52">
        <v>1451908.4153921767</v>
      </c>
      <c r="N251" s="44"/>
      <c r="O251" s="59"/>
      <c r="P251" s="44" t="s">
        <v>81</v>
      </c>
      <c r="Q251" s="52">
        <v>1451908.4153921767</v>
      </c>
      <c r="R251" s="71">
        <v>1080598.46</v>
      </c>
      <c r="S251" s="62"/>
    </row>
    <row r="252" spans="1:19" x14ac:dyDescent="0.25">
      <c r="A252" s="66" t="s">
        <v>80</v>
      </c>
      <c r="B252" s="117" t="s">
        <v>85</v>
      </c>
      <c r="C252" s="60">
        <v>45838</v>
      </c>
      <c r="D252" s="60">
        <v>45838</v>
      </c>
      <c r="E252" s="44">
        <v>510171</v>
      </c>
      <c r="F252" s="44" t="s">
        <v>155</v>
      </c>
      <c r="G252" s="44" t="s">
        <v>156</v>
      </c>
      <c r="H252" s="44" t="s">
        <v>156</v>
      </c>
      <c r="I252" s="44"/>
      <c r="J252" s="44"/>
      <c r="K252" s="61"/>
      <c r="L252" s="44"/>
      <c r="M252" s="52">
        <v>23186.84</v>
      </c>
      <c r="N252" s="44"/>
      <c r="O252" s="59">
        <v>3709.89</v>
      </c>
      <c r="P252" s="44" t="s">
        <v>125</v>
      </c>
      <c r="Q252" s="52">
        <v>26896.73</v>
      </c>
      <c r="R252" s="71">
        <v>1662891.49</v>
      </c>
      <c r="S252" s="62"/>
    </row>
    <row r="253" spans="1:19" x14ac:dyDescent="0.25">
      <c r="A253" s="66" t="s">
        <v>80</v>
      </c>
      <c r="B253" s="117" t="s">
        <v>86</v>
      </c>
      <c r="C253" s="60">
        <v>45838</v>
      </c>
      <c r="D253" s="60">
        <v>45838</v>
      </c>
      <c r="E253" s="44">
        <v>510171</v>
      </c>
      <c r="F253" s="44" t="s">
        <v>155</v>
      </c>
      <c r="G253" s="44" t="s">
        <v>156</v>
      </c>
      <c r="H253" s="44" t="s">
        <v>156</v>
      </c>
      <c r="I253" s="44"/>
      <c r="J253" s="44"/>
      <c r="K253" s="61"/>
      <c r="L253" s="44"/>
      <c r="M253" s="52">
        <v>83.11</v>
      </c>
      <c r="N253" s="44"/>
      <c r="O253" s="59">
        <v>13.3</v>
      </c>
      <c r="P253" s="44" t="s">
        <v>125</v>
      </c>
      <c r="Q253" s="52">
        <v>96.41</v>
      </c>
      <c r="R253" s="71">
        <v>60057.1</v>
      </c>
      <c r="S253" s="62"/>
    </row>
    <row r="254" spans="1:19" x14ac:dyDescent="0.25">
      <c r="A254" s="66" t="s">
        <v>80</v>
      </c>
      <c r="B254" s="117" t="s">
        <v>121</v>
      </c>
      <c r="C254" s="60">
        <v>45838</v>
      </c>
      <c r="D254" s="60">
        <v>45838</v>
      </c>
      <c r="E254" s="44">
        <v>510171</v>
      </c>
      <c r="F254" s="44" t="s">
        <v>155</v>
      </c>
      <c r="G254" s="44" t="s">
        <v>156</v>
      </c>
      <c r="H254" s="44" t="s">
        <v>156</v>
      </c>
      <c r="I254" s="44"/>
      <c r="J254" s="44"/>
      <c r="K254" s="61"/>
      <c r="L254" s="44"/>
      <c r="M254" s="52">
        <v>18975.015199999998</v>
      </c>
      <c r="N254" s="44"/>
      <c r="O254" s="59">
        <v>3036</v>
      </c>
      <c r="P254" s="44" t="s">
        <v>125</v>
      </c>
      <c r="Q254" s="52">
        <v>22011.02</v>
      </c>
      <c r="R254" s="71">
        <v>1058587.44</v>
      </c>
      <c r="S254" s="62"/>
    </row>
    <row r="255" spans="1:19" x14ac:dyDescent="0.25">
      <c r="A255" s="66" t="s">
        <v>82</v>
      </c>
      <c r="B255" s="117" t="s">
        <v>85</v>
      </c>
      <c r="C255" s="60">
        <v>45838</v>
      </c>
      <c r="D255" s="60">
        <v>45838</v>
      </c>
      <c r="E255" s="44">
        <v>510180</v>
      </c>
      <c r="F255" s="44" t="s">
        <v>124</v>
      </c>
      <c r="G255" s="44" t="s">
        <v>141</v>
      </c>
      <c r="H255" s="44">
        <v>280907</v>
      </c>
      <c r="I255" s="44">
        <v>1</v>
      </c>
      <c r="J255" s="44">
        <v>7.45</v>
      </c>
      <c r="K255" s="61">
        <v>100.241952</v>
      </c>
      <c r="L255" s="44">
        <v>16741</v>
      </c>
      <c r="M255" s="52">
        <v>1678150.5127890108</v>
      </c>
      <c r="N255" s="44"/>
      <c r="O255" s="59"/>
      <c r="P255" s="44" t="s">
        <v>125</v>
      </c>
      <c r="Q255" s="52">
        <v>1678150.5127890108</v>
      </c>
      <c r="R255" s="71">
        <v>-15259.02</v>
      </c>
    </row>
    <row r="256" spans="1:19" x14ac:dyDescent="0.25">
      <c r="A256" s="66" t="s">
        <v>82</v>
      </c>
      <c r="B256" s="117" t="s">
        <v>86</v>
      </c>
      <c r="C256" s="60">
        <v>45838</v>
      </c>
      <c r="D256" s="60">
        <v>45838</v>
      </c>
      <c r="E256" s="44">
        <v>510180</v>
      </c>
      <c r="F256" s="44" t="s">
        <v>124</v>
      </c>
      <c r="G256" s="44" t="s">
        <v>141</v>
      </c>
      <c r="H256" s="44">
        <v>280907</v>
      </c>
      <c r="I256" s="44">
        <v>1</v>
      </c>
      <c r="J256" s="44">
        <v>7.45</v>
      </c>
      <c r="K256" s="61">
        <v>100.241952</v>
      </c>
      <c r="L256" s="44">
        <v>599</v>
      </c>
      <c r="M256" s="52">
        <v>60044.929046091471</v>
      </c>
      <c r="N256" s="44"/>
      <c r="O256" s="59"/>
      <c r="P256" s="44" t="s">
        <v>125</v>
      </c>
      <c r="Q256" s="52">
        <v>60044.929046091471</v>
      </c>
      <c r="R256" s="71">
        <v>12.17</v>
      </c>
    </row>
    <row r="257" spans="1:18" x14ac:dyDescent="0.25">
      <c r="A257" s="66" t="s">
        <v>82</v>
      </c>
      <c r="B257" s="117" t="s">
        <v>121</v>
      </c>
      <c r="C257" s="60">
        <v>45838</v>
      </c>
      <c r="D257" s="60">
        <v>45838</v>
      </c>
      <c r="E257" s="44">
        <v>510180</v>
      </c>
      <c r="F257" s="44" t="s">
        <v>124</v>
      </c>
      <c r="G257" s="44" t="s">
        <v>141</v>
      </c>
      <c r="H257" s="44">
        <v>280907</v>
      </c>
      <c r="I257" s="44">
        <v>1</v>
      </c>
      <c r="J257" s="44">
        <v>7.45</v>
      </c>
      <c r="K257" s="61">
        <v>100.241952</v>
      </c>
      <c r="L257" s="44">
        <v>10713</v>
      </c>
      <c r="M257" s="52">
        <v>1073892.0281649048</v>
      </c>
      <c r="N257" s="44"/>
      <c r="O257" s="59"/>
      <c r="P257" s="44" t="s">
        <v>125</v>
      </c>
      <c r="Q257" s="52">
        <v>1073892.0281649048</v>
      </c>
      <c r="R257" s="71">
        <v>-15304.59</v>
      </c>
    </row>
    <row r="258" spans="1:18" x14ac:dyDescent="0.25">
      <c r="A258" s="66" t="s">
        <v>80</v>
      </c>
      <c r="B258" s="117" t="s">
        <v>85</v>
      </c>
      <c r="C258" s="60">
        <v>45838</v>
      </c>
      <c r="D258" s="60">
        <v>45838</v>
      </c>
      <c r="E258" s="44">
        <v>854256</v>
      </c>
      <c r="F258" s="44" t="s">
        <v>157</v>
      </c>
      <c r="G258" s="44" t="s">
        <v>136</v>
      </c>
      <c r="H258" s="44">
        <v>18</v>
      </c>
      <c r="I258" s="44"/>
      <c r="J258" s="44"/>
      <c r="K258" s="61"/>
      <c r="L258" s="44"/>
      <c r="M258" s="52">
        <v>6505.39</v>
      </c>
      <c r="N258" s="44"/>
      <c r="O258" s="59"/>
      <c r="P258" s="44" t="s">
        <v>81</v>
      </c>
      <c r="Q258" s="52">
        <v>6505.39</v>
      </c>
      <c r="R258" s="71">
        <v>-8753.6299999999992</v>
      </c>
    </row>
    <row r="259" spans="1:18" x14ac:dyDescent="0.25">
      <c r="A259" s="66" t="s">
        <v>80</v>
      </c>
      <c r="B259" s="117" t="s">
        <v>121</v>
      </c>
      <c r="C259" s="60">
        <v>45838</v>
      </c>
      <c r="D259" s="60">
        <v>45838</v>
      </c>
      <c r="E259" s="44">
        <v>854256</v>
      </c>
      <c r="F259" s="44" t="s">
        <v>157</v>
      </c>
      <c r="G259" s="44" t="s">
        <v>136</v>
      </c>
      <c r="H259" s="44">
        <v>18</v>
      </c>
      <c r="I259" s="44"/>
      <c r="J259" s="44"/>
      <c r="K259" s="61"/>
      <c r="L259" s="44"/>
      <c r="M259" s="52">
        <v>6502.8929999999991</v>
      </c>
      <c r="N259" s="44"/>
      <c r="O259" s="59"/>
      <c r="P259" s="44" t="s">
        <v>81</v>
      </c>
      <c r="Q259" s="52">
        <v>6502.8929999999991</v>
      </c>
      <c r="R259" s="71">
        <v>-8801.7000000000007</v>
      </c>
    </row>
    <row r="260" spans="1:18" x14ac:dyDescent="0.25">
      <c r="A260" s="66" t="s">
        <v>80</v>
      </c>
      <c r="B260" s="117" t="s">
        <v>85</v>
      </c>
      <c r="C260" s="60">
        <v>45838</v>
      </c>
      <c r="D260" s="60">
        <v>45838</v>
      </c>
      <c r="E260" s="44">
        <v>854257</v>
      </c>
      <c r="F260" s="44" t="s">
        <v>158</v>
      </c>
      <c r="G260" s="44" t="s">
        <v>136</v>
      </c>
      <c r="H260" s="44">
        <v>18</v>
      </c>
      <c r="I260" s="44"/>
      <c r="J260" s="44"/>
      <c r="K260" s="61"/>
      <c r="L260" s="44"/>
      <c r="M260" s="52">
        <v>8816.4500000000007</v>
      </c>
      <c r="N260" s="44"/>
      <c r="O260" s="59"/>
      <c r="P260" s="44" t="s">
        <v>81</v>
      </c>
      <c r="Q260" s="52">
        <v>8816.4500000000007</v>
      </c>
      <c r="R260" s="70">
        <v>62.82</v>
      </c>
    </row>
    <row r="261" spans="1:18" x14ac:dyDescent="0.25">
      <c r="A261" s="66" t="s">
        <v>80</v>
      </c>
      <c r="B261" s="117" t="s">
        <v>121</v>
      </c>
      <c r="C261" s="60">
        <v>45838</v>
      </c>
      <c r="D261" s="60">
        <v>45838</v>
      </c>
      <c r="E261" s="44">
        <v>854257</v>
      </c>
      <c r="F261" s="44" t="s">
        <v>158</v>
      </c>
      <c r="G261" s="44" t="s">
        <v>136</v>
      </c>
      <c r="H261" s="44">
        <v>18</v>
      </c>
      <c r="I261" s="44"/>
      <c r="J261" s="44"/>
      <c r="K261" s="61"/>
      <c r="L261" s="44"/>
      <c r="M261" s="52">
        <v>8813.0596000000005</v>
      </c>
      <c r="N261" s="44"/>
      <c r="O261" s="59"/>
      <c r="P261" s="44" t="s">
        <v>81</v>
      </c>
      <c r="Q261" s="52">
        <v>8813.0596000000005</v>
      </c>
      <c r="R261" s="70">
        <v>11.36</v>
      </c>
    </row>
    <row r="262" spans="1:18" x14ac:dyDescent="0.25">
      <c r="A262" s="64"/>
      <c r="B262" s="114"/>
      <c r="R262" s="65"/>
    </row>
    <row r="263" spans="1:18" x14ac:dyDescent="0.25">
      <c r="A263" s="64"/>
      <c r="B263" s="114"/>
      <c r="R263" s="65"/>
    </row>
    <row r="264" spans="1:18" x14ac:dyDescent="0.25">
      <c r="A264" s="64"/>
      <c r="B264" s="114"/>
      <c r="R264" s="65"/>
    </row>
    <row r="265" spans="1:18" x14ac:dyDescent="0.25">
      <c r="A265" s="64"/>
      <c r="B265" s="114"/>
      <c r="R265" s="65"/>
    </row>
    <row r="266" spans="1:18" x14ac:dyDescent="0.25">
      <c r="A266" s="64"/>
      <c r="B266" s="114"/>
      <c r="R266" s="65"/>
    </row>
    <row r="267" spans="1:18" x14ac:dyDescent="0.25">
      <c r="A267" s="64"/>
      <c r="B267" s="114"/>
      <c r="R267" s="65"/>
    </row>
    <row r="268" spans="1:18" x14ac:dyDescent="0.25">
      <c r="A268" s="64"/>
      <c r="B268" s="114"/>
      <c r="R268" s="65"/>
    </row>
    <row r="269" spans="1:18" x14ac:dyDescent="0.25">
      <c r="A269" s="64"/>
      <c r="B269" s="114"/>
      <c r="R269" s="65"/>
    </row>
    <row r="270" spans="1:18" x14ac:dyDescent="0.25">
      <c r="A270" s="64"/>
      <c r="B270" s="114"/>
      <c r="R270" s="65"/>
    </row>
    <row r="271" spans="1:18" x14ac:dyDescent="0.25">
      <c r="A271" s="64"/>
      <c r="B271" s="114"/>
      <c r="R271" s="65"/>
    </row>
    <row r="272" spans="1:18" x14ac:dyDescent="0.25">
      <c r="A272" s="95"/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6"/>
      <c r="O272" s="96"/>
      <c r="P272" s="96"/>
      <c r="Q272" s="96"/>
      <c r="R272" s="97"/>
    </row>
    <row r="273" spans="1:18" x14ac:dyDescent="0.25">
      <c r="A273" s="64"/>
      <c r="B273" s="114"/>
      <c r="R273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873" r:id="rId4" name="Button 1">
              <controlPr defaultSize="0" print="0" autoFill="0" autoPict="0" macro="[0]!Corregir">
                <anchor moveWithCells="1" sizeWithCells="1">
                  <from>
                    <xdr:col>17</xdr:col>
                    <xdr:colOff>457200</xdr:colOff>
                    <xdr:row>0</xdr:row>
                    <xdr:rowOff>381000</xdr:rowOff>
                  </from>
                  <to>
                    <xdr:col>19</xdr:col>
                    <xdr:colOff>200025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74" r:id="rId5" name="Button 2">
              <controlPr defaultSize="0" print="0" autoFill="0" autoPict="0" macro="[0]!AcualizarMovimientos">
                <anchor moveWithCells="1" sizeWithCells="1">
                  <from>
                    <xdr:col>19</xdr:col>
                    <xdr:colOff>257175</xdr:colOff>
                    <xdr:row>0</xdr:row>
                    <xdr:rowOff>381000</xdr:rowOff>
                  </from>
                  <to>
                    <xdr:col>20</xdr:col>
                    <xdr:colOff>714375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75" r:id="rId6" name="Button 3">
              <controlPr defaultSize="0" print="0" autoFill="0" autoPict="0" macro="[0]!AgregarMovimentos">
                <anchor moveWithCells="1" sizeWithCells="1">
                  <from>
                    <xdr:col>17</xdr:col>
                    <xdr:colOff>457200</xdr:colOff>
                    <xdr:row>2</xdr:row>
                    <xdr:rowOff>104775</xdr:rowOff>
                  </from>
                  <to>
                    <xdr:col>19</xdr:col>
                    <xdr:colOff>200025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76" r:id="rId7" name="Button 4">
              <controlPr defaultSize="0" print="0" autoFill="0" autoPict="0" macro="[0]!PDFActiveSheet">
                <anchor moveWithCells="1" sizeWithCells="1">
                  <from>
                    <xdr:col>19</xdr:col>
                    <xdr:colOff>257175</xdr:colOff>
                    <xdr:row>2</xdr:row>
                    <xdr:rowOff>104775</xdr:rowOff>
                  </from>
                  <to>
                    <xdr:col>21</xdr:col>
                    <xdr:colOff>304800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AD55-FCEF-4C58-9F55-22A63C6D2E6D}">
  <dimension ref="A1:S62"/>
  <sheetViews>
    <sheetView topLeftCell="A31" workbookViewId="0">
      <selection activeCell="Q60" sqref="Q60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25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25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45838</v>
      </c>
      <c r="N4" s="14" t="s">
        <v>24</v>
      </c>
      <c r="O4" s="16">
        <v>45838</v>
      </c>
      <c r="R4" s="65"/>
    </row>
    <row r="5" spans="1:19" x14ac:dyDescent="0.25">
      <c r="A5" s="67" t="s">
        <v>25</v>
      </c>
      <c r="B5" s="125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14"/>
      <c r="R6" s="65"/>
    </row>
    <row r="7" spans="1:19" x14ac:dyDescent="0.25">
      <c r="A7" s="17" t="s">
        <v>31</v>
      </c>
      <c r="B7" s="116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16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17" t="s">
        <v>85</v>
      </c>
      <c r="C9" s="44" t="s">
        <v>134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8333</v>
      </c>
      <c r="J9" s="88">
        <v>11.396630999999999</v>
      </c>
      <c r="K9" s="52">
        <v>94968.13</v>
      </c>
      <c r="L9" s="88">
        <v>11.408529</v>
      </c>
      <c r="M9" s="52">
        <v>95067.27</v>
      </c>
      <c r="N9" s="89">
        <v>10.220000000000001</v>
      </c>
      <c r="O9" s="109">
        <v>85074.35</v>
      </c>
      <c r="P9" s="55">
        <f>+O9-M9</f>
        <v>-9992.9199999999983</v>
      </c>
      <c r="Q9" s="49">
        <v>-0.1051</v>
      </c>
      <c r="R9" s="68">
        <v>2.8503403282768422E-3</v>
      </c>
      <c r="S9" s="20" t="s">
        <v>138</v>
      </c>
    </row>
    <row r="10" spans="1:19" x14ac:dyDescent="0.25">
      <c r="A10" s="66" t="s">
        <v>82</v>
      </c>
      <c r="B10" s="117" t="s">
        <v>121</v>
      </c>
      <c r="C10" s="44" t="s">
        <v>134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2000</v>
      </c>
      <c r="J10" s="88">
        <v>11.396630999999999</v>
      </c>
      <c r="K10" s="52">
        <v>22793.26</v>
      </c>
      <c r="L10" s="88">
        <v>11.408529</v>
      </c>
      <c r="M10" s="52">
        <v>22817.06</v>
      </c>
      <c r="N10" s="89">
        <v>10.220000000000001</v>
      </c>
      <c r="O10" s="109">
        <v>20418.66</v>
      </c>
      <c r="P10" s="55">
        <f>+O10-M10</f>
        <v>-2398.4000000000015</v>
      </c>
      <c r="Q10" s="49">
        <v>-0.1051</v>
      </c>
      <c r="R10" s="68">
        <v>6.8410901813970037E-4</v>
      </c>
      <c r="S10" s="20" t="s">
        <v>138</v>
      </c>
    </row>
    <row r="11" spans="1:19" x14ac:dyDescent="0.25">
      <c r="A11" s="66" t="s">
        <v>82</v>
      </c>
      <c r="B11" s="117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3.39</v>
      </c>
      <c r="O11" s="109">
        <v>268671.64</v>
      </c>
      <c r="P11" s="55">
        <f t="shared" ref="P11:P45" si="0">+O11-M11</f>
        <v>-1868.7199999999721</v>
      </c>
      <c r="Q11" s="49">
        <v>-6.8999999999999999E-3</v>
      </c>
      <c r="R11" s="68">
        <v>9.0016040152675579E-3</v>
      </c>
      <c r="S11" s="20" t="s">
        <v>128</v>
      </c>
    </row>
    <row r="12" spans="1:19" x14ac:dyDescent="0.25">
      <c r="A12" s="66" t="s">
        <v>82</v>
      </c>
      <c r="B12" s="117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3.39</v>
      </c>
      <c r="O12" s="109">
        <v>65267.26</v>
      </c>
      <c r="P12" s="55">
        <f t="shared" si="0"/>
        <v>-453.95999999999913</v>
      </c>
      <c r="Q12" s="49">
        <v>-6.8999999999999999E-3</v>
      </c>
      <c r="R12" s="68">
        <v>2.1867214183138631E-3</v>
      </c>
      <c r="S12" s="20" t="s">
        <v>128</v>
      </c>
    </row>
    <row r="13" spans="1:19" x14ac:dyDescent="0.25">
      <c r="A13" s="66" t="s">
        <v>82</v>
      </c>
      <c r="B13" s="117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8250</v>
      </c>
      <c r="J13" s="88">
        <v>35.516807</v>
      </c>
      <c r="K13" s="52">
        <v>293013.65999999997</v>
      </c>
      <c r="L13" s="88">
        <v>35.553887000000003</v>
      </c>
      <c r="M13" s="52">
        <v>293319.57</v>
      </c>
      <c r="N13" s="89">
        <v>42.99</v>
      </c>
      <c r="O13" s="109">
        <v>354297.23</v>
      </c>
      <c r="P13" s="56">
        <f t="shared" si="0"/>
        <v>60977.659999999974</v>
      </c>
      <c r="Q13" s="50">
        <v>0.2079</v>
      </c>
      <c r="R13" s="68">
        <v>1.187041314880191E-2</v>
      </c>
      <c r="S13" s="20" t="s">
        <v>128</v>
      </c>
    </row>
    <row r="14" spans="1:19" x14ac:dyDescent="0.25">
      <c r="A14" s="66" t="s">
        <v>82</v>
      </c>
      <c r="B14" s="117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8250</v>
      </c>
      <c r="J14" s="88">
        <v>35.516807</v>
      </c>
      <c r="K14" s="52">
        <v>293013.65999999997</v>
      </c>
      <c r="L14" s="88">
        <v>35.553887000000003</v>
      </c>
      <c r="M14" s="52">
        <v>293319.57</v>
      </c>
      <c r="N14" s="89">
        <v>42.99</v>
      </c>
      <c r="O14" s="109">
        <v>354297.23</v>
      </c>
      <c r="P14" s="56">
        <f t="shared" si="0"/>
        <v>60977.659999999974</v>
      </c>
      <c r="Q14" s="50">
        <v>0.2079</v>
      </c>
      <c r="R14" s="68">
        <v>1.187041314880191E-2</v>
      </c>
      <c r="S14" s="20" t="s">
        <v>128</v>
      </c>
    </row>
    <row r="15" spans="1:19" x14ac:dyDescent="0.25">
      <c r="A15" s="66" t="s">
        <v>82</v>
      </c>
      <c r="B15" s="117" t="s">
        <v>85</v>
      </c>
      <c r="C15" s="44" t="s">
        <v>135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24.53</v>
      </c>
      <c r="O15" s="109">
        <v>116665.4</v>
      </c>
      <c r="P15" s="56">
        <f t="shared" si="0"/>
        <v>17268.089999999997</v>
      </c>
      <c r="Q15" s="50">
        <v>0.17369999999999999</v>
      </c>
      <c r="R15" s="68">
        <v>3.9087703230709266E-3</v>
      </c>
      <c r="S15" s="20" t="s">
        <v>138</v>
      </c>
    </row>
    <row r="16" spans="1:19" x14ac:dyDescent="0.25">
      <c r="A16" s="66" t="s">
        <v>82</v>
      </c>
      <c r="B16" s="117" t="s">
        <v>121</v>
      </c>
      <c r="C16" s="44" t="s">
        <v>135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24.53</v>
      </c>
      <c r="O16" s="109">
        <v>49008.78</v>
      </c>
      <c r="P16" s="56">
        <f t="shared" si="0"/>
        <v>7253.9799999999959</v>
      </c>
      <c r="Q16" s="50">
        <v>0.17369999999999999</v>
      </c>
      <c r="R16" s="68">
        <v>1.6419955259563844E-3</v>
      </c>
      <c r="S16" s="20" t="s">
        <v>138</v>
      </c>
    </row>
    <row r="17" spans="1:19" x14ac:dyDescent="0.25">
      <c r="A17" s="66" t="s">
        <v>82</v>
      </c>
      <c r="B17" s="117" t="s">
        <v>85</v>
      </c>
      <c r="C17" s="44" t="s">
        <v>136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20847</v>
      </c>
      <c r="J17" s="88">
        <v>26.527425999999998</v>
      </c>
      <c r="K17" s="52">
        <v>553017.25</v>
      </c>
      <c r="L17" s="88">
        <v>26.555122000000001</v>
      </c>
      <c r="M17" s="52">
        <v>553594.63</v>
      </c>
      <c r="N17" s="89">
        <v>22.75</v>
      </c>
      <c r="O17" s="109">
        <v>473774.12</v>
      </c>
      <c r="P17" s="55">
        <f t="shared" si="0"/>
        <v>-79820.510000000009</v>
      </c>
      <c r="Q17" s="49">
        <v>-0.14419999999999999</v>
      </c>
      <c r="R17" s="68">
        <v>1.5873379940368301E-2</v>
      </c>
      <c r="S17" s="20" t="s">
        <v>138</v>
      </c>
    </row>
    <row r="18" spans="1:19" x14ac:dyDescent="0.25">
      <c r="A18" s="66" t="s">
        <v>82</v>
      </c>
      <c r="B18" s="117" t="s">
        <v>121</v>
      </c>
      <c r="C18" s="44" t="s">
        <v>136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20839</v>
      </c>
      <c r="J18" s="88">
        <v>26.527425999999998</v>
      </c>
      <c r="K18" s="52">
        <v>552805.03</v>
      </c>
      <c r="L18" s="88">
        <v>26.555122000000001</v>
      </c>
      <c r="M18" s="52">
        <v>553382.18999999994</v>
      </c>
      <c r="N18" s="89">
        <v>22.75</v>
      </c>
      <c r="O18" s="109">
        <v>473592.3</v>
      </c>
      <c r="P18" s="55">
        <f t="shared" si="0"/>
        <v>-79789.889999999956</v>
      </c>
      <c r="Q18" s="49">
        <v>-0.14419999999999999</v>
      </c>
      <c r="R18" s="68">
        <v>1.5867288223199879E-2</v>
      </c>
      <c r="S18" s="20" t="s">
        <v>138</v>
      </c>
    </row>
    <row r="19" spans="1:19" x14ac:dyDescent="0.25">
      <c r="A19" s="66" t="s">
        <v>82</v>
      </c>
      <c r="B19" s="117" t="s">
        <v>121</v>
      </c>
      <c r="C19" s="44" t="s">
        <v>101</v>
      </c>
      <c r="D19" s="44" t="s">
        <v>102</v>
      </c>
      <c r="E19" s="44">
        <v>15</v>
      </c>
      <c r="F19" s="20">
        <v>0</v>
      </c>
      <c r="G19" s="20">
        <v>0</v>
      </c>
      <c r="H19" s="20">
        <v>0</v>
      </c>
      <c r="I19" s="34">
        <v>1975</v>
      </c>
      <c r="J19" s="88">
        <v>199.02876499999999</v>
      </c>
      <c r="K19" s="52">
        <v>393081.81</v>
      </c>
      <c r="L19" s="88">
        <v>199.23655099999999</v>
      </c>
      <c r="M19" s="52">
        <v>393492.19</v>
      </c>
      <c r="N19" s="89">
        <v>193.2</v>
      </c>
      <c r="O19" s="109">
        <v>381171.64</v>
      </c>
      <c r="P19" s="55">
        <f t="shared" si="0"/>
        <v>-12320.549999999988</v>
      </c>
      <c r="Q19" s="49">
        <v>-3.1300000000000001E-2</v>
      </c>
      <c r="R19" s="68">
        <v>1.2770816321105272E-2</v>
      </c>
      <c r="S19" s="20" t="s">
        <v>128</v>
      </c>
    </row>
    <row r="20" spans="1:19" x14ac:dyDescent="0.25">
      <c r="A20" s="66" t="s">
        <v>82</v>
      </c>
      <c r="B20" s="117" t="s">
        <v>85</v>
      </c>
      <c r="C20" s="44" t="s">
        <v>101</v>
      </c>
      <c r="D20" s="44" t="s">
        <v>102</v>
      </c>
      <c r="E20" s="44">
        <v>15</v>
      </c>
      <c r="F20" s="20">
        <v>0</v>
      </c>
      <c r="G20" s="20">
        <v>0</v>
      </c>
      <c r="H20" s="20">
        <v>0</v>
      </c>
      <c r="I20" s="34">
        <v>1875</v>
      </c>
      <c r="J20" s="88">
        <v>199.02876499999999</v>
      </c>
      <c r="K20" s="52">
        <v>373178.93</v>
      </c>
      <c r="L20" s="88">
        <v>199.23655099999999</v>
      </c>
      <c r="M20" s="52">
        <v>373568.53</v>
      </c>
      <c r="N20" s="89">
        <v>193.2</v>
      </c>
      <c r="O20" s="109">
        <v>361871.81</v>
      </c>
      <c r="P20" s="55">
        <f t="shared" si="0"/>
        <v>-11696.72000000003</v>
      </c>
      <c r="Q20" s="49">
        <v>-3.1300000000000001E-2</v>
      </c>
      <c r="R20" s="68">
        <v>1.2124192705669041E-2</v>
      </c>
      <c r="S20" s="20" t="s">
        <v>128</v>
      </c>
    </row>
    <row r="21" spans="1:19" x14ac:dyDescent="0.25">
      <c r="A21" s="66" t="s">
        <v>82</v>
      </c>
      <c r="B21" s="117" t="s">
        <v>85</v>
      </c>
      <c r="C21" s="44" t="s">
        <v>147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25100</v>
      </c>
      <c r="J21" s="88">
        <v>9.6749559999999999</v>
      </c>
      <c r="K21" s="52">
        <v>242841.4</v>
      </c>
      <c r="L21" s="88">
        <v>9.6850570000000005</v>
      </c>
      <c r="M21" s="52">
        <v>243094.93</v>
      </c>
      <c r="N21" s="89">
        <v>9.15</v>
      </c>
      <c r="O21" s="109">
        <v>229425.23</v>
      </c>
      <c r="P21" s="55">
        <f t="shared" si="0"/>
        <v>-13669.699999999983</v>
      </c>
      <c r="Q21" s="49">
        <v>-5.62E-2</v>
      </c>
      <c r="R21" s="68">
        <v>7.686688001650204E-3</v>
      </c>
      <c r="S21" s="20" t="s">
        <v>138</v>
      </c>
    </row>
    <row r="22" spans="1:19" x14ac:dyDescent="0.25">
      <c r="A22" s="66" t="s">
        <v>82</v>
      </c>
      <c r="B22" s="117" t="s">
        <v>121</v>
      </c>
      <c r="C22" s="44" t="s">
        <v>147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20700</v>
      </c>
      <c r="J22" s="88">
        <v>9.6749559999999999</v>
      </c>
      <c r="K22" s="52">
        <v>200271.59</v>
      </c>
      <c r="L22" s="88">
        <v>9.6850570000000005</v>
      </c>
      <c r="M22" s="52">
        <v>200480.68</v>
      </c>
      <c r="N22" s="89">
        <v>9.15</v>
      </c>
      <c r="O22" s="109">
        <v>189207.26</v>
      </c>
      <c r="P22" s="55">
        <f t="shared" si="0"/>
        <v>-11273.419999999984</v>
      </c>
      <c r="Q22" s="49">
        <v>-5.62E-2</v>
      </c>
      <c r="R22" s="68">
        <v>6.3392207355185415E-3</v>
      </c>
      <c r="S22" s="20" t="s">
        <v>138</v>
      </c>
    </row>
    <row r="23" spans="1:19" x14ac:dyDescent="0.25">
      <c r="A23" s="66" t="s">
        <v>82</v>
      </c>
      <c r="B23" s="117" t="s">
        <v>121</v>
      </c>
      <c r="C23" s="44" t="s">
        <v>142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25.92</v>
      </c>
      <c r="O23" s="109">
        <v>500717.67</v>
      </c>
      <c r="P23" s="55">
        <f t="shared" si="0"/>
        <v>-7407.5200000000186</v>
      </c>
      <c r="Q23" s="49">
        <v>-1.46E-2</v>
      </c>
      <c r="R23" s="68">
        <v>1.6776099586794557E-2</v>
      </c>
      <c r="S23" s="20" t="s">
        <v>138</v>
      </c>
    </row>
    <row r="24" spans="1:19" x14ac:dyDescent="0.25">
      <c r="A24" s="66" t="s">
        <v>82</v>
      </c>
      <c r="B24" s="117" t="s">
        <v>85</v>
      </c>
      <c r="C24" s="44" t="s">
        <v>142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25.92</v>
      </c>
      <c r="O24" s="109">
        <v>344324.31</v>
      </c>
      <c r="P24" s="55">
        <f t="shared" si="0"/>
        <v>-5093.8699999999953</v>
      </c>
      <c r="Q24" s="49">
        <v>-1.46E-2</v>
      </c>
      <c r="R24" s="68">
        <v>1.1536279346231821E-2</v>
      </c>
      <c r="S24" s="20" t="s">
        <v>138</v>
      </c>
    </row>
    <row r="25" spans="1:19" x14ac:dyDescent="0.25">
      <c r="A25" s="66" t="s">
        <v>82</v>
      </c>
      <c r="B25" s="117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171.52</v>
      </c>
      <c r="O25" s="109">
        <v>89097.29</v>
      </c>
      <c r="P25" s="56">
        <f t="shared" si="0"/>
        <v>2924.3699999999953</v>
      </c>
      <c r="Q25" s="50">
        <v>3.39E-2</v>
      </c>
      <c r="R25" s="68">
        <v>2.9851253500870352E-3</v>
      </c>
      <c r="S25" s="20" t="s">
        <v>128</v>
      </c>
    </row>
    <row r="26" spans="1:19" x14ac:dyDescent="0.25">
      <c r="A26" s="66" t="s">
        <v>82</v>
      </c>
      <c r="B26" s="117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171.52</v>
      </c>
      <c r="O26" s="109">
        <v>106231.38</v>
      </c>
      <c r="P26" s="56">
        <f t="shared" si="0"/>
        <v>3486.75</v>
      </c>
      <c r="Q26" s="50">
        <v>3.39E-2</v>
      </c>
      <c r="R26" s="68">
        <v>3.5591877756633106E-3</v>
      </c>
      <c r="S26" s="20" t="s">
        <v>128</v>
      </c>
    </row>
    <row r="27" spans="1:19" x14ac:dyDescent="0.25">
      <c r="A27" s="66" t="s">
        <v>140</v>
      </c>
      <c r="B27" s="117" t="s">
        <v>85</v>
      </c>
      <c r="C27" s="44" t="s">
        <v>161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148</v>
      </c>
      <c r="J27" s="88">
        <v>1532.5758619999999</v>
      </c>
      <c r="K27" s="52">
        <v>226821.23</v>
      </c>
      <c r="L27" s="88">
        <v>1534.1758709999999</v>
      </c>
      <c r="M27" s="52">
        <v>227058.03</v>
      </c>
      <c r="N27" s="89">
        <v>1518.8975800000001</v>
      </c>
      <c r="O27" s="109">
        <v>224562.16</v>
      </c>
      <c r="P27" s="55">
        <f t="shared" si="0"/>
        <v>-2495.8699999999953</v>
      </c>
      <c r="Q27" s="49">
        <v>-1.0999999999999999E-2</v>
      </c>
      <c r="R27" s="68">
        <v>7.5237551724222015E-3</v>
      </c>
      <c r="S27" s="20" t="s">
        <v>130</v>
      </c>
    </row>
    <row r="28" spans="1:19" x14ac:dyDescent="0.25">
      <c r="A28" s="66" t="s">
        <v>140</v>
      </c>
      <c r="B28" s="117" t="s">
        <v>121</v>
      </c>
      <c r="C28" s="44" t="s">
        <v>161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142</v>
      </c>
      <c r="J28" s="88">
        <v>1532.5758619999999</v>
      </c>
      <c r="K28" s="52">
        <v>217625.77</v>
      </c>
      <c r="L28" s="88">
        <v>1534.1758709999999</v>
      </c>
      <c r="M28" s="52">
        <v>217852.97</v>
      </c>
      <c r="N28" s="89">
        <v>1518.8975800000001</v>
      </c>
      <c r="O28" s="109">
        <v>215458.28</v>
      </c>
      <c r="P28" s="55">
        <f t="shared" si="0"/>
        <v>-2394.6900000000023</v>
      </c>
      <c r="Q28" s="49">
        <v>-1.0999999999999999E-2</v>
      </c>
      <c r="R28" s="68">
        <v>7.2187377810722471E-3</v>
      </c>
      <c r="S28" s="20" t="s">
        <v>130</v>
      </c>
    </row>
    <row r="29" spans="1:19" x14ac:dyDescent="0.25">
      <c r="A29" s="66" t="s">
        <v>82</v>
      </c>
      <c r="B29" s="117" t="s">
        <v>121</v>
      </c>
      <c r="C29" s="44" t="s">
        <v>152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1000</v>
      </c>
      <c r="J29" s="88">
        <v>232.99238</v>
      </c>
      <c r="K29" s="52">
        <v>232992.38</v>
      </c>
      <c r="L29" s="88">
        <v>233.235624</v>
      </c>
      <c r="M29" s="52">
        <v>233235.62</v>
      </c>
      <c r="N29" s="89">
        <v>521.75</v>
      </c>
      <c r="O29" s="109">
        <v>521205.29</v>
      </c>
      <c r="P29" s="56">
        <f t="shared" si="0"/>
        <v>287969.67</v>
      </c>
      <c r="Q29" s="50">
        <v>1.2346999999999999</v>
      </c>
      <c r="R29" s="68">
        <v>1.746251904831746E-2</v>
      </c>
      <c r="S29" s="20" t="s">
        <v>130</v>
      </c>
    </row>
    <row r="30" spans="1:19" x14ac:dyDescent="0.25">
      <c r="A30" s="66" t="s">
        <v>140</v>
      </c>
      <c r="B30" s="117" t="s">
        <v>85</v>
      </c>
      <c r="C30" s="44" t="s">
        <v>145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456.51676800000001</v>
      </c>
      <c r="O30" s="109">
        <v>570050.19999999995</v>
      </c>
      <c r="P30" s="56">
        <f t="shared" si="0"/>
        <v>5680.609999999986</v>
      </c>
      <c r="Q30" s="50">
        <v>1.01E-2</v>
      </c>
      <c r="R30" s="68">
        <v>1.9099024255868888E-2</v>
      </c>
      <c r="S30" s="20" t="s">
        <v>130</v>
      </c>
    </row>
    <row r="31" spans="1:19" x14ac:dyDescent="0.25">
      <c r="A31" s="66" t="s">
        <v>140</v>
      </c>
      <c r="B31" s="117" t="s">
        <v>121</v>
      </c>
      <c r="C31" s="44" t="s">
        <v>145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456.51676800000001</v>
      </c>
      <c r="O31" s="109">
        <v>570050.19999999995</v>
      </c>
      <c r="P31" s="56">
        <f t="shared" si="0"/>
        <v>5680.609999999986</v>
      </c>
      <c r="Q31" s="50">
        <v>1.01E-2</v>
      </c>
      <c r="R31" s="68">
        <v>1.9099024255868888E-2</v>
      </c>
      <c r="S31" s="20" t="s">
        <v>130</v>
      </c>
    </row>
    <row r="32" spans="1:19" x14ac:dyDescent="0.25">
      <c r="A32" s="66" t="s">
        <v>140</v>
      </c>
      <c r="B32" s="117" t="s">
        <v>85</v>
      </c>
      <c r="C32" s="44" t="s">
        <v>151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5696119.9100000001</v>
      </c>
      <c r="N32" s="89">
        <v>2079.561944</v>
      </c>
      <c r="O32" s="109">
        <v>5505085.8300000001</v>
      </c>
      <c r="P32" s="55">
        <f t="shared" si="0"/>
        <v>-191034.08000000007</v>
      </c>
      <c r="Q32" s="49">
        <v>-3.3500000000000002E-2</v>
      </c>
      <c r="R32" s="68">
        <v>0.18444299782336734</v>
      </c>
      <c r="S32" s="20" t="s">
        <v>130</v>
      </c>
    </row>
    <row r="33" spans="1:19" x14ac:dyDescent="0.25">
      <c r="A33" s="66" t="s">
        <v>140</v>
      </c>
      <c r="B33" s="117" t="s">
        <v>121</v>
      </c>
      <c r="C33" s="44" t="s">
        <v>151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7010730.4500000002</v>
      </c>
      <c r="L33" s="88">
        <v>2149.4792130000001</v>
      </c>
      <c r="M33" s="52">
        <v>7018049.6399999997</v>
      </c>
      <c r="N33" s="89">
        <v>2079.561944</v>
      </c>
      <c r="O33" s="109">
        <v>6782681.2300000004</v>
      </c>
      <c r="P33" s="55">
        <f t="shared" si="0"/>
        <v>-235368.40999999922</v>
      </c>
      <c r="Q33" s="49">
        <v>-3.3500000000000002E-2</v>
      </c>
      <c r="R33" s="68">
        <v>0.22724769385502652</v>
      </c>
      <c r="S33" s="20" t="s">
        <v>130</v>
      </c>
    </row>
    <row r="34" spans="1:19" x14ac:dyDescent="0.25">
      <c r="A34" s="66" t="s">
        <v>140</v>
      </c>
      <c r="B34" s="117" t="s">
        <v>85</v>
      </c>
      <c r="C34" s="44" t="s">
        <v>132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3297</v>
      </c>
      <c r="J34" s="88">
        <v>1385.182047</v>
      </c>
      <c r="K34" s="52">
        <v>4566945.22</v>
      </c>
      <c r="L34" s="88">
        <v>1386.6281779999999</v>
      </c>
      <c r="M34" s="52">
        <v>4571713.0999999996</v>
      </c>
      <c r="N34" s="89">
        <v>1560.5189519999999</v>
      </c>
      <c r="O34" s="109">
        <v>5139659.57</v>
      </c>
      <c r="P34" s="56">
        <f t="shared" si="0"/>
        <v>567946.47000000067</v>
      </c>
      <c r="Q34" s="50">
        <v>0.1242</v>
      </c>
      <c r="R34" s="68">
        <v>0.172199716436094</v>
      </c>
      <c r="S34" s="20" t="s">
        <v>143</v>
      </c>
    </row>
    <row r="35" spans="1:19" x14ac:dyDescent="0.25">
      <c r="A35" s="66" t="s">
        <v>140</v>
      </c>
      <c r="B35" s="117" t="s">
        <v>121</v>
      </c>
      <c r="C35" s="44" t="s">
        <v>132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527</v>
      </c>
      <c r="J35" s="88">
        <v>1385.182047</v>
      </c>
      <c r="K35" s="52">
        <v>729990.94</v>
      </c>
      <c r="L35" s="88">
        <v>1386.6281779999999</v>
      </c>
      <c r="M35" s="52">
        <v>730753.05</v>
      </c>
      <c r="N35" s="89">
        <v>1560.5189519999999</v>
      </c>
      <c r="O35" s="109">
        <v>821534.9</v>
      </c>
      <c r="P35" s="56">
        <f t="shared" si="0"/>
        <v>90781.849999999977</v>
      </c>
      <c r="Q35" s="50">
        <v>0.1242</v>
      </c>
      <c r="R35" s="68">
        <v>2.7524795153379161E-2</v>
      </c>
      <c r="S35" s="20" t="s">
        <v>143</v>
      </c>
    </row>
    <row r="36" spans="1:19" x14ac:dyDescent="0.25">
      <c r="A36" s="66" t="s">
        <v>140</v>
      </c>
      <c r="B36" s="117" t="s">
        <v>85</v>
      </c>
      <c r="C36" s="44" t="s">
        <v>148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35</v>
      </c>
      <c r="J36" s="88">
        <v>2405</v>
      </c>
      <c r="K36" s="52">
        <v>84175</v>
      </c>
      <c r="L36" s="88">
        <v>2407.51082</v>
      </c>
      <c r="M36" s="52">
        <v>84262.88</v>
      </c>
      <c r="N36" s="89">
        <v>3027.6252319999999</v>
      </c>
      <c r="O36" s="109">
        <v>105856.26</v>
      </c>
      <c r="P36" s="56">
        <f t="shared" si="0"/>
        <v>21593.37999999999</v>
      </c>
      <c r="Q36" s="50">
        <v>0.25629999999999997</v>
      </c>
      <c r="R36" s="68">
        <v>3.5466197141507247E-3</v>
      </c>
      <c r="S36" s="20" t="s">
        <v>130</v>
      </c>
    </row>
    <row r="37" spans="1:19" x14ac:dyDescent="0.25">
      <c r="A37" s="66" t="s">
        <v>140</v>
      </c>
      <c r="B37" s="117" t="s">
        <v>121</v>
      </c>
      <c r="C37" s="44" t="s">
        <v>148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35</v>
      </c>
      <c r="J37" s="88">
        <v>2405</v>
      </c>
      <c r="K37" s="52">
        <v>84175</v>
      </c>
      <c r="L37" s="88">
        <v>2407.51082</v>
      </c>
      <c r="M37" s="52">
        <v>84262.88</v>
      </c>
      <c r="N37" s="89">
        <v>3027.6252319999999</v>
      </c>
      <c r="O37" s="109">
        <v>105856.26</v>
      </c>
      <c r="P37" s="56">
        <f t="shared" si="0"/>
        <v>21593.37999999999</v>
      </c>
      <c r="Q37" s="50">
        <v>0.25629999999999997</v>
      </c>
      <c r="R37" s="68">
        <v>3.5466197141507247E-3</v>
      </c>
      <c r="S37" s="20" t="s">
        <v>130</v>
      </c>
    </row>
    <row r="38" spans="1:19" x14ac:dyDescent="0.25">
      <c r="A38" s="66" t="s">
        <v>140</v>
      </c>
      <c r="B38" s="117" t="s">
        <v>85</v>
      </c>
      <c r="C38" s="44" t="s">
        <v>162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532</v>
      </c>
      <c r="J38" s="88">
        <v>454.93459899999999</v>
      </c>
      <c r="K38" s="52">
        <v>242025.21</v>
      </c>
      <c r="L38" s="88">
        <v>455.40955100000002</v>
      </c>
      <c r="M38" s="52">
        <v>242277.88</v>
      </c>
      <c r="N38" s="89">
        <v>448.23016000000001</v>
      </c>
      <c r="O38" s="109">
        <v>238209.49</v>
      </c>
      <c r="P38" s="55">
        <f t="shared" si="0"/>
        <v>-4068.390000000014</v>
      </c>
      <c r="Q38" s="49">
        <v>-1.6799999999999999E-2</v>
      </c>
      <c r="R38" s="68">
        <v>7.9809968095584521E-3</v>
      </c>
      <c r="S38" s="20" t="s">
        <v>130</v>
      </c>
    </row>
    <row r="39" spans="1:19" x14ac:dyDescent="0.25">
      <c r="A39" s="66" t="s">
        <v>140</v>
      </c>
      <c r="B39" s="117" t="s">
        <v>121</v>
      </c>
      <c r="C39" s="44" t="s">
        <v>162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442</v>
      </c>
      <c r="J39" s="88">
        <v>454.93459899999999</v>
      </c>
      <c r="K39" s="52">
        <v>201081.09</v>
      </c>
      <c r="L39" s="88">
        <v>455.40955100000002</v>
      </c>
      <c r="M39" s="52">
        <v>201291.02</v>
      </c>
      <c r="N39" s="89">
        <v>448.23016000000001</v>
      </c>
      <c r="O39" s="109">
        <v>197910.9</v>
      </c>
      <c r="P39" s="55">
        <f t="shared" si="0"/>
        <v>-3380.1199999999953</v>
      </c>
      <c r="Q39" s="49">
        <v>-1.6799999999999999E-2</v>
      </c>
      <c r="R39" s="68">
        <v>6.6308284421281527E-3</v>
      </c>
      <c r="S39" s="20" t="s">
        <v>130</v>
      </c>
    </row>
    <row r="40" spans="1:19" x14ac:dyDescent="0.25">
      <c r="A40" s="66" t="s">
        <v>140</v>
      </c>
      <c r="B40" s="117" t="s">
        <v>85</v>
      </c>
      <c r="C40" s="44" t="s">
        <v>146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545.03280800000005</v>
      </c>
      <c r="O40" s="109">
        <v>299455.09000000003</v>
      </c>
      <c r="P40" s="56">
        <f t="shared" si="0"/>
        <v>142612.52000000002</v>
      </c>
      <c r="Q40" s="50">
        <v>0.9093</v>
      </c>
      <c r="R40" s="68">
        <v>1.0032976091322136E-2</v>
      </c>
      <c r="S40" s="20" t="s">
        <v>130</v>
      </c>
    </row>
    <row r="41" spans="1:19" x14ac:dyDescent="0.25">
      <c r="A41" s="66" t="s">
        <v>140</v>
      </c>
      <c r="B41" s="117" t="s">
        <v>121</v>
      </c>
      <c r="C41" s="44" t="s">
        <v>146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545.03280800000005</v>
      </c>
      <c r="O41" s="109">
        <v>299455.09000000003</v>
      </c>
      <c r="P41" s="56">
        <f t="shared" si="0"/>
        <v>142612.52000000002</v>
      </c>
      <c r="Q41" s="50">
        <v>0.9093</v>
      </c>
      <c r="R41" s="68">
        <v>1.0032976091322136E-2</v>
      </c>
      <c r="S41" s="20" t="s">
        <v>130</v>
      </c>
    </row>
    <row r="42" spans="1:19" x14ac:dyDescent="0.25">
      <c r="A42" s="66" t="s">
        <v>140</v>
      </c>
      <c r="B42" s="117" t="s">
        <v>85</v>
      </c>
      <c r="C42" s="44" t="s">
        <v>137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25</v>
      </c>
      <c r="J42" s="88">
        <v>2480.5</v>
      </c>
      <c r="K42" s="52">
        <v>62012.5</v>
      </c>
      <c r="L42" s="88">
        <v>2483.0896419999999</v>
      </c>
      <c r="M42" s="52">
        <v>62077.24</v>
      </c>
      <c r="N42" s="89">
        <v>1901.0232080000001</v>
      </c>
      <c r="O42" s="109">
        <v>47475.97</v>
      </c>
      <c r="P42" s="55">
        <f t="shared" si="0"/>
        <v>-14601.269999999997</v>
      </c>
      <c r="Q42" s="49">
        <v>-0.23519999999999999</v>
      </c>
      <c r="R42" s="68">
        <v>1.5906400920496189E-3</v>
      </c>
      <c r="S42" s="20" t="s">
        <v>138</v>
      </c>
    </row>
    <row r="43" spans="1:19" x14ac:dyDescent="0.25">
      <c r="A43" s="66" t="s">
        <v>82</v>
      </c>
      <c r="B43" s="117" t="s">
        <v>121</v>
      </c>
      <c r="C43" s="44" t="s">
        <v>115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11000</v>
      </c>
      <c r="J43" s="88">
        <v>52.773944999999998</v>
      </c>
      <c r="K43" s="52">
        <v>580513.4</v>
      </c>
      <c r="L43" s="88">
        <v>52.829042000000001</v>
      </c>
      <c r="M43" s="52">
        <v>581119.46</v>
      </c>
      <c r="N43" s="89">
        <v>51.57</v>
      </c>
      <c r="O43" s="109">
        <v>566677.77</v>
      </c>
      <c r="P43" s="55">
        <f t="shared" si="0"/>
        <v>-14441.689999999944</v>
      </c>
      <c r="Q43" s="49">
        <v>-2.4899999999999999E-2</v>
      </c>
      <c r="R43" s="68">
        <v>1.8986033992254878E-2</v>
      </c>
      <c r="S43" s="20" t="s">
        <v>128</v>
      </c>
    </row>
    <row r="44" spans="1:19" x14ac:dyDescent="0.25">
      <c r="A44" s="66" t="s">
        <v>82</v>
      </c>
      <c r="B44" s="117" t="s">
        <v>85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7000</v>
      </c>
      <c r="J44" s="88">
        <v>52.773944999999998</v>
      </c>
      <c r="K44" s="52">
        <v>369417.62</v>
      </c>
      <c r="L44" s="88">
        <v>52.829042000000001</v>
      </c>
      <c r="M44" s="52">
        <v>369803.29</v>
      </c>
      <c r="N44" s="89">
        <v>51.57</v>
      </c>
      <c r="O44" s="109">
        <v>360613.13</v>
      </c>
      <c r="P44" s="55">
        <f t="shared" si="0"/>
        <v>-9190.1599999999744</v>
      </c>
      <c r="Q44" s="49">
        <v>-2.4899999999999999E-2</v>
      </c>
      <c r="R44" s="68">
        <v>1.2082021753268047E-2</v>
      </c>
      <c r="S44" s="20" t="s">
        <v>128</v>
      </c>
    </row>
    <row r="45" spans="1:19" x14ac:dyDescent="0.25">
      <c r="A45" s="98"/>
      <c r="B45" s="126"/>
      <c r="C45" s="24" t="s">
        <v>116</v>
      </c>
      <c r="D45" s="24" t="s">
        <v>50</v>
      </c>
      <c r="E45" s="24"/>
      <c r="F45" s="25"/>
      <c r="G45" s="25"/>
      <c r="H45" s="25"/>
      <c r="I45" s="25"/>
      <c r="J45" s="24"/>
      <c r="K45" s="39">
        <v>26280875.289999999</v>
      </c>
      <c r="L45" s="24"/>
      <c r="M45" s="39">
        <v>26308312.530000001</v>
      </c>
      <c r="N45" s="24"/>
      <c r="O45" s="39">
        <v>27034911.170000002</v>
      </c>
      <c r="P45" s="90">
        <f t="shared" si="0"/>
        <v>726598.6400000006</v>
      </c>
      <c r="Q45" s="91">
        <v>2.76E-2</v>
      </c>
      <c r="R45" s="99">
        <v>0.90578062105949753</v>
      </c>
      <c r="S45" s="74"/>
    </row>
    <row r="46" spans="1:19" x14ac:dyDescent="0.25">
      <c r="A46" s="100"/>
      <c r="B46" s="127"/>
      <c r="C46" s="21"/>
      <c r="D46" s="21"/>
      <c r="E46" s="21"/>
      <c r="F46" s="22"/>
      <c r="G46" s="22"/>
      <c r="H46" s="22"/>
      <c r="I46" s="22"/>
      <c r="J46" s="21"/>
      <c r="K46" s="21"/>
      <c r="L46" s="21"/>
      <c r="M46" s="21"/>
      <c r="N46" s="21"/>
      <c r="O46" s="21"/>
      <c r="P46" s="23"/>
      <c r="Q46" s="23"/>
      <c r="R46" s="108"/>
      <c r="S46" s="72"/>
    </row>
    <row r="47" spans="1:19" x14ac:dyDescent="0.25">
      <c r="A47" s="66" t="s">
        <v>63</v>
      </c>
      <c r="B47" s="117" t="s">
        <v>85</v>
      </c>
      <c r="C47" s="44" t="s">
        <v>141</v>
      </c>
      <c r="D47" s="44">
        <v>280907</v>
      </c>
      <c r="E47" s="44" t="s">
        <v>21</v>
      </c>
      <c r="F47" s="20">
        <v>1</v>
      </c>
      <c r="G47" s="20">
        <v>7.45</v>
      </c>
      <c r="H47" s="20">
        <v>1</v>
      </c>
      <c r="I47" s="34">
        <v>16741</v>
      </c>
      <c r="J47" s="88">
        <v>100.241951</v>
      </c>
      <c r="K47" s="52">
        <v>1678150.51</v>
      </c>
      <c r="L47" s="88">
        <v>100.241952</v>
      </c>
      <c r="M47" s="52">
        <v>1678150.51</v>
      </c>
      <c r="N47" s="89">
        <v>100.241952</v>
      </c>
      <c r="O47" s="109">
        <v>1678150.51</v>
      </c>
      <c r="P47" s="56">
        <v>0</v>
      </c>
      <c r="Q47" s="35"/>
      <c r="R47" s="68">
        <v>5.6224938251909648E-2</v>
      </c>
      <c r="S47" s="20" t="s">
        <v>130</v>
      </c>
    </row>
    <row r="48" spans="1:19" x14ac:dyDescent="0.25">
      <c r="A48" s="66" t="s">
        <v>63</v>
      </c>
      <c r="B48" s="117" t="s">
        <v>86</v>
      </c>
      <c r="C48" s="44" t="s">
        <v>141</v>
      </c>
      <c r="D48" s="44">
        <v>280907</v>
      </c>
      <c r="E48" s="44" t="s">
        <v>21</v>
      </c>
      <c r="F48" s="20">
        <v>1</v>
      </c>
      <c r="G48" s="20">
        <v>7.45</v>
      </c>
      <c r="H48" s="20">
        <v>1</v>
      </c>
      <c r="I48" s="34">
        <v>599</v>
      </c>
      <c r="J48" s="88">
        <v>100.241951</v>
      </c>
      <c r="K48" s="52">
        <v>60044.93</v>
      </c>
      <c r="L48" s="88">
        <v>100.241952</v>
      </c>
      <c r="M48" s="52">
        <v>60044.93</v>
      </c>
      <c r="N48" s="89">
        <v>100.241952</v>
      </c>
      <c r="O48" s="109">
        <v>60044.93</v>
      </c>
      <c r="P48" s="56">
        <v>0</v>
      </c>
      <c r="Q48" s="35"/>
      <c r="R48" s="68">
        <v>2.0117519027481254E-3</v>
      </c>
      <c r="S48" s="20" t="s">
        <v>130</v>
      </c>
    </row>
    <row r="49" spans="1:19" x14ac:dyDescent="0.25">
      <c r="A49" s="66" t="s">
        <v>63</v>
      </c>
      <c r="B49" s="117" t="s">
        <v>121</v>
      </c>
      <c r="C49" s="44" t="s">
        <v>141</v>
      </c>
      <c r="D49" s="44">
        <v>280907</v>
      </c>
      <c r="E49" s="44" t="s">
        <v>21</v>
      </c>
      <c r="F49" s="20">
        <v>1</v>
      </c>
      <c r="G49" s="20">
        <v>7.45</v>
      </c>
      <c r="H49" s="20">
        <v>1</v>
      </c>
      <c r="I49" s="34">
        <v>10713</v>
      </c>
      <c r="J49" s="88">
        <v>100.241951</v>
      </c>
      <c r="K49" s="52">
        <v>1073892.03</v>
      </c>
      <c r="L49" s="88">
        <v>100.241952</v>
      </c>
      <c r="M49" s="52">
        <v>1073892.03</v>
      </c>
      <c r="N49" s="89">
        <v>100.241952</v>
      </c>
      <c r="O49" s="109">
        <v>1073892.03</v>
      </c>
      <c r="P49" s="56">
        <v>0</v>
      </c>
      <c r="Q49" s="35"/>
      <c r="R49" s="68">
        <v>3.5979796041040388E-2</v>
      </c>
      <c r="S49" s="20" t="s">
        <v>130</v>
      </c>
    </row>
    <row r="50" spans="1:19" x14ac:dyDescent="0.25">
      <c r="A50" s="98"/>
      <c r="B50" s="126"/>
      <c r="C50" s="24" t="s">
        <v>49</v>
      </c>
      <c r="D50" s="24" t="s">
        <v>50</v>
      </c>
      <c r="E50" s="24"/>
      <c r="F50" s="25"/>
      <c r="G50" s="25"/>
      <c r="H50" s="25"/>
      <c r="I50" s="25"/>
      <c r="J50" s="24"/>
      <c r="K50" s="39">
        <v>2812087.47</v>
      </c>
      <c r="L50" s="24"/>
      <c r="M50" s="39">
        <v>2812087.47</v>
      </c>
      <c r="N50" s="24"/>
      <c r="O50" s="39">
        <v>2812087.47</v>
      </c>
      <c r="P50" s="90">
        <v>0</v>
      </c>
      <c r="Q50" s="26"/>
      <c r="R50" s="99">
        <v>9.4215999999999994E-2</v>
      </c>
      <c r="S50" s="74"/>
    </row>
    <row r="51" spans="1:19" x14ac:dyDescent="0.25">
      <c r="A51" s="120"/>
      <c r="B51" s="121"/>
      <c r="C51" s="121"/>
      <c r="D51" s="121"/>
      <c r="E51" s="121"/>
      <c r="F51" s="122"/>
      <c r="G51" s="122"/>
      <c r="H51" s="122"/>
      <c r="I51" s="122"/>
      <c r="J51" s="121"/>
      <c r="K51" s="121"/>
      <c r="L51" s="121"/>
      <c r="M51" s="121"/>
      <c r="N51" s="121"/>
      <c r="O51" s="121"/>
      <c r="P51" s="123"/>
      <c r="Q51" s="123"/>
      <c r="R51" s="124"/>
    </row>
    <row r="52" spans="1:19" x14ac:dyDescent="0.25">
      <c r="A52" s="21"/>
      <c r="B52" s="21" t="s">
        <v>85</v>
      </c>
      <c r="C52" s="21" t="s">
        <v>51</v>
      </c>
      <c r="D52" s="21" t="s">
        <v>50</v>
      </c>
      <c r="E52" s="21"/>
      <c r="F52" s="22"/>
      <c r="G52" s="22"/>
      <c r="H52" s="22"/>
      <c r="I52" s="22"/>
      <c r="J52" s="21"/>
      <c r="K52" s="21"/>
      <c r="L52" s="21"/>
      <c r="M52" s="21"/>
      <c r="N52" s="21"/>
      <c r="O52" s="40">
        <v>62.82</v>
      </c>
      <c r="P52" s="23"/>
      <c r="Q52" s="23"/>
      <c r="R52" s="22"/>
    </row>
    <row r="53" spans="1:19" x14ac:dyDescent="0.25">
      <c r="A53" s="21"/>
      <c r="B53" s="21" t="s">
        <v>86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12.17</v>
      </c>
      <c r="P53" s="23"/>
      <c r="Q53" s="23"/>
      <c r="R53" s="22"/>
    </row>
    <row r="54" spans="1:19" x14ac:dyDescent="0.25">
      <c r="A54" s="21"/>
      <c r="B54" s="21" t="s">
        <v>121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11.36</v>
      </c>
      <c r="P54" s="23"/>
      <c r="Q54" s="23"/>
      <c r="R54" s="22"/>
    </row>
    <row r="55" spans="1:19" x14ac:dyDescent="0.25">
      <c r="A55" s="21"/>
      <c r="B55" s="21"/>
      <c r="C55" s="21"/>
      <c r="D55" s="21"/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21"/>
      <c r="P55" s="23"/>
      <c r="Q55" s="23"/>
      <c r="R55" s="22"/>
    </row>
    <row r="56" spans="1:19" x14ac:dyDescent="0.25">
      <c r="A56" s="24"/>
      <c r="B56" s="24"/>
      <c r="C56" s="24" t="s">
        <v>52</v>
      </c>
      <c r="D56" s="24" t="s">
        <v>50</v>
      </c>
      <c r="E56" s="24"/>
      <c r="F56" s="25"/>
      <c r="G56" s="25"/>
      <c r="H56" s="25"/>
      <c r="I56" s="25"/>
      <c r="J56" s="24"/>
      <c r="K56" s="24"/>
      <c r="L56" s="24"/>
      <c r="M56" s="24"/>
      <c r="N56" s="24"/>
      <c r="O56" s="39">
        <v>0</v>
      </c>
      <c r="P56" s="26"/>
      <c r="Q56" s="26"/>
      <c r="R56" s="25"/>
    </row>
    <row r="57" spans="1:19" x14ac:dyDescent="0.25">
      <c r="A57" s="21"/>
      <c r="B57" s="21"/>
      <c r="C57" s="21"/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21"/>
      <c r="P57" s="23"/>
      <c r="Q57" s="23"/>
      <c r="R57" s="22"/>
    </row>
    <row r="58" spans="1:19" x14ac:dyDescent="0.25">
      <c r="A58" s="27"/>
      <c r="B58" s="27"/>
      <c r="C58" s="27" t="s">
        <v>53</v>
      </c>
      <c r="D58" s="27"/>
      <c r="E58" s="27"/>
      <c r="F58" s="28"/>
      <c r="G58" s="28"/>
      <c r="H58" s="28"/>
      <c r="I58" s="28"/>
      <c r="J58" s="27"/>
      <c r="K58" s="27"/>
      <c r="L58" s="27"/>
      <c r="M58" s="27"/>
      <c r="N58" s="27"/>
      <c r="O58" s="41">
        <v>29847084.98</v>
      </c>
      <c r="P58" s="29"/>
      <c r="Q58" s="29"/>
      <c r="R58" s="28"/>
    </row>
    <row r="59" spans="1:19" x14ac:dyDescent="0.25">
      <c r="A59" s="21"/>
      <c r="B59" s="21"/>
      <c r="C59" s="21"/>
      <c r="D59" s="21"/>
      <c r="E59" s="21"/>
      <c r="F59" s="22"/>
      <c r="G59" s="22"/>
      <c r="H59" s="22"/>
      <c r="I59" s="22"/>
      <c r="J59" s="21"/>
      <c r="K59" s="21"/>
      <c r="L59" s="21"/>
      <c r="M59" s="21"/>
      <c r="N59" s="21"/>
      <c r="O59" s="21"/>
      <c r="P59" s="23"/>
      <c r="Q59" s="23"/>
      <c r="R59" s="22"/>
    </row>
    <row r="60" spans="1:19" x14ac:dyDescent="0.25">
      <c r="A60" s="21"/>
      <c r="B60" s="21"/>
      <c r="C60" s="21" t="s">
        <v>26</v>
      </c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40">
        <v>86.35</v>
      </c>
      <c r="P60" s="23"/>
      <c r="Q60" s="23"/>
      <c r="R60" s="22"/>
    </row>
    <row r="61" spans="1:19" x14ac:dyDescent="0.25">
      <c r="A61" s="21"/>
      <c r="B61" s="21"/>
      <c r="C61" s="21" t="s">
        <v>54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2812173.82</v>
      </c>
      <c r="P61" s="23"/>
      <c r="Q61" s="23"/>
      <c r="R61" s="22"/>
    </row>
    <row r="62" spans="1:19" x14ac:dyDescent="0.25">
      <c r="A62" s="21"/>
      <c r="B62" s="21"/>
      <c r="C62" s="21" t="s">
        <v>55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0</v>
      </c>
      <c r="P62" s="23"/>
      <c r="Q62" s="23"/>
      <c r="R62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596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600075</xdr:colOff>
                    <xdr:row>0</xdr:row>
                    <xdr:rowOff>123825</xdr:rowOff>
                  </from>
                  <to>
                    <xdr:col>20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7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600075</xdr:colOff>
                    <xdr:row>1</xdr:row>
                    <xdr:rowOff>38100</xdr:rowOff>
                  </from>
                  <to>
                    <xdr:col>20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7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600075</xdr:colOff>
                    <xdr:row>3</xdr:row>
                    <xdr:rowOff>171450</xdr:rowOff>
                  </from>
                  <to>
                    <xdr:col>20</xdr:col>
                    <xdr:colOff>342900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2025-08-01T17:33:12Z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