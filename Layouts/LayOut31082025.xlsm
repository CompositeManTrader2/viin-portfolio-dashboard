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50A91694-A1AF-49BD-A404-E5728F3738D7}" xr6:coauthVersionLast="47" xr6:coauthVersionMax="47" xr10:uidLastSave="{00000000-0000-0000-0000-000000000000}"/>
  <bookViews>
    <workbookView xWindow="21480" yWindow="-120" windowWidth="21840" windowHeight="13020" tabRatio="641" activeTab="5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81" r:id="rId4"/>
    <sheet name="Movimientos" sheetId="1682" r:id="rId5"/>
    <sheet name="Posición" sheetId="1685" r:id="rId6"/>
    <sheet name="Estrategias" sheetId="1305" r:id="rId7"/>
  </sheets>
  <functionGroups builtInGroupCount="19"/>
  <definedNames>
    <definedName name="_xlnm._FilterDatabase" localSheetId="5" hidden="1">Posición!$A$8:$S$45</definedName>
    <definedName name="_xlnm.Print_Area" localSheetId="2">Hoja1!$A$1:$R$58</definedName>
    <definedName name="_xlnm.Print_Area" localSheetId="4">Movimientos!$A$1:$R$211</definedName>
    <definedName name="_xlnm.Print_Area" localSheetId="5">Posición!$A$1:$R$62</definedName>
    <definedName name="_xlnm.Print_Area" localSheetId="3">'Posición del mes anterior'!$A$1:$R$62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4" i="1685" l="1"/>
  <c r="P43" i="1685"/>
  <c r="P41" i="1685"/>
  <c r="P40" i="1685"/>
  <c r="P39" i="1685"/>
  <c r="P38" i="1685"/>
  <c r="P37" i="1685"/>
  <c r="P36" i="1685"/>
  <c r="P35" i="1685"/>
  <c r="P34" i="1685"/>
  <c r="P33" i="1685"/>
  <c r="P32" i="1685"/>
  <c r="P31" i="1685"/>
  <c r="P30" i="1685"/>
  <c r="P29" i="1685"/>
  <c r="P28" i="1685"/>
  <c r="P27" i="1685"/>
  <c r="P26" i="1685"/>
  <c r="P25" i="1685"/>
  <c r="P24" i="1685"/>
  <c r="P23" i="1685"/>
  <c r="P22" i="1685"/>
  <c r="P21" i="1685"/>
  <c r="P20" i="1685"/>
  <c r="P19" i="1685"/>
  <c r="P18" i="1685"/>
  <c r="P17" i="1685"/>
  <c r="P16" i="1685"/>
  <c r="P15" i="1685"/>
  <c r="P14" i="1685"/>
  <c r="P13" i="1685"/>
  <c r="P12" i="1685"/>
  <c r="P11" i="1685"/>
  <c r="P10" i="1685"/>
  <c r="P9" i="1685"/>
  <c r="P44" i="1681" l="1"/>
  <c r="P43" i="1681"/>
  <c r="P42" i="1681"/>
  <c r="P41" i="1681"/>
  <c r="P40" i="1681"/>
  <c r="P39" i="1681"/>
  <c r="P38" i="1681"/>
  <c r="P37" i="1681"/>
  <c r="P36" i="1681"/>
  <c r="P35" i="1681"/>
  <c r="P34" i="1681"/>
  <c r="P33" i="1681"/>
  <c r="P32" i="1681"/>
  <c r="P31" i="1681"/>
  <c r="P30" i="1681"/>
  <c r="P29" i="1681"/>
  <c r="P28" i="1681"/>
  <c r="P27" i="1681"/>
  <c r="P26" i="1681"/>
  <c r="P25" i="1681"/>
  <c r="P24" i="1681"/>
  <c r="P23" i="1681"/>
  <c r="P22" i="1681"/>
  <c r="P21" i="1681"/>
  <c r="P20" i="1681"/>
  <c r="P19" i="1681"/>
  <c r="P18" i="1681"/>
  <c r="P17" i="1681"/>
  <c r="P16" i="1681"/>
  <c r="P15" i="1681"/>
  <c r="P14" i="1681"/>
  <c r="P13" i="1681"/>
  <c r="P12" i="1681"/>
  <c r="P11" i="1681"/>
  <c r="P10" i="1681"/>
  <c r="P9" i="1681"/>
  <c r="B15" i="4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<sst xmlns="http://schemas.openxmlformats.org/spreadsheetml/2006/main" count="1777" uniqueCount="169">
  <si>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</si>
  <si>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</si>
  <si>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</si>
  <si>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</si>
  <si>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</si>
  <si>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</si>
  <si>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</si>
  <si>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</si>
  <si>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</si>
  <si>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</si>
  <si>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</si>
  <si>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</si>
  <si>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</si>
  <si>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</si>
  <si>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</si>
  <si>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</si>
  <si>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</si>
  <si>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</si>
  <si>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</si>
  <si>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</si>
  <si>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</si>
  <si>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</si>
  <si>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</si>
  <si>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</si>
  <si>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</si>
  <si>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</si>
  <si>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</si>
  <si>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</si>
  <si>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</si>
  <si>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</si>
  <si>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</si>
  <si>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</si>
  <si>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</si>
  <si>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</si>
  <si>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</si>
  <si>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</si>
  <si>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</si>
  <si>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</si>
  <si>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</si>
  <si>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</si>
  <si>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</si>
  <si>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</si>
  <si>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</si>
  <si>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</si>
  <si>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</si>
  <si>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</si>
  <si>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</si>
  <si>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</si>
  <si>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</si>
  <si>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</si>
  <si>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</si>
  <si>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</si>
  <si>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</si>
  <si>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</si>
  <si>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</si>
  <si>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</si>
  <si>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</si>
  <si>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</si>
  <si>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</si>
  <si>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</si>
  <si>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</si>
  <si>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</si>
  <si>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</si>
  <si>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</si>
  <si>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</si>
  <si>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</si>
  <si>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</si>
  <si>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</si>
  <si>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</si>
  <si>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</si>
  <si>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</si>
  <si>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</si>
  <si>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</si>
  <si>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</si>
  <si>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</si>
  <si>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</si>
  <si>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</si>
  <si>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</si>
  <si>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</si>
  <si>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</si>
  <si>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</si>
  <si>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</si>
  <si>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</si>
  <si>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</si>
  <si>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</si>
  <si>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</si>
  <si>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</si>
  <si>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</si>
  <si>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</si>
  <si>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</si>
  <si>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</si>
  <si>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</si>
  <si>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</si>
  <si>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</si>
  <si>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</si>
  <si>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</si>
  <si>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</si>
  <si>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</si>
  <si>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</si>
  <si>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</si>
  <si>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</si>
  <si>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</si>
  <si>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</si>
  <si>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</si>
  <si>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</si>
  <si>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</si>
  <si>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</si>
  <si>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</si>
  <si>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</si>
  <si>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</si>
  <si>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</si>
  <si>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</si>
  <si>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</si>
  <si>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</si>
  <si>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</si>
  <si>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</si>
  <si>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</si>
  <si>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</si>
  <si>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</si>
  <si>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</si>
  <si>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</si>
  <si>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</si>
  <si>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</si>
  <si>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</si>
  <si>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</si>
  <si>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</si>
  <si>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</si>
  <si>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</si>
  <si>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</si>
  <si>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</si>
  <si>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</si>
  <si>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</si>
  <si>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</si>
  <si>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</si>
  <si>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</si>
  <si>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</si>
  <si>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</si>
  <si>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</si>
  <si>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</si>
  <si>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</si>
  <si>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</si>
  <si>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</si>
  <si>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</si>
  <si>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</si>
  <si>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</si>
  <si>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</si>
  <si>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</si>
  <si>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</si>
  <si>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PAGO ENTRAD DIVID. EFTVO</t>
  </si>
  <si>
    <t>SHV</t>
  </si>
  <si>
    <t>PE&amp;OLES</t>
  </si>
  <si>
    <t>HYG</t>
  </si>
  <si>
    <t>SPHY</t>
  </si>
  <si>
    <t>CUOTA DE ADM Y CUST E IVA</t>
  </si>
  <si>
    <t xml:space="preserve"> </t>
  </si>
  <si>
    <t>PAGO ENTRADA REEMBOLSO</t>
  </si>
  <si>
    <t>PAGO ENTRADA DISTRIBUCION EFECTIVO</t>
  </si>
  <si>
    <t>Agosto</t>
  </si>
  <si>
    <t>COMPRA CAPITALES</t>
  </si>
  <si>
    <t>COMISION</t>
  </si>
  <si>
    <t>VENTA CAPITALES</t>
  </si>
  <si>
    <t>UNH</t>
  </si>
  <si>
    <t>31/8/2025</t>
  </si>
  <si>
    <t>FX (MES ANTERIOR)</t>
  </si>
  <si>
    <t>FX (MES)</t>
  </si>
  <si>
    <t>MONEDA</t>
  </si>
  <si>
    <t>USD</t>
  </si>
  <si>
    <t>MX</t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</si>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</sst>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&quot;$&quot;#,##0.000000"/>
    <numFmt numFmtId="168" formatCode="&quot;$&quot;#,##0.0000"/>
    <numFmt numFmtId="169" formatCode="&quot;$&quot;#,##0.00_);[Red]\(&quot;$&quot;#,##0.00\)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15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10" fontId="15" fillId="0" borderId="3" xfId="0" applyNumberFormat="1" applyFont="1" applyBorder="1" applyAlignment="1">
      <alignment horizontal="center"/>
    </xf>
    <xf numFmtId="169" fontId="12" fillId="0" borderId="0" xfId="0" applyNumberFormat="1" applyFont="1"/>
    <xf numFmtId="164" fontId="12" fillId="0" borderId="5" xfId="0" applyNumberFormat="1" applyFont="1" applyBorder="1"/>
    <xf numFmtId="0" fontId="12" fillId="0" borderId="6" xfId="0" applyFont="1" applyBorder="1"/>
    <xf numFmtId="0" fontId="15" fillId="0" borderId="4" xfId="0" applyFont="1" applyBorder="1"/>
    <xf numFmtId="0" fontId="15" fillId="0" borderId="5" xfId="0" applyFont="1" applyBorder="1"/>
    <xf numFmtId="0" fontId="15" fillId="0" borderId="5" xfId="0" applyFont="1" applyBorder="1" applyAlignment="1">
      <alignment horizontal="center"/>
    </xf>
    <xf numFmtId="0" fontId="16" fillId="0" borderId="5" xfId="0" applyFont="1" applyBorder="1"/>
    <xf numFmtId="0" fontId="15" fillId="0" borderId="6" xfId="0" applyFont="1" applyBorder="1" applyAlignment="1">
      <alignment horizontal="center"/>
    </xf>
    <xf numFmtId="10" fontId="12" fillId="0" borderId="0" xfId="0" applyNumberFormat="1" applyFont="1"/>
    <xf numFmtId="169" fontId="21" fillId="0" borderId="0" xfId="0" applyNumberFormat="1" applyFont="1"/>
    <xf numFmtId="169" fontId="18" fillId="0" borderId="0" xfId="0" applyNumberFormat="1" applyFont="1"/>
    <xf numFmtId="0" fontId="3" fillId="2" borderId="0" xfId="0" applyFont="1" applyFill="1" applyAlignment="1">
      <alignment horizontal="center" vertical="center" wrapText="1"/>
    </xf>
    <xf numFmtId="0" fontId="0" fillId="0" borderId="1" xfId="0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MovimientosCliente.jp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</xdr:row>
          <xdr:rowOff>38100</xdr:rowOff>
        </xdr:from>
        <xdr:to>
          <xdr:col>20</xdr:col>
          <xdr:colOff>342900</xdr:colOff>
          <xdr:row>3</xdr:row>
          <xdr:rowOff>38100</xdr:rowOff>
        </xdr:to>
        <xdr:sp macro="" textlink="">
          <xdr:nvSpPr>
            <xdr:cNvPr id="1240066" name="Button 2" hidden="1">
              <a:extLst>
                <a:ext uri="{63B3BB69-23CF-44E3-9099-C40C66FF867C}">
                  <a14:compatExt spid="_x0000_s1240066"/>
                </a:ext>
                <a:ext uri="{FF2B5EF4-FFF2-40B4-BE49-F238E27FC236}">
                  <a16:creationId xmlns:a16="http://schemas.microsoft.com/office/drawing/2014/main" id="{00000000-0008-0000-0300-000002E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3</xdr:row>
          <xdr:rowOff>171450</xdr:rowOff>
        </xdr:from>
        <xdr:to>
          <xdr:col>20</xdr:col>
          <xdr:colOff>342900</xdr:colOff>
          <xdr:row>5</xdr:row>
          <xdr:rowOff>171450</xdr:rowOff>
        </xdr:to>
        <xdr:sp macro="" textlink="">
          <xdr:nvSpPr>
            <xdr:cNvPr id="1240067" name="Button 3" hidden="1">
              <a:extLst>
                <a:ext uri="{63B3BB69-23CF-44E3-9099-C40C66FF867C}">
                  <a14:compatExt spid="_x0000_s1240067"/>
                </a:ext>
                <a:ext uri="{FF2B5EF4-FFF2-40B4-BE49-F238E27FC236}">
                  <a16:creationId xmlns:a16="http://schemas.microsoft.com/office/drawing/2014/main" id="{00000000-0008-0000-0300-000003E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</xdr:row>
          <xdr:rowOff>38100</xdr:rowOff>
        </xdr:from>
        <xdr:to>
          <xdr:col>20</xdr:col>
          <xdr:colOff>342900</xdr:colOff>
          <xdr:row>3</xdr:row>
          <xdr:rowOff>38100</xdr:rowOff>
        </xdr:to>
        <xdr:sp macro="" textlink="">
          <xdr:nvSpPr>
            <xdr:cNvPr id="1240068" name="Button 4" hidden="1">
              <a:extLst>
                <a:ext uri="{63B3BB69-23CF-44E3-9099-C40C66FF867C}">
                  <a14:compatExt spid="_x0000_s1240068"/>
                </a:ext>
                <a:ext uri="{FF2B5EF4-FFF2-40B4-BE49-F238E27FC236}">
                  <a16:creationId xmlns:a16="http://schemas.microsoft.com/office/drawing/2014/main" id="{00000000-0008-0000-0300-000004E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68036</xdr:colOff>
      <xdr:row>1</xdr:row>
      <xdr:rowOff>179471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0B05076-DE34-4AFF-B2E4-5760D169C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907236" cy="770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0</xdr:row>
          <xdr:rowOff>381000</xdr:rowOff>
        </xdr:from>
        <xdr:to>
          <xdr:col>20</xdr:col>
          <xdr:colOff>123825</xdr:colOff>
          <xdr:row>1</xdr:row>
          <xdr:rowOff>180975</xdr:rowOff>
        </xdr:to>
        <xdr:sp macro="" textlink="">
          <xdr:nvSpPr>
            <xdr:cNvPr id="1243137" name="Button 1" hidden="1">
              <a:extLst>
                <a:ext uri="{63B3BB69-23CF-44E3-9099-C40C66FF867C}">
                  <a14:compatExt spid="_x0000_s1243137"/>
                </a:ext>
                <a:ext uri="{FF2B5EF4-FFF2-40B4-BE49-F238E27FC236}">
                  <a16:creationId xmlns:a16="http://schemas.microsoft.com/office/drawing/2014/main" id="{00000000-0008-0000-0400-000001F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0</xdr:row>
          <xdr:rowOff>381000</xdr:rowOff>
        </xdr:from>
        <xdr:to>
          <xdr:col>21</xdr:col>
          <xdr:colOff>638175</xdr:colOff>
          <xdr:row>1</xdr:row>
          <xdr:rowOff>180975</xdr:rowOff>
        </xdr:to>
        <xdr:sp macro="" textlink="">
          <xdr:nvSpPr>
            <xdr:cNvPr id="1243138" name="Button 2" hidden="1">
              <a:extLst>
                <a:ext uri="{63B3BB69-23CF-44E3-9099-C40C66FF867C}">
                  <a14:compatExt spid="_x0000_s1243138"/>
                </a:ext>
                <a:ext uri="{FF2B5EF4-FFF2-40B4-BE49-F238E27FC236}">
                  <a16:creationId xmlns:a16="http://schemas.microsoft.com/office/drawing/2014/main" id="{00000000-0008-0000-0400-000002F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104775</xdr:rowOff>
        </xdr:from>
        <xdr:to>
          <xdr:col>20</xdr:col>
          <xdr:colOff>123825</xdr:colOff>
          <xdr:row>4</xdr:row>
          <xdr:rowOff>114300</xdr:rowOff>
        </xdr:to>
        <xdr:sp macro="" textlink="">
          <xdr:nvSpPr>
            <xdr:cNvPr id="1243139" name="Button 3" hidden="1">
              <a:extLst>
                <a:ext uri="{63B3BB69-23CF-44E3-9099-C40C66FF867C}">
                  <a14:compatExt spid="_x0000_s1243139"/>
                </a:ext>
                <a:ext uri="{FF2B5EF4-FFF2-40B4-BE49-F238E27FC236}">
                  <a16:creationId xmlns:a16="http://schemas.microsoft.com/office/drawing/2014/main" id="{00000000-0008-0000-0400-000003F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2</xdr:row>
          <xdr:rowOff>104775</xdr:rowOff>
        </xdr:from>
        <xdr:to>
          <xdr:col>22</xdr:col>
          <xdr:colOff>228600</xdr:colOff>
          <xdr:row>4</xdr:row>
          <xdr:rowOff>114300</xdr:rowOff>
        </xdr:to>
        <xdr:sp macro="" textlink="">
          <xdr:nvSpPr>
            <xdr:cNvPr id="1243140" name="Button 4" hidden="1">
              <a:extLst>
                <a:ext uri="{63B3BB69-23CF-44E3-9099-C40C66FF867C}">
                  <a14:compatExt spid="_x0000_s1243140"/>
                </a:ext>
                <a:ext uri="{FF2B5EF4-FFF2-40B4-BE49-F238E27FC236}">
                  <a16:creationId xmlns:a16="http://schemas.microsoft.com/office/drawing/2014/main" id="{00000000-0008-0000-0400-000004F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519684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C620BF-36EB-479A-9719-030D87004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0</xdr:row>
          <xdr:rowOff>123825</xdr:rowOff>
        </xdr:from>
        <xdr:to>
          <xdr:col>20</xdr:col>
          <xdr:colOff>409575</xdr:colOff>
          <xdr:row>0</xdr:row>
          <xdr:rowOff>504825</xdr:rowOff>
        </xdr:to>
        <xdr:sp macro="" textlink="">
          <xdr:nvSpPr>
            <xdr:cNvPr id="1246209" name="Button 1" hidden="1">
              <a:extLst>
                <a:ext uri="{63B3BB69-23CF-44E3-9099-C40C66FF867C}">
                  <a14:compatExt spid="_x0000_s1246209"/>
                </a:ext>
                <a:ext uri="{FF2B5EF4-FFF2-40B4-BE49-F238E27FC236}">
                  <a16:creationId xmlns:a16="http://schemas.microsoft.com/office/drawing/2014/main" id="{00000000-0008-0000-0500-0000010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1</xdr:row>
          <xdr:rowOff>38100</xdr:rowOff>
        </xdr:from>
        <xdr:to>
          <xdr:col>20</xdr:col>
          <xdr:colOff>409575</xdr:colOff>
          <xdr:row>3</xdr:row>
          <xdr:rowOff>38100</xdr:rowOff>
        </xdr:to>
        <xdr:sp macro="" textlink="">
          <xdr:nvSpPr>
            <xdr:cNvPr id="1246210" name="Button 2" hidden="1">
              <a:extLst>
                <a:ext uri="{63B3BB69-23CF-44E3-9099-C40C66FF867C}">
                  <a14:compatExt spid="_x0000_s1246210"/>
                </a:ext>
                <a:ext uri="{FF2B5EF4-FFF2-40B4-BE49-F238E27FC236}">
                  <a16:creationId xmlns:a16="http://schemas.microsoft.com/office/drawing/2014/main" id="{00000000-0008-0000-0500-0000020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3</xdr:row>
          <xdr:rowOff>171450</xdr:rowOff>
        </xdr:from>
        <xdr:to>
          <xdr:col>20</xdr:col>
          <xdr:colOff>409575</xdr:colOff>
          <xdr:row>5</xdr:row>
          <xdr:rowOff>171450</xdr:rowOff>
        </xdr:to>
        <xdr:sp macro="" textlink="">
          <xdr:nvSpPr>
            <xdr:cNvPr id="1246211" name="Button 3" hidden="1">
              <a:extLst>
                <a:ext uri="{63B3BB69-23CF-44E3-9099-C40C66FF867C}">
                  <a14:compatExt spid="_x0000_s1246211"/>
                </a:ext>
                <a:ext uri="{FF2B5EF4-FFF2-40B4-BE49-F238E27FC236}">
                  <a16:creationId xmlns:a16="http://schemas.microsoft.com/office/drawing/2014/main" id="{00000000-0008-0000-0500-0000030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N25"/>
  <sheetViews>
    <sheetView showGridLines="0" topLeftCell="D1" zoomScale="85" zoomScaleNormal="85" workbookViewId="0">
      <selection activeCell="M17" sqref="M17:M19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4" ht="21" x14ac:dyDescent="0.35">
      <c r="A1" s="1" t="s">
        <v>0</v>
      </c>
    </row>
    <row r="2" spans="1:14" ht="21" x14ac:dyDescent="0.35">
      <c r="A2" s="1"/>
    </row>
    <row r="3" spans="1:14" x14ac:dyDescent="0.25">
      <c r="A3" t="s">
        <v>1</v>
      </c>
      <c r="E3"/>
      <c r="F3"/>
      <c r="G3"/>
      <c r="H3"/>
      <c r="I3"/>
      <c r="J3"/>
      <c r="K3"/>
    </row>
    <row r="4" spans="1:14" x14ac:dyDescent="0.25">
      <c r="B4" t="s">
        <v>6</v>
      </c>
      <c r="E4"/>
      <c r="F4"/>
      <c r="G4"/>
      <c r="H4"/>
      <c r="I4"/>
      <c r="J4"/>
      <c r="K4"/>
    </row>
    <row r="5" spans="1:14" x14ac:dyDescent="0.25">
      <c r="E5"/>
      <c r="F5"/>
      <c r="G5"/>
      <c r="H5"/>
      <c r="I5"/>
      <c r="J5"/>
      <c r="K5"/>
    </row>
    <row r="6" spans="1:14" x14ac:dyDescent="0.25">
      <c r="A6" s="113" t="s">
        <v>2</v>
      </c>
      <c r="B6" s="3"/>
      <c r="E6"/>
      <c r="F6"/>
      <c r="G6"/>
      <c r="H6"/>
      <c r="I6"/>
      <c r="J6"/>
      <c r="K6"/>
    </row>
    <row r="7" spans="1:14" x14ac:dyDescent="0.25">
      <c r="A7" s="113"/>
      <c r="B7" s="3" t="s">
        <v>11</v>
      </c>
      <c r="E7"/>
      <c r="F7"/>
      <c r="G7"/>
      <c r="H7"/>
      <c r="I7"/>
      <c r="J7"/>
      <c r="K7"/>
    </row>
    <row r="8" spans="1:14" x14ac:dyDescent="0.25">
      <c r="E8"/>
      <c r="F8"/>
      <c r="G8"/>
      <c r="H8"/>
      <c r="I8"/>
      <c r="J8"/>
      <c r="K8"/>
    </row>
    <row r="9" spans="1:14" ht="21" x14ac:dyDescent="0.35">
      <c r="A9" s="1"/>
    </row>
    <row r="10" spans="1:14" ht="21" x14ac:dyDescent="0.35">
      <c r="A10" s="1"/>
    </row>
    <row r="11" spans="1:14" x14ac:dyDescent="0.25">
      <c r="A11" s="4"/>
    </row>
    <row r="12" spans="1:14" ht="21" x14ac:dyDescent="0.35">
      <c r="A12" s="1"/>
    </row>
    <row r="13" spans="1:14" ht="21" x14ac:dyDescent="0.35">
      <c r="A13" s="1"/>
    </row>
    <row r="15" spans="1:14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4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  <c r="L16" s="33" t="s">
        <v>163</v>
      </c>
      <c r="M16" s="33" t="s">
        <v>164</v>
      </c>
      <c r="N16" s="33" t="s">
        <v>165</v>
      </c>
    </row>
    <row r="17" spans="1:14" x14ac:dyDescent="0.25">
      <c r="A17" s="8"/>
      <c r="B17" s="9" t="s">
        <v>85</v>
      </c>
      <c r="C17" s="10"/>
      <c r="D17" s="48" t="s">
        <v>162</v>
      </c>
      <c r="E17" s="57">
        <v>16204284.210000001</v>
      </c>
      <c r="F17" s="43">
        <v>0</v>
      </c>
      <c r="G17" s="42">
        <v>5118.84</v>
      </c>
      <c r="H17" s="11"/>
      <c r="I17" s="58">
        <v>0</v>
      </c>
      <c r="J17" s="58">
        <v>26397.283592</v>
      </c>
      <c r="K17" s="57">
        <v>16183005.77</v>
      </c>
      <c r="L17" s="114">
        <v>18.875900000000001</v>
      </c>
      <c r="M17" s="114">
        <v>18.656400000000001</v>
      </c>
      <c r="N17" s="9" t="s">
        <v>166</v>
      </c>
    </row>
    <row r="18" spans="1:14" x14ac:dyDescent="0.25">
      <c r="A18" s="8"/>
      <c r="B18" s="9" t="s">
        <v>86</v>
      </c>
      <c r="C18" s="10"/>
      <c r="D18" s="48" t="s">
        <v>162</v>
      </c>
      <c r="E18" s="57">
        <v>60444.02</v>
      </c>
      <c r="F18" s="43">
        <v>0</v>
      </c>
      <c r="G18" s="58">
        <v>354.56</v>
      </c>
      <c r="H18" s="11"/>
      <c r="I18" s="58">
        <v>0</v>
      </c>
      <c r="J18" s="58">
        <v>93.39</v>
      </c>
      <c r="K18" s="57">
        <v>60705.19</v>
      </c>
      <c r="L18" s="114">
        <v>18.875900000000001</v>
      </c>
      <c r="M18" s="114">
        <v>18.656400000000001</v>
      </c>
      <c r="N18" s="9" t="s">
        <v>166</v>
      </c>
    </row>
    <row r="19" spans="1:14" x14ac:dyDescent="0.25">
      <c r="A19" s="8"/>
      <c r="B19" s="9" t="s">
        <v>121</v>
      </c>
      <c r="C19" s="10"/>
      <c r="D19" s="48" t="s">
        <v>162</v>
      </c>
      <c r="E19" s="57">
        <v>13394982.310000001</v>
      </c>
      <c r="F19" s="43">
        <v>0</v>
      </c>
      <c r="G19" s="42">
        <v>85365.05</v>
      </c>
      <c r="H19" s="11"/>
      <c r="I19" s="58">
        <v>0</v>
      </c>
      <c r="J19" s="42">
        <v>21473.327714999999</v>
      </c>
      <c r="K19" s="57">
        <v>13458874.029999999</v>
      </c>
      <c r="L19" s="114">
        <v>18.875900000000001</v>
      </c>
      <c r="M19" s="114">
        <v>18.656400000000001</v>
      </c>
      <c r="N19" s="9" t="s">
        <v>166</v>
      </c>
    </row>
    <row r="20" spans="1:14" x14ac:dyDescent="0.25">
      <c r="D20"/>
      <c r="E20"/>
      <c r="F20"/>
      <c r="G20"/>
      <c r="H20"/>
      <c r="I20"/>
      <c r="J20"/>
      <c r="K20"/>
    </row>
    <row r="21" spans="1:14" x14ac:dyDescent="0.25">
      <c r="D21"/>
      <c r="E21"/>
      <c r="F21"/>
      <c r="G21"/>
      <c r="H21"/>
      <c r="I21"/>
      <c r="J21"/>
      <c r="K21"/>
    </row>
    <row r="22" spans="1:14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4" x14ac:dyDescent="0.25">
      <c r="A23" s="4"/>
      <c r="F23" s="31" t="s">
        <v>56</v>
      </c>
      <c r="G23" s="31" t="s">
        <v>57</v>
      </c>
      <c r="I23" s="31" t="s">
        <v>58</v>
      </c>
    </row>
    <row r="24" spans="1:14" x14ac:dyDescent="0.25">
      <c r="A24" s="12"/>
    </row>
    <row r="25" spans="1:14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124</v>
      </c>
    </row>
    <row r="9" spans="1:2" x14ac:dyDescent="0.25">
      <c r="B9">
        <v>101.404271840394</v>
      </c>
    </row>
    <row r="10" spans="1:2" x14ac:dyDescent="0.25">
      <c r="B10">
        <v>22.93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134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134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135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135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139</v>
      </c>
      <c r="B32" s="44" t="s">
        <v>85</v>
      </c>
      <c r="C32" s="44" t="s">
        <v>131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139</v>
      </c>
      <c r="B36" s="77" t="s">
        <v>85</v>
      </c>
      <c r="C36" s="77" t="s">
        <v>136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132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140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140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140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7902F-2452-42F2-A411-8595B94ED1C6}">
  <dimension ref="A1:S62"/>
  <sheetViews>
    <sheetView topLeftCell="A22" workbookViewId="0">
      <selection activeCell="S9" sqref="S9:S45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45869</v>
      </c>
      <c r="N4" s="14" t="s">
        <v>24</v>
      </c>
      <c r="O4" s="16">
        <v>45869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130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9.0500000000000007</v>
      </c>
      <c r="O9" s="102">
        <v>75334.92</v>
      </c>
      <c r="P9" s="55">
        <f>+O9-M9</f>
        <v>-19732.350000000006</v>
      </c>
      <c r="Q9" s="49">
        <v>-0.20760000000000001</v>
      </c>
      <c r="R9" s="68">
        <v>2.5399748894515003E-3</v>
      </c>
      <c r="S9" s="20" t="s">
        <v>167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9.0500000000000007</v>
      </c>
      <c r="O10" s="102">
        <v>18081.11</v>
      </c>
      <c r="P10" s="55">
        <f>+O10-M10</f>
        <v>-4735.9500000000007</v>
      </c>
      <c r="Q10" s="49">
        <v>-0.20760000000000001</v>
      </c>
      <c r="R10" s="68">
        <v>6.0961855900836448E-4</v>
      </c>
      <c r="S10" s="20" t="s">
        <v>167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3.25</v>
      </c>
      <c r="O11" s="102">
        <v>257576.06</v>
      </c>
      <c r="P11" s="55">
        <f t="shared" ref="P11:P44" si="0">+O11-M11</f>
        <v>-12964.299999999988</v>
      </c>
      <c r="Q11" s="49">
        <v>-4.7899999999999998E-2</v>
      </c>
      <c r="R11" s="68">
        <v>8.6843753802864996E-3</v>
      </c>
      <c r="S11" s="20" t="s">
        <v>167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3.25</v>
      </c>
      <c r="O12" s="102">
        <v>62571.86</v>
      </c>
      <c r="P12" s="55">
        <f t="shared" si="0"/>
        <v>-3149.3600000000006</v>
      </c>
      <c r="Q12" s="49">
        <v>-4.7899999999999998E-2</v>
      </c>
      <c r="R12" s="68">
        <v>2.1096584848868858E-3</v>
      </c>
      <c r="S12" s="20" t="s">
        <v>167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40.46</v>
      </c>
      <c r="O13" s="102">
        <v>333446.52</v>
      </c>
      <c r="P13" s="56">
        <f t="shared" si="0"/>
        <v>40126.950000000012</v>
      </c>
      <c r="Q13" s="50">
        <v>0.1368</v>
      </c>
      <c r="R13" s="68">
        <v>1.1242406413585992E-2</v>
      </c>
      <c r="S13" s="20" t="s">
        <v>167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40.46</v>
      </c>
      <c r="O14" s="102">
        <v>333446.52</v>
      </c>
      <c r="P14" s="56">
        <f t="shared" si="0"/>
        <v>40126.950000000012</v>
      </c>
      <c r="Q14" s="50">
        <v>0.1368</v>
      </c>
      <c r="R14" s="68">
        <v>1.1242406413585992E-2</v>
      </c>
      <c r="S14" s="20" t="s">
        <v>167</v>
      </c>
    </row>
    <row r="15" spans="1:19" x14ac:dyDescent="0.25">
      <c r="A15" s="66" t="s">
        <v>82</v>
      </c>
      <c r="B15" s="44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25.25</v>
      </c>
      <c r="O15" s="102">
        <v>120089.74</v>
      </c>
      <c r="P15" s="56">
        <f t="shared" si="0"/>
        <v>20692.430000000008</v>
      </c>
      <c r="Q15" s="50">
        <v>0.2082</v>
      </c>
      <c r="R15" s="68">
        <v>4.0489181389023769E-3</v>
      </c>
      <c r="S15" s="20" t="s">
        <v>167</v>
      </c>
    </row>
    <row r="16" spans="1:19" x14ac:dyDescent="0.25">
      <c r="A16" s="66" t="s">
        <v>82</v>
      </c>
      <c r="B16" s="44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25.25</v>
      </c>
      <c r="O16" s="102">
        <v>50447.28</v>
      </c>
      <c r="P16" s="56">
        <f t="shared" si="0"/>
        <v>8692.4799999999959</v>
      </c>
      <c r="Q16" s="50">
        <v>0.2082</v>
      </c>
      <c r="R16" s="68">
        <v>1.7008689256075254E-3</v>
      </c>
      <c r="S16" s="20" t="s">
        <v>167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22.66</v>
      </c>
      <c r="O17" s="102">
        <v>471899.84</v>
      </c>
      <c r="P17" s="55">
        <f t="shared" si="0"/>
        <v>-81694.789999999979</v>
      </c>
      <c r="Q17" s="49">
        <v>-0.14760000000000001</v>
      </c>
      <c r="R17" s="68">
        <v>1.5910466805250219E-2</v>
      </c>
      <c r="S17" s="20" t="s">
        <v>167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22.66</v>
      </c>
      <c r="O18" s="102">
        <v>471718.75</v>
      </c>
      <c r="P18" s="55">
        <f t="shared" si="0"/>
        <v>-81663.439999999944</v>
      </c>
      <c r="Q18" s="49">
        <v>-0.14760000000000001</v>
      </c>
      <c r="R18" s="68">
        <v>1.5904361216331681E-2</v>
      </c>
      <c r="S18" s="20" t="s">
        <v>167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17</v>
      </c>
      <c r="F19" s="20">
        <v>0</v>
      </c>
      <c r="G19" s="20">
        <v>0</v>
      </c>
      <c r="H19" s="20">
        <v>0</v>
      </c>
      <c r="I19" s="34">
        <v>1975</v>
      </c>
      <c r="J19" s="88">
        <v>199.02876499999999</v>
      </c>
      <c r="K19" s="52">
        <v>393081.81</v>
      </c>
      <c r="L19" s="88">
        <v>199.23655099999999</v>
      </c>
      <c r="M19" s="52">
        <v>393492.19</v>
      </c>
      <c r="N19" s="89">
        <v>170.31</v>
      </c>
      <c r="O19" s="102">
        <v>336011.09</v>
      </c>
      <c r="P19" s="55">
        <f t="shared" si="0"/>
        <v>-57481.099999999977</v>
      </c>
      <c r="Q19" s="49">
        <v>-0.14610000000000001</v>
      </c>
      <c r="R19" s="68">
        <v>1.1328872867685108E-2</v>
      </c>
      <c r="S19" s="20" t="s">
        <v>167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17</v>
      </c>
      <c r="F20" s="20">
        <v>0</v>
      </c>
      <c r="G20" s="20">
        <v>0</v>
      </c>
      <c r="H20" s="20">
        <v>0</v>
      </c>
      <c r="I20" s="34">
        <v>1875</v>
      </c>
      <c r="J20" s="88">
        <v>199.02876499999999</v>
      </c>
      <c r="K20" s="52">
        <v>373178.93</v>
      </c>
      <c r="L20" s="88">
        <v>199.23655099999999</v>
      </c>
      <c r="M20" s="52">
        <v>373568.53</v>
      </c>
      <c r="N20" s="89">
        <v>170.31</v>
      </c>
      <c r="O20" s="102">
        <v>318997.87</v>
      </c>
      <c r="P20" s="55">
        <f t="shared" si="0"/>
        <v>-54570.660000000033</v>
      </c>
      <c r="Q20" s="49">
        <v>-0.14610000000000001</v>
      </c>
      <c r="R20" s="68">
        <v>1.0755259043064147E-2</v>
      </c>
      <c r="S20" s="20" t="s">
        <v>167</v>
      </c>
    </row>
    <row r="21" spans="1:19" x14ac:dyDescent="0.25">
      <c r="A21" s="66" t="s">
        <v>82</v>
      </c>
      <c r="B21" s="44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8.81</v>
      </c>
      <c r="O21" s="102">
        <v>220900.14</v>
      </c>
      <c r="P21" s="55">
        <f t="shared" si="0"/>
        <v>-22194.789999999979</v>
      </c>
      <c r="Q21" s="49">
        <v>-9.1300000000000006E-2</v>
      </c>
      <c r="R21" s="68">
        <v>7.4478184708541674E-3</v>
      </c>
      <c r="S21" s="20" t="s">
        <v>167</v>
      </c>
    </row>
    <row r="22" spans="1:19" x14ac:dyDescent="0.25">
      <c r="A22" s="66" t="s">
        <v>82</v>
      </c>
      <c r="B22" s="44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8.81</v>
      </c>
      <c r="O22" s="102">
        <v>182176.6</v>
      </c>
      <c r="P22" s="55">
        <f t="shared" si="0"/>
        <v>-18304.079999999987</v>
      </c>
      <c r="Q22" s="49">
        <v>-9.1300000000000006E-2</v>
      </c>
      <c r="R22" s="68">
        <v>6.1422244749931403E-3</v>
      </c>
      <c r="S22" s="20" t="s">
        <v>167</v>
      </c>
    </row>
    <row r="23" spans="1:19" x14ac:dyDescent="0.25">
      <c r="A23" s="66" t="s">
        <v>82</v>
      </c>
      <c r="B23" s="44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26.87</v>
      </c>
      <c r="O23" s="102">
        <v>519069.59</v>
      </c>
      <c r="P23" s="56">
        <f t="shared" si="0"/>
        <v>10944.400000000023</v>
      </c>
      <c r="Q23" s="50">
        <v>2.1499999999999998E-2</v>
      </c>
      <c r="R23" s="68">
        <v>1.750083128087062E-2</v>
      </c>
      <c r="S23" s="20" t="s">
        <v>167</v>
      </c>
    </row>
    <row r="24" spans="1:19" x14ac:dyDescent="0.25">
      <c r="A24" s="66" t="s">
        <v>82</v>
      </c>
      <c r="B24" s="44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26.87</v>
      </c>
      <c r="O24" s="102">
        <v>356944.22</v>
      </c>
      <c r="P24" s="56">
        <f t="shared" si="0"/>
        <v>7526.039999999979</v>
      </c>
      <c r="Q24" s="50">
        <v>2.1499999999999998E-2</v>
      </c>
      <c r="R24" s="68">
        <v>1.2034649479084229E-2</v>
      </c>
      <c r="S24" s="20" t="s">
        <v>167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168.12</v>
      </c>
      <c r="O25" s="102">
        <v>87331.13</v>
      </c>
      <c r="P25" s="56">
        <f t="shared" si="0"/>
        <v>1158.2100000000064</v>
      </c>
      <c r="Q25" s="50">
        <v>1.34E-2</v>
      </c>
      <c r="R25" s="68">
        <v>2.9444363552443491E-3</v>
      </c>
      <c r="S25" s="20" t="s">
        <v>167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168.12</v>
      </c>
      <c r="O26" s="102">
        <v>104125.58</v>
      </c>
      <c r="P26" s="56">
        <f t="shared" si="0"/>
        <v>1380.9499999999971</v>
      </c>
      <c r="Q26" s="50">
        <v>1.34E-2</v>
      </c>
      <c r="R26" s="68">
        <v>3.5106741807062829E-3</v>
      </c>
      <c r="S26" s="20" t="s">
        <v>167</v>
      </c>
    </row>
    <row r="27" spans="1:19" x14ac:dyDescent="0.25">
      <c r="A27" s="66" t="s">
        <v>139</v>
      </c>
      <c r="B27" s="44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148</v>
      </c>
      <c r="J27" s="88">
        <v>1532.5758619999999</v>
      </c>
      <c r="K27" s="52">
        <v>226821.23</v>
      </c>
      <c r="L27" s="88">
        <v>1534.1758709999999</v>
      </c>
      <c r="M27" s="52">
        <v>227058.03</v>
      </c>
      <c r="N27" s="89">
        <v>1510.8465940000001</v>
      </c>
      <c r="O27" s="102">
        <v>223371.85</v>
      </c>
      <c r="P27" s="55">
        <f t="shared" si="0"/>
        <v>-3686.179999999993</v>
      </c>
      <c r="Q27" s="49">
        <v>-1.6199999999999999E-2</v>
      </c>
      <c r="R27" s="68">
        <v>7.5311540784848132E-3</v>
      </c>
      <c r="S27" s="20" t="s">
        <v>168</v>
      </c>
    </row>
    <row r="28" spans="1:19" x14ac:dyDescent="0.25">
      <c r="A28" s="66" t="s">
        <v>139</v>
      </c>
      <c r="B28" s="44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142</v>
      </c>
      <c r="J28" s="88">
        <v>1532.5758619999999</v>
      </c>
      <c r="K28" s="52">
        <v>217625.77</v>
      </c>
      <c r="L28" s="88">
        <v>1534.1758709999999</v>
      </c>
      <c r="M28" s="52">
        <v>217852.97</v>
      </c>
      <c r="N28" s="89">
        <v>1510.8465940000001</v>
      </c>
      <c r="O28" s="102">
        <v>214316.24</v>
      </c>
      <c r="P28" s="55">
        <f t="shared" si="0"/>
        <v>-3536.7300000000105</v>
      </c>
      <c r="Q28" s="49">
        <v>-1.6199999999999999E-2</v>
      </c>
      <c r="R28" s="68">
        <v>7.2258372080525367E-3</v>
      </c>
      <c r="S28" s="20" t="s">
        <v>168</v>
      </c>
    </row>
    <row r="29" spans="1:19" x14ac:dyDescent="0.25">
      <c r="A29" s="66" t="s">
        <v>82</v>
      </c>
      <c r="B29" s="44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497.25</v>
      </c>
      <c r="O29" s="102">
        <v>496730.87</v>
      </c>
      <c r="P29" s="56">
        <f t="shared" si="0"/>
        <v>263495.25</v>
      </c>
      <c r="Q29" s="50">
        <v>1.1296999999999999</v>
      </c>
      <c r="R29" s="68">
        <v>1.6747664119314092E-2</v>
      </c>
      <c r="S29" s="20" t="s">
        <v>167</v>
      </c>
    </row>
    <row r="30" spans="1:19" x14ac:dyDescent="0.25">
      <c r="A30" s="66" t="s">
        <v>139</v>
      </c>
      <c r="B30" s="44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437.765827</v>
      </c>
      <c r="O30" s="102">
        <v>546636</v>
      </c>
      <c r="P30" s="55">
        <f t="shared" si="0"/>
        <v>-17733.589999999967</v>
      </c>
      <c r="Q30" s="49">
        <v>-3.1399999999999997E-2</v>
      </c>
      <c r="R30" s="68">
        <v>1.8430254039829209E-2</v>
      </c>
      <c r="S30" s="20" t="s">
        <v>168</v>
      </c>
    </row>
    <row r="31" spans="1:19" x14ac:dyDescent="0.25">
      <c r="A31" s="66" t="s">
        <v>139</v>
      </c>
      <c r="B31" s="44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437.765827</v>
      </c>
      <c r="O31" s="102">
        <v>546636</v>
      </c>
      <c r="P31" s="55">
        <f t="shared" si="0"/>
        <v>-17733.589999999967</v>
      </c>
      <c r="Q31" s="49">
        <v>-3.1399999999999997E-2</v>
      </c>
      <c r="R31" s="68">
        <v>1.8430254039829209E-2</v>
      </c>
      <c r="S31" s="20" t="s">
        <v>168</v>
      </c>
    </row>
    <row r="32" spans="1:19" x14ac:dyDescent="0.25">
      <c r="A32" s="66" t="s">
        <v>139</v>
      </c>
      <c r="B32" s="44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2075.2994829999998</v>
      </c>
      <c r="O32" s="102">
        <v>5493802.0999999996</v>
      </c>
      <c r="P32" s="55">
        <f t="shared" si="0"/>
        <v>-202317.81000000052</v>
      </c>
      <c r="Q32" s="49">
        <v>-3.5499999999999997E-2</v>
      </c>
      <c r="R32" s="68">
        <v>0.18522777194979326</v>
      </c>
      <c r="S32" s="20" t="s">
        <v>168</v>
      </c>
    </row>
    <row r="33" spans="1:19" x14ac:dyDescent="0.25">
      <c r="A33" s="66" t="s">
        <v>139</v>
      </c>
      <c r="B33" s="44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2075.2994829999998</v>
      </c>
      <c r="O33" s="102">
        <v>6768778.8200000003</v>
      </c>
      <c r="P33" s="55">
        <f t="shared" si="0"/>
        <v>-249270.81999999937</v>
      </c>
      <c r="Q33" s="49">
        <v>-3.5499999999999997E-2</v>
      </c>
      <c r="R33" s="68">
        <v>0.2282145947065605</v>
      </c>
      <c r="S33" s="20" t="s">
        <v>168</v>
      </c>
    </row>
    <row r="34" spans="1:19" x14ac:dyDescent="0.25">
      <c r="A34" s="66" t="s">
        <v>139</v>
      </c>
      <c r="B34" s="44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1551.070676</v>
      </c>
      <c r="O34" s="102">
        <v>5108541.12</v>
      </c>
      <c r="P34" s="56">
        <f t="shared" si="0"/>
        <v>536828.02000000048</v>
      </c>
      <c r="Q34" s="50">
        <v>0.1174</v>
      </c>
      <c r="R34" s="68">
        <v>0.17223840108319546</v>
      </c>
      <c r="S34" s="20" t="s">
        <v>168</v>
      </c>
    </row>
    <row r="35" spans="1:19" x14ac:dyDescent="0.25">
      <c r="A35" s="66" t="s">
        <v>139</v>
      </c>
      <c r="B35" s="44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1551.070676</v>
      </c>
      <c r="O35" s="102">
        <v>816560.86</v>
      </c>
      <c r="P35" s="56">
        <f t="shared" si="0"/>
        <v>85807.809999999939</v>
      </c>
      <c r="Q35" s="50">
        <v>0.1174</v>
      </c>
      <c r="R35" s="68">
        <v>2.7530978729504486E-2</v>
      </c>
      <c r="S35" s="20" t="s">
        <v>168</v>
      </c>
    </row>
    <row r="36" spans="1:19" x14ac:dyDescent="0.25">
      <c r="A36" s="66" t="s">
        <v>139</v>
      </c>
      <c r="B36" s="44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35</v>
      </c>
      <c r="J36" s="88">
        <v>2405</v>
      </c>
      <c r="K36" s="52">
        <v>84175</v>
      </c>
      <c r="L36" s="88">
        <v>2407.51082</v>
      </c>
      <c r="M36" s="52">
        <v>84262.88</v>
      </c>
      <c r="N36" s="89">
        <v>3078.6459770000001</v>
      </c>
      <c r="O36" s="102">
        <v>107640.12</v>
      </c>
      <c r="P36" s="56">
        <f t="shared" si="0"/>
        <v>23377.239999999991</v>
      </c>
      <c r="Q36" s="50">
        <v>0.27739999999999998</v>
      </c>
      <c r="R36" s="68">
        <v>3.6291696055102498E-3</v>
      </c>
      <c r="S36" s="20" t="s">
        <v>168</v>
      </c>
    </row>
    <row r="37" spans="1:19" x14ac:dyDescent="0.25">
      <c r="A37" s="66" t="s">
        <v>139</v>
      </c>
      <c r="B37" s="44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35</v>
      </c>
      <c r="J37" s="88">
        <v>2405</v>
      </c>
      <c r="K37" s="52">
        <v>84175</v>
      </c>
      <c r="L37" s="88">
        <v>2407.51082</v>
      </c>
      <c r="M37" s="52">
        <v>84262.88</v>
      </c>
      <c r="N37" s="89">
        <v>3078.6459770000001</v>
      </c>
      <c r="O37" s="102">
        <v>107640.12</v>
      </c>
      <c r="P37" s="56">
        <f t="shared" si="0"/>
        <v>23377.239999999991</v>
      </c>
      <c r="Q37" s="50">
        <v>0.27739999999999998</v>
      </c>
      <c r="R37" s="68">
        <v>3.6291696055102498E-3</v>
      </c>
      <c r="S37" s="20" t="s">
        <v>168</v>
      </c>
    </row>
    <row r="38" spans="1:19" x14ac:dyDescent="0.25">
      <c r="A38" s="66" t="s">
        <v>139</v>
      </c>
      <c r="B38" s="44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532</v>
      </c>
      <c r="J38" s="88">
        <v>454.93459899999999</v>
      </c>
      <c r="K38" s="52">
        <v>242025.21</v>
      </c>
      <c r="L38" s="88">
        <v>455.40955100000002</v>
      </c>
      <c r="M38" s="52">
        <v>242277.88</v>
      </c>
      <c r="N38" s="89">
        <v>445.47230999999999</v>
      </c>
      <c r="O38" s="102">
        <v>236743.85</v>
      </c>
      <c r="P38" s="55">
        <f t="shared" si="0"/>
        <v>-5534.0299999999988</v>
      </c>
      <c r="Q38" s="49">
        <v>-2.2800000000000001E-2</v>
      </c>
      <c r="R38" s="68">
        <v>7.9820013644678004E-3</v>
      </c>
      <c r="S38" s="20" t="s">
        <v>168</v>
      </c>
    </row>
    <row r="39" spans="1:19" x14ac:dyDescent="0.25">
      <c r="A39" s="66" t="s">
        <v>139</v>
      </c>
      <c r="B39" s="44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442</v>
      </c>
      <c r="J39" s="88">
        <v>454.93459899999999</v>
      </c>
      <c r="K39" s="52">
        <v>201081.09</v>
      </c>
      <c r="L39" s="88">
        <v>455.40955100000002</v>
      </c>
      <c r="M39" s="52">
        <v>201291.02</v>
      </c>
      <c r="N39" s="89">
        <v>445.47230999999999</v>
      </c>
      <c r="O39" s="102">
        <v>196693.2</v>
      </c>
      <c r="P39" s="55">
        <f t="shared" si="0"/>
        <v>-4597.8199999999779</v>
      </c>
      <c r="Q39" s="49">
        <v>-2.2800000000000001E-2</v>
      </c>
      <c r="R39" s="68">
        <v>6.6316628321349764E-3</v>
      </c>
      <c r="S39" s="20" t="s">
        <v>168</v>
      </c>
    </row>
    <row r="40" spans="1:19" x14ac:dyDescent="0.25">
      <c r="A40" s="66" t="s">
        <v>139</v>
      </c>
      <c r="B40" s="44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515.20658300000002</v>
      </c>
      <c r="O40" s="102">
        <v>283067.78999999998</v>
      </c>
      <c r="P40" s="56">
        <f t="shared" si="0"/>
        <v>126225.21999999997</v>
      </c>
      <c r="Q40" s="50">
        <v>0.80479999999999996</v>
      </c>
      <c r="R40" s="68">
        <v>9.5438487040608849E-3</v>
      </c>
      <c r="S40" s="20" t="s">
        <v>168</v>
      </c>
    </row>
    <row r="41" spans="1:19" x14ac:dyDescent="0.25">
      <c r="A41" s="66" t="s">
        <v>139</v>
      </c>
      <c r="B41" s="44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515.20658300000002</v>
      </c>
      <c r="O41" s="102">
        <v>283067.78999999998</v>
      </c>
      <c r="P41" s="56">
        <f t="shared" si="0"/>
        <v>126225.21999999997</v>
      </c>
      <c r="Q41" s="50">
        <v>0.80479999999999996</v>
      </c>
      <c r="R41" s="68">
        <v>9.5438487040608849E-3</v>
      </c>
      <c r="S41" s="20" t="s">
        <v>168</v>
      </c>
    </row>
    <row r="42" spans="1:19" x14ac:dyDescent="0.25">
      <c r="A42" s="66" t="s">
        <v>139</v>
      </c>
      <c r="B42" s="44" t="s">
        <v>85</v>
      </c>
      <c r="C42" s="44" t="s">
        <v>136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25</v>
      </c>
      <c r="J42" s="88">
        <v>2480.5</v>
      </c>
      <c r="K42" s="52">
        <v>62012.5</v>
      </c>
      <c r="L42" s="88">
        <v>2483.0896419999999</v>
      </c>
      <c r="M42" s="52">
        <v>62077.24</v>
      </c>
      <c r="N42" s="89">
        <v>1619.489208</v>
      </c>
      <c r="O42" s="102">
        <v>40444.959999999999</v>
      </c>
      <c r="P42" s="55">
        <f t="shared" si="0"/>
        <v>-21632.28</v>
      </c>
      <c r="Q42" s="49">
        <v>-0.34849999999999998</v>
      </c>
      <c r="R42" s="68">
        <v>1.3636329978829254E-3</v>
      </c>
      <c r="S42" s="20" t="s">
        <v>168</v>
      </c>
    </row>
    <row r="43" spans="1:19" x14ac:dyDescent="0.25">
      <c r="A43" s="66" t="s">
        <v>82</v>
      </c>
      <c r="B43" s="4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53.08</v>
      </c>
      <c r="O43" s="102">
        <v>583270.43000000005</v>
      </c>
      <c r="P43" s="56">
        <f t="shared" si="0"/>
        <v>2150.9700000000885</v>
      </c>
      <c r="Q43" s="50">
        <v>3.7000000000000002E-3</v>
      </c>
      <c r="R43" s="68">
        <v>1.9665412081934636E-2</v>
      </c>
      <c r="S43" s="20" t="s">
        <v>167</v>
      </c>
    </row>
    <row r="44" spans="1:19" x14ac:dyDescent="0.25">
      <c r="A44" s="66" t="s">
        <v>82</v>
      </c>
      <c r="B44" s="4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53.08</v>
      </c>
      <c r="O44" s="102">
        <v>371172.09</v>
      </c>
      <c r="P44" s="56">
        <f t="shared" si="0"/>
        <v>1368.8000000000466</v>
      </c>
      <c r="Q44" s="50">
        <v>3.7000000000000002E-3</v>
      </c>
      <c r="R44" s="68">
        <v>1.2514353081747913E-2</v>
      </c>
      <c r="S44" s="20" t="s">
        <v>167</v>
      </c>
    </row>
    <row r="45" spans="1:19" x14ac:dyDescent="0.25">
      <c r="A45" s="98"/>
      <c r="B45" s="24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26280875.289999999</v>
      </c>
      <c r="L45" s="24"/>
      <c r="M45" s="39">
        <v>26308312.530000001</v>
      </c>
      <c r="N45" s="24"/>
      <c r="O45" s="39">
        <v>26745283.030000001</v>
      </c>
      <c r="P45" s="90">
        <v>436970.5</v>
      </c>
      <c r="Q45" s="91">
        <v>1.66E-2</v>
      </c>
      <c r="R45" s="99">
        <v>0.90173783031127319</v>
      </c>
      <c r="S45" s="74"/>
    </row>
    <row r="46" spans="1:19" x14ac:dyDescent="0.25">
      <c r="A46" s="100"/>
      <c r="B46" s="21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1"/>
      <c r="S46" s="72"/>
    </row>
    <row r="47" spans="1:19" x14ac:dyDescent="0.25">
      <c r="A47" s="66" t="s">
        <v>63</v>
      </c>
      <c r="B47" s="44" t="s">
        <v>85</v>
      </c>
      <c r="C47" s="44" t="s">
        <v>140</v>
      </c>
      <c r="D47" s="44">
        <v>280907</v>
      </c>
      <c r="E47" s="44" t="s">
        <v>21</v>
      </c>
      <c r="F47" s="20">
        <v>1</v>
      </c>
      <c r="G47" s="20">
        <v>7.45</v>
      </c>
      <c r="H47" s="20">
        <v>1</v>
      </c>
      <c r="I47" s="34">
        <v>17120</v>
      </c>
      <c r="J47" s="88">
        <v>100.96783000000001</v>
      </c>
      <c r="K47" s="52">
        <v>1728569.26</v>
      </c>
      <c r="L47" s="88">
        <v>100.967831</v>
      </c>
      <c r="M47" s="52">
        <v>1728569.26</v>
      </c>
      <c r="N47" s="89">
        <v>100.967831</v>
      </c>
      <c r="O47" s="102">
        <v>1728569.26</v>
      </c>
      <c r="P47" s="55">
        <v>0</v>
      </c>
      <c r="Q47" s="35"/>
      <c r="R47" s="68">
        <v>5.8280044832831335E-2</v>
      </c>
      <c r="S47" s="20"/>
    </row>
    <row r="48" spans="1:19" x14ac:dyDescent="0.25">
      <c r="A48" s="66" t="s">
        <v>63</v>
      </c>
      <c r="B48" s="44" t="s">
        <v>86</v>
      </c>
      <c r="C48" s="44" t="s">
        <v>140</v>
      </c>
      <c r="D48" s="44">
        <v>280907</v>
      </c>
      <c r="E48" s="44" t="s">
        <v>21</v>
      </c>
      <c r="F48" s="20">
        <v>1</v>
      </c>
      <c r="G48" s="20">
        <v>7.45</v>
      </c>
      <c r="H48" s="20">
        <v>1</v>
      </c>
      <c r="I48" s="34">
        <v>599</v>
      </c>
      <c r="J48" s="88">
        <v>100.96783000000001</v>
      </c>
      <c r="K48" s="52">
        <v>60479.73</v>
      </c>
      <c r="L48" s="88">
        <v>100.967831</v>
      </c>
      <c r="M48" s="52">
        <v>60479.73</v>
      </c>
      <c r="N48" s="89">
        <v>100.967831</v>
      </c>
      <c r="O48" s="102">
        <v>60479.73</v>
      </c>
      <c r="P48" s="55">
        <v>0</v>
      </c>
      <c r="Q48" s="35"/>
      <c r="R48" s="68">
        <v>2.0391207095037281E-3</v>
      </c>
      <c r="S48" s="20"/>
    </row>
    <row r="49" spans="1:19" x14ac:dyDescent="0.25">
      <c r="A49" s="66" t="s">
        <v>63</v>
      </c>
      <c r="B49" s="44" t="s">
        <v>121</v>
      </c>
      <c r="C49" s="44" t="s">
        <v>140</v>
      </c>
      <c r="D49" s="44">
        <v>280907</v>
      </c>
      <c r="E49" s="44" t="s">
        <v>21</v>
      </c>
      <c r="F49" s="20">
        <v>1</v>
      </c>
      <c r="G49" s="20">
        <v>7.45</v>
      </c>
      <c r="H49" s="20">
        <v>1</v>
      </c>
      <c r="I49" s="34">
        <v>11145</v>
      </c>
      <c r="J49" s="88">
        <v>100.96783000000001</v>
      </c>
      <c r="K49" s="52">
        <v>1125286.48</v>
      </c>
      <c r="L49" s="88">
        <v>100.967831</v>
      </c>
      <c r="M49" s="52">
        <v>1125286.48</v>
      </c>
      <c r="N49" s="89">
        <v>100.967831</v>
      </c>
      <c r="O49" s="102">
        <v>1125286.48</v>
      </c>
      <c r="P49" s="55">
        <v>0</v>
      </c>
      <c r="Q49" s="35"/>
      <c r="R49" s="68">
        <v>3.7939900946855294E-2</v>
      </c>
      <c r="S49" s="20"/>
    </row>
    <row r="50" spans="1:19" x14ac:dyDescent="0.25">
      <c r="A50" s="98"/>
      <c r="B50" s="24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2914335.47</v>
      </c>
      <c r="L50" s="24"/>
      <c r="M50" s="39">
        <v>2914335.47</v>
      </c>
      <c r="N50" s="24"/>
      <c r="O50" s="39">
        <v>2914335.47</v>
      </c>
      <c r="P50" s="75">
        <v>0</v>
      </c>
      <c r="Q50" s="26"/>
      <c r="R50" s="99">
        <v>9.8258999999999999E-2</v>
      </c>
      <c r="S50" s="20"/>
    </row>
    <row r="51" spans="1:19" x14ac:dyDescent="0.25">
      <c r="A51" s="105"/>
      <c r="B51" s="106"/>
      <c r="C51" s="106"/>
      <c r="D51" s="106"/>
      <c r="E51" s="106"/>
      <c r="F51" s="107"/>
      <c r="G51" s="107"/>
      <c r="H51" s="107"/>
      <c r="I51" s="107"/>
      <c r="J51" s="106"/>
      <c r="K51" s="106"/>
      <c r="L51" s="106"/>
      <c r="M51" s="106"/>
      <c r="N51" s="106"/>
      <c r="O51" s="106"/>
      <c r="P51" s="108"/>
      <c r="Q51" s="108"/>
      <c r="R51" s="109"/>
    </row>
    <row r="52" spans="1:19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-15.62</v>
      </c>
      <c r="P52" s="23"/>
      <c r="Q52" s="23"/>
      <c r="R52" s="22"/>
    </row>
    <row r="53" spans="1:19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-35.71</v>
      </c>
      <c r="P53" s="23"/>
      <c r="Q53" s="23"/>
      <c r="R53" s="22"/>
    </row>
    <row r="54" spans="1:19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143.37</v>
      </c>
      <c r="P54" s="23"/>
      <c r="Q54" s="23"/>
      <c r="R54" s="22"/>
    </row>
    <row r="55" spans="1:19" x14ac:dyDescent="0.25">
      <c r="A55" s="21"/>
      <c r="B55" s="21"/>
      <c r="C55" s="21"/>
      <c r="D55" s="21"/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21"/>
      <c r="P55" s="23"/>
      <c r="Q55" s="23"/>
      <c r="R55" s="22"/>
    </row>
    <row r="56" spans="1:19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29659710.539999999</v>
      </c>
      <c r="P58" s="29"/>
      <c r="Q58" s="29"/>
      <c r="R58" s="28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92.04</v>
      </c>
      <c r="P60" s="23"/>
      <c r="Q60" s="23"/>
      <c r="R60" s="22"/>
    </row>
    <row r="61" spans="1:19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2914427.51</v>
      </c>
      <c r="P61" s="23"/>
      <c r="Q61" s="23"/>
      <c r="R61" s="22"/>
    </row>
    <row r="62" spans="1:19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0066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600075</xdr:colOff>
                    <xdr:row>1</xdr:row>
                    <xdr:rowOff>38100</xdr:rowOff>
                  </from>
                  <to>
                    <xdr:col>20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67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600075</xdr:colOff>
                    <xdr:row>3</xdr:row>
                    <xdr:rowOff>171450</xdr:rowOff>
                  </from>
                  <to>
                    <xdr:col>20</xdr:col>
                    <xdr:colOff>342900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68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600075</xdr:colOff>
                    <xdr:row>1</xdr:row>
                    <xdr:rowOff>38100</xdr:rowOff>
                  </from>
                  <to>
                    <xdr:col>20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81C-D294-4D0F-8CA4-9FAC7481D7AC}">
  <dimension ref="A1:R212"/>
  <sheetViews>
    <sheetView topLeftCell="A155" workbookViewId="0">
      <selection activeCell="I172" sqref="I172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9" bestFit="1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R3" s="65"/>
    </row>
    <row r="4" spans="1:18" x14ac:dyDescent="0.25">
      <c r="A4" s="69" t="s">
        <v>12</v>
      </c>
      <c r="B4" s="37"/>
      <c r="C4" s="36">
        <v>105433</v>
      </c>
      <c r="D4" s="37" t="s">
        <v>13</v>
      </c>
      <c r="F4" s="38" t="s">
        <v>123</v>
      </c>
      <c r="K4" s="37" t="s">
        <v>118</v>
      </c>
      <c r="L4" t="s">
        <v>157</v>
      </c>
      <c r="R4" s="65"/>
    </row>
    <row r="5" spans="1:18" x14ac:dyDescent="0.25">
      <c r="A5" s="69" t="s">
        <v>14</v>
      </c>
      <c r="B5" s="37"/>
      <c r="C5" s="36" t="s">
        <v>15</v>
      </c>
      <c r="D5" s="37" t="s">
        <v>16</v>
      </c>
      <c r="F5" s="38" t="s">
        <v>143</v>
      </c>
      <c r="R5" s="65"/>
    </row>
    <row r="6" spans="1:18" x14ac:dyDescent="0.25">
      <c r="A6" s="64"/>
      <c r="R6" s="65"/>
    </row>
    <row r="7" spans="1:18" x14ac:dyDescent="0.25">
      <c r="A7" s="17" t="s">
        <v>64</v>
      </c>
      <c r="B7" s="18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8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44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61"/>
      <c r="L9" s="44"/>
      <c r="M9" s="44"/>
      <c r="N9" s="44"/>
      <c r="O9" s="59"/>
      <c r="P9" s="44" t="s">
        <v>21</v>
      </c>
      <c r="Q9" s="44">
        <v>0</v>
      </c>
      <c r="R9" s="70">
        <v>-15.62</v>
      </c>
    </row>
    <row r="10" spans="1:18" x14ac:dyDescent="0.25">
      <c r="A10" s="66" t="s">
        <v>80</v>
      </c>
      <c r="B10" s="44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61"/>
      <c r="L10" s="44"/>
      <c r="M10" s="44"/>
      <c r="N10" s="44"/>
      <c r="O10" s="59"/>
      <c r="P10" s="44" t="s">
        <v>21</v>
      </c>
      <c r="Q10" s="44">
        <v>0</v>
      </c>
      <c r="R10" s="70">
        <v>-35.71</v>
      </c>
    </row>
    <row r="11" spans="1:18" x14ac:dyDescent="0.25">
      <c r="A11" s="66" t="s">
        <v>80</v>
      </c>
      <c r="B11" s="44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61"/>
      <c r="L11" s="44"/>
      <c r="M11" s="44"/>
      <c r="N11" s="44"/>
      <c r="O11" s="59"/>
      <c r="P11" s="44" t="s">
        <v>21</v>
      </c>
      <c r="Q11" s="44">
        <v>0</v>
      </c>
      <c r="R11" s="70">
        <v>143.37</v>
      </c>
    </row>
    <row r="12" spans="1:18" x14ac:dyDescent="0.25">
      <c r="A12" s="66" t="s">
        <v>82</v>
      </c>
      <c r="B12" s="44" t="s">
        <v>85</v>
      </c>
      <c r="C12" s="60">
        <v>45869</v>
      </c>
      <c r="D12" s="60">
        <v>45870</v>
      </c>
      <c r="E12" s="44">
        <v>541604</v>
      </c>
      <c r="F12" s="44" t="s">
        <v>83</v>
      </c>
      <c r="G12" s="44" t="s">
        <v>140</v>
      </c>
      <c r="H12" s="44">
        <v>280907</v>
      </c>
      <c r="I12" s="44">
        <v>1</v>
      </c>
      <c r="J12" s="44">
        <v>357.71452328159637</v>
      </c>
      <c r="K12" s="61">
        <v>100.988725</v>
      </c>
      <c r="L12" s="44">
        <v>17120</v>
      </c>
      <c r="M12" s="52">
        <v>1728926.9788802711</v>
      </c>
      <c r="N12" s="44"/>
      <c r="O12" s="59"/>
      <c r="P12" s="44" t="s">
        <v>81</v>
      </c>
      <c r="Q12" s="52">
        <v>1728926.9788802711</v>
      </c>
      <c r="R12" s="71">
        <v>1728911.3600000001</v>
      </c>
    </row>
    <row r="13" spans="1:18" x14ac:dyDescent="0.25">
      <c r="A13" s="66" t="s">
        <v>82</v>
      </c>
      <c r="B13" s="44" t="s">
        <v>86</v>
      </c>
      <c r="C13" s="60">
        <v>45869</v>
      </c>
      <c r="D13" s="60">
        <v>45870</v>
      </c>
      <c r="E13" s="44">
        <v>541604</v>
      </c>
      <c r="F13" s="44" t="s">
        <v>83</v>
      </c>
      <c r="G13" s="44" t="s">
        <v>140</v>
      </c>
      <c r="H13" s="44">
        <v>280907</v>
      </c>
      <c r="I13" s="44">
        <v>1</v>
      </c>
      <c r="J13" s="44">
        <v>12.51582940687361</v>
      </c>
      <c r="K13" s="61">
        <v>100.988725</v>
      </c>
      <c r="L13" s="44">
        <v>599</v>
      </c>
      <c r="M13" s="52">
        <v>60492.246515729115</v>
      </c>
      <c r="N13" s="44"/>
      <c r="O13" s="59"/>
      <c r="P13" s="44" t="s">
        <v>81</v>
      </c>
      <c r="Q13" s="52">
        <v>60492.246515729115</v>
      </c>
      <c r="R13" s="71">
        <v>60456.54</v>
      </c>
    </row>
    <row r="14" spans="1:18" x14ac:dyDescent="0.25">
      <c r="A14" s="66" t="s">
        <v>82</v>
      </c>
      <c r="B14" s="44" t="s">
        <v>121</v>
      </c>
      <c r="C14" s="60">
        <v>45869</v>
      </c>
      <c r="D14" s="60">
        <v>45870</v>
      </c>
      <c r="E14" s="44">
        <v>541604</v>
      </c>
      <c r="F14" s="44" t="s">
        <v>83</v>
      </c>
      <c r="G14" s="44" t="s">
        <v>140</v>
      </c>
      <c r="H14" s="44">
        <v>280907</v>
      </c>
      <c r="I14" s="44">
        <v>1</v>
      </c>
      <c r="J14" s="44">
        <v>232.86964731152989</v>
      </c>
      <c r="K14" s="61">
        <v>100.988725</v>
      </c>
      <c r="L14" s="44">
        <v>11145</v>
      </c>
      <c r="M14" s="52">
        <v>1125519.3446040084</v>
      </c>
      <c r="N14" s="44"/>
      <c r="O14" s="59"/>
      <c r="P14" s="44" t="s">
        <v>81</v>
      </c>
      <c r="Q14" s="52">
        <v>1125519.3446040084</v>
      </c>
      <c r="R14" s="71">
        <v>1125662.71</v>
      </c>
    </row>
    <row r="15" spans="1:18" x14ac:dyDescent="0.25">
      <c r="A15" s="66" t="s">
        <v>80</v>
      </c>
      <c r="B15" s="44" t="s">
        <v>85</v>
      </c>
      <c r="C15" s="60">
        <v>45870</v>
      </c>
      <c r="D15" s="60">
        <v>45870</v>
      </c>
      <c r="E15" s="44">
        <v>541884</v>
      </c>
      <c r="F15" s="44" t="s">
        <v>153</v>
      </c>
      <c r="G15" s="44" t="s">
        <v>154</v>
      </c>
      <c r="H15" s="44" t="s">
        <v>154</v>
      </c>
      <c r="I15" s="44"/>
      <c r="J15" s="44"/>
      <c r="K15" s="61"/>
      <c r="L15" s="44"/>
      <c r="M15" s="52">
        <v>22138.23</v>
      </c>
      <c r="N15" s="44"/>
      <c r="O15" s="59">
        <v>3542.12</v>
      </c>
      <c r="P15" s="44" t="s">
        <v>125</v>
      </c>
      <c r="Q15" s="52">
        <v>25680.35</v>
      </c>
      <c r="R15" s="71">
        <v>1703231.01</v>
      </c>
    </row>
    <row r="16" spans="1:18" x14ac:dyDescent="0.25">
      <c r="A16" s="66" t="s">
        <v>80</v>
      </c>
      <c r="B16" s="44" t="s">
        <v>86</v>
      </c>
      <c r="C16" s="60">
        <v>45870</v>
      </c>
      <c r="D16" s="60">
        <v>45870</v>
      </c>
      <c r="E16" s="44">
        <v>541884</v>
      </c>
      <c r="F16" s="44" t="s">
        <v>153</v>
      </c>
      <c r="G16" s="44" t="s">
        <v>154</v>
      </c>
      <c r="H16" s="44" t="s">
        <v>154</v>
      </c>
      <c r="I16" s="44"/>
      <c r="J16" s="44"/>
      <c r="K16" s="61"/>
      <c r="L16" s="44"/>
      <c r="M16" s="52">
        <v>80.510000000000005</v>
      </c>
      <c r="N16" s="44"/>
      <c r="O16" s="59">
        <v>12.88</v>
      </c>
      <c r="P16" s="44" t="s">
        <v>125</v>
      </c>
      <c r="Q16" s="52">
        <v>93.39</v>
      </c>
      <c r="R16" s="71">
        <v>60363.15</v>
      </c>
    </row>
    <row r="17" spans="1:18" x14ac:dyDescent="0.25">
      <c r="A17" s="66" t="s">
        <v>80</v>
      </c>
      <c r="B17" s="44" t="s">
        <v>121</v>
      </c>
      <c r="C17" s="60">
        <v>45870</v>
      </c>
      <c r="D17" s="60">
        <v>45870</v>
      </c>
      <c r="E17" s="44">
        <v>541884</v>
      </c>
      <c r="F17" s="44" t="s">
        <v>153</v>
      </c>
      <c r="G17" s="44" t="s">
        <v>154</v>
      </c>
      <c r="H17" s="44" t="s">
        <v>154</v>
      </c>
      <c r="I17" s="44"/>
      <c r="J17" s="44"/>
      <c r="K17" s="61"/>
      <c r="L17" s="44"/>
      <c r="M17" s="52">
        <v>18226.379200000003</v>
      </c>
      <c r="N17" s="44"/>
      <c r="O17" s="59">
        <v>2916.22</v>
      </c>
      <c r="P17" s="44" t="s">
        <v>125</v>
      </c>
      <c r="Q17" s="52">
        <v>21142.6</v>
      </c>
      <c r="R17" s="71">
        <v>1104520.1100000001</v>
      </c>
    </row>
    <row r="18" spans="1:18" x14ac:dyDescent="0.25">
      <c r="A18" s="66" t="s">
        <v>82</v>
      </c>
      <c r="B18" s="44" t="s">
        <v>85</v>
      </c>
      <c r="C18" s="60">
        <v>45870</v>
      </c>
      <c r="D18" s="60">
        <v>45870</v>
      </c>
      <c r="E18" s="44">
        <v>543014</v>
      </c>
      <c r="F18" s="44" t="s">
        <v>124</v>
      </c>
      <c r="G18" s="44" t="s">
        <v>140</v>
      </c>
      <c r="H18" s="44">
        <v>280511</v>
      </c>
      <c r="I18" s="44">
        <v>3</v>
      </c>
      <c r="J18" s="44">
        <v>7.45</v>
      </c>
      <c r="K18" s="61">
        <v>101.73894900000001</v>
      </c>
      <c r="L18" s="44">
        <v>16741</v>
      </c>
      <c r="M18" s="52">
        <v>1703211.7438371757</v>
      </c>
      <c r="N18" s="44"/>
      <c r="O18" s="59"/>
      <c r="P18" s="44" t="s">
        <v>125</v>
      </c>
      <c r="Q18" s="52">
        <v>1703211.7438371757</v>
      </c>
      <c r="R18" s="70">
        <v>19.27</v>
      </c>
    </row>
    <row r="19" spans="1:18" x14ac:dyDescent="0.25">
      <c r="A19" s="66" t="s">
        <v>82</v>
      </c>
      <c r="B19" s="44" t="s">
        <v>86</v>
      </c>
      <c r="C19" s="60">
        <v>45870</v>
      </c>
      <c r="D19" s="60">
        <v>45870</v>
      </c>
      <c r="E19" s="44">
        <v>543014</v>
      </c>
      <c r="F19" s="44" t="s">
        <v>124</v>
      </c>
      <c r="G19" s="44" t="s">
        <v>140</v>
      </c>
      <c r="H19" s="44">
        <v>280511</v>
      </c>
      <c r="I19" s="44">
        <v>3</v>
      </c>
      <c r="J19" s="44">
        <v>7.45</v>
      </c>
      <c r="K19" s="61">
        <v>101.73894900000001</v>
      </c>
      <c r="L19" s="44">
        <v>593</v>
      </c>
      <c r="M19" s="52">
        <v>60331.196708407209</v>
      </c>
      <c r="N19" s="44"/>
      <c r="O19" s="59"/>
      <c r="P19" s="44" t="s">
        <v>125</v>
      </c>
      <c r="Q19" s="52">
        <v>60331.196708407209</v>
      </c>
      <c r="R19" s="70">
        <v>31.95</v>
      </c>
    </row>
    <row r="20" spans="1:18" x14ac:dyDescent="0.25">
      <c r="A20" s="66" t="s">
        <v>82</v>
      </c>
      <c r="B20" s="44" t="s">
        <v>121</v>
      </c>
      <c r="C20" s="60">
        <v>45870</v>
      </c>
      <c r="D20" s="60">
        <v>45870</v>
      </c>
      <c r="E20" s="44">
        <v>543014</v>
      </c>
      <c r="F20" s="44" t="s">
        <v>124</v>
      </c>
      <c r="G20" s="44" t="s">
        <v>140</v>
      </c>
      <c r="H20" s="44">
        <v>280511</v>
      </c>
      <c r="I20" s="44">
        <v>3</v>
      </c>
      <c r="J20" s="44">
        <v>7.45</v>
      </c>
      <c r="K20" s="61">
        <v>101.73894900000001</v>
      </c>
      <c r="L20" s="44">
        <v>10856</v>
      </c>
      <c r="M20" s="52">
        <v>1104478.0294544159</v>
      </c>
      <c r="N20" s="44"/>
      <c r="O20" s="59"/>
      <c r="P20" s="44" t="s">
        <v>125</v>
      </c>
      <c r="Q20" s="52">
        <v>1104478.0294544159</v>
      </c>
      <c r="R20" s="70">
        <v>42.08</v>
      </c>
    </row>
    <row r="21" spans="1:18" x14ac:dyDescent="0.25">
      <c r="A21" s="66" t="s">
        <v>82</v>
      </c>
      <c r="B21" s="44" t="s">
        <v>85</v>
      </c>
      <c r="C21" s="60">
        <v>45870</v>
      </c>
      <c r="D21" s="60">
        <v>45873</v>
      </c>
      <c r="E21" s="44">
        <v>543014</v>
      </c>
      <c r="F21" s="44" t="s">
        <v>83</v>
      </c>
      <c r="G21" s="44" t="s">
        <v>140</v>
      </c>
      <c r="H21" s="44">
        <v>280511</v>
      </c>
      <c r="I21" s="44">
        <v>3</v>
      </c>
      <c r="J21" s="52">
        <v>1057.4088315005317</v>
      </c>
      <c r="K21" s="61">
        <v>101.80211199999999</v>
      </c>
      <c r="L21" s="44">
        <v>16741</v>
      </c>
      <c r="M21" s="52">
        <v>1704269.1526686703</v>
      </c>
      <c r="N21" s="44"/>
      <c r="O21" s="59"/>
      <c r="P21" s="44" t="s">
        <v>81</v>
      </c>
      <c r="Q21" s="52">
        <v>1704269.1526686703</v>
      </c>
      <c r="R21" s="71">
        <v>1704288.42</v>
      </c>
    </row>
    <row r="22" spans="1:18" x14ac:dyDescent="0.25">
      <c r="A22" s="66" t="s">
        <v>82</v>
      </c>
      <c r="B22" s="44" t="s">
        <v>86</v>
      </c>
      <c r="C22" s="60">
        <v>45870</v>
      </c>
      <c r="D22" s="60">
        <v>45873</v>
      </c>
      <c r="E22" s="44">
        <v>543014</v>
      </c>
      <c r="F22" s="44" t="s">
        <v>83</v>
      </c>
      <c r="G22" s="44" t="s">
        <v>140</v>
      </c>
      <c r="H22" s="44">
        <v>280511</v>
      </c>
      <c r="I22" s="44">
        <v>3</v>
      </c>
      <c r="J22" s="52">
        <v>37.455554451933303</v>
      </c>
      <c r="K22" s="61">
        <v>101.80211199999999</v>
      </c>
      <c r="L22" s="44">
        <v>593</v>
      </c>
      <c r="M22" s="52">
        <v>60368.652262858937</v>
      </c>
      <c r="N22" s="44"/>
      <c r="O22" s="59"/>
      <c r="P22" s="44" t="s">
        <v>81</v>
      </c>
      <c r="Q22" s="52">
        <v>60368.652262858937</v>
      </c>
      <c r="R22" s="71">
        <v>60400.6</v>
      </c>
    </row>
    <row r="23" spans="1:18" x14ac:dyDescent="0.25">
      <c r="A23" s="66" t="s">
        <v>82</v>
      </c>
      <c r="B23" s="44" t="s">
        <v>121</v>
      </c>
      <c r="C23" s="60">
        <v>45870</v>
      </c>
      <c r="D23" s="60">
        <v>45873</v>
      </c>
      <c r="E23" s="44">
        <v>543014</v>
      </c>
      <c r="F23" s="44" t="s">
        <v>83</v>
      </c>
      <c r="G23" s="44" t="s">
        <v>140</v>
      </c>
      <c r="H23" s="44">
        <v>280511</v>
      </c>
      <c r="I23" s="44">
        <v>3</v>
      </c>
      <c r="J23" s="52">
        <v>685.69561404753438</v>
      </c>
      <c r="K23" s="61">
        <v>101.80211199999999</v>
      </c>
      <c r="L23" s="44">
        <v>10856</v>
      </c>
      <c r="M23" s="52">
        <v>1105163.7250684598</v>
      </c>
      <c r="N23" s="44"/>
      <c r="O23" s="59"/>
      <c r="P23" s="44" t="s">
        <v>81</v>
      </c>
      <c r="Q23" s="52">
        <v>1105163.7250684598</v>
      </c>
      <c r="R23" s="71">
        <v>1105205.81</v>
      </c>
    </row>
    <row r="24" spans="1:18" x14ac:dyDescent="0.25">
      <c r="A24" s="66" t="s">
        <v>82</v>
      </c>
      <c r="B24" s="44" t="s">
        <v>85</v>
      </c>
      <c r="C24" s="60">
        <v>45873</v>
      </c>
      <c r="D24" s="60">
        <v>45873</v>
      </c>
      <c r="E24" s="44">
        <v>543241</v>
      </c>
      <c r="F24" s="44" t="s">
        <v>124</v>
      </c>
      <c r="G24" s="44" t="s">
        <v>140</v>
      </c>
      <c r="H24" s="44">
        <v>280511</v>
      </c>
      <c r="I24" s="44">
        <v>1</v>
      </c>
      <c r="J24" s="44">
        <v>7.45</v>
      </c>
      <c r="K24" s="61">
        <v>101.805083</v>
      </c>
      <c r="L24" s="44">
        <v>16777</v>
      </c>
      <c r="M24" s="52">
        <v>1707983.8772944743</v>
      </c>
      <c r="N24" s="44"/>
      <c r="O24" s="59"/>
      <c r="P24" s="44" t="s">
        <v>125</v>
      </c>
      <c r="Q24" s="52">
        <v>1707983.8772944743</v>
      </c>
      <c r="R24" s="71">
        <v>-3695.46</v>
      </c>
    </row>
    <row r="25" spans="1:18" x14ac:dyDescent="0.25">
      <c r="A25" s="66" t="s">
        <v>82</v>
      </c>
      <c r="B25" s="44" t="s">
        <v>86</v>
      </c>
      <c r="C25" s="60">
        <v>45873</v>
      </c>
      <c r="D25" s="60">
        <v>45873</v>
      </c>
      <c r="E25" s="44">
        <v>543241</v>
      </c>
      <c r="F25" s="44" t="s">
        <v>124</v>
      </c>
      <c r="G25" s="44" t="s">
        <v>140</v>
      </c>
      <c r="H25" s="44">
        <v>280511</v>
      </c>
      <c r="I25" s="44">
        <v>1</v>
      </c>
      <c r="J25" s="44">
        <v>7.45</v>
      </c>
      <c r="K25" s="61">
        <v>101.805083</v>
      </c>
      <c r="L25" s="44">
        <v>593</v>
      </c>
      <c r="M25" s="52">
        <v>60370.414212053598</v>
      </c>
      <c r="N25" s="44"/>
      <c r="O25" s="59"/>
      <c r="P25" s="44" t="s">
        <v>125</v>
      </c>
      <c r="Q25" s="52">
        <v>60370.414212053598</v>
      </c>
      <c r="R25" s="71">
        <v>30.19</v>
      </c>
    </row>
    <row r="26" spans="1:18" x14ac:dyDescent="0.25">
      <c r="A26" s="66" t="s">
        <v>82</v>
      </c>
      <c r="B26" s="44" t="s">
        <v>121</v>
      </c>
      <c r="C26" s="60">
        <v>45873</v>
      </c>
      <c r="D26" s="60">
        <v>45873</v>
      </c>
      <c r="E26" s="44">
        <v>543241</v>
      </c>
      <c r="F26" s="44" t="s">
        <v>124</v>
      </c>
      <c r="G26" s="44" t="s">
        <v>140</v>
      </c>
      <c r="H26" s="44">
        <v>280511</v>
      </c>
      <c r="I26" s="44">
        <v>1</v>
      </c>
      <c r="J26" s="44">
        <v>7.45</v>
      </c>
      <c r="K26" s="61">
        <v>101.805083</v>
      </c>
      <c r="L26" s="44">
        <v>10887</v>
      </c>
      <c r="M26" s="52">
        <v>1108351.9384934697</v>
      </c>
      <c r="N26" s="44"/>
      <c r="O26" s="59"/>
      <c r="P26" s="44" t="s">
        <v>125</v>
      </c>
      <c r="Q26" s="52">
        <v>1108351.9384934697</v>
      </c>
      <c r="R26" s="71">
        <v>-3146.13</v>
      </c>
    </row>
    <row r="27" spans="1:18" x14ac:dyDescent="0.25">
      <c r="A27" s="66" t="s">
        <v>80</v>
      </c>
      <c r="B27" s="44" t="s">
        <v>85</v>
      </c>
      <c r="C27" s="60">
        <v>45873</v>
      </c>
      <c r="D27" s="60">
        <v>45873</v>
      </c>
      <c r="E27" s="44">
        <v>854795</v>
      </c>
      <c r="F27" s="44" t="s">
        <v>155</v>
      </c>
      <c r="G27" s="44" t="s">
        <v>146</v>
      </c>
      <c r="H27" s="44">
        <v>12</v>
      </c>
      <c r="I27" s="44"/>
      <c r="J27" s="44"/>
      <c r="K27" s="61"/>
      <c r="L27" s="44"/>
      <c r="M27" s="52">
        <v>3765</v>
      </c>
      <c r="N27" s="44"/>
      <c r="O27" s="59"/>
      <c r="P27" s="44" t="s">
        <v>81</v>
      </c>
      <c r="Q27" s="52">
        <v>3765</v>
      </c>
      <c r="R27" s="70">
        <v>69.540000000000006</v>
      </c>
    </row>
    <row r="28" spans="1:18" x14ac:dyDescent="0.25">
      <c r="A28" s="66" t="s">
        <v>80</v>
      </c>
      <c r="B28" s="44" t="s">
        <v>121</v>
      </c>
      <c r="C28" s="60">
        <v>45873</v>
      </c>
      <c r="D28" s="60">
        <v>45873</v>
      </c>
      <c r="E28" s="44">
        <v>854795</v>
      </c>
      <c r="F28" s="44" t="s">
        <v>155</v>
      </c>
      <c r="G28" s="44" t="s">
        <v>146</v>
      </c>
      <c r="H28" s="44">
        <v>12</v>
      </c>
      <c r="I28" s="44"/>
      <c r="J28" s="44"/>
      <c r="K28" s="61"/>
      <c r="L28" s="44"/>
      <c r="M28" s="52">
        <v>3105</v>
      </c>
      <c r="N28" s="44"/>
      <c r="O28" s="59"/>
      <c r="P28" s="44" t="s">
        <v>81</v>
      </c>
      <c r="Q28" s="52">
        <v>3105</v>
      </c>
      <c r="R28" s="70">
        <v>-41.13</v>
      </c>
    </row>
    <row r="29" spans="1:18" x14ac:dyDescent="0.25">
      <c r="A29" s="66" t="s">
        <v>82</v>
      </c>
      <c r="B29" s="44" t="s">
        <v>85</v>
      </c>
      <c r="C29" s="60">
        <v>45873</v>
      </c>
      <c r="D29" s="60">
        <v>45874</v>
      </c>
      <c r="E29" s="44">
        <v>543241</v>
      </c>
      <c r="F29" s="44" t="s">
        <v>83</v>
      </c>
      <c r="G29" s="44" t="s">
        <v>140</v>
      </c>
      <c r="H29" s="44">
        <v>280511</v>
      </c>
      <c r="I29" s="44">
        <v>1</v>
      </c>
      <c r="J29" s="44">
        <v>353.45280355310177</v>
      </c>
      <c r="K29" s="61">
        <v>101.826151</v>
      </c>
      <c r="L29" s="44">
        <v>16777</v>
      </c>
      <c r="M29" s="52">
        <v>1708337.3300980285</v>
      </c>
      <c r="N29" s="44"/>
      <c r="O29" s="59"/>
      <c r="P29" s="44" t="s">
        <v>81</v>
      </c>
      <c r="Q29" s="52">
        <v>1708337.3300980285</v>
      </c>
      <c r="R29" s="71">
        <v>1708406.87</v>
      </c>
    </row>
    <row r="30" spans="1:18" x14ac:dyDescent="0.25">
      <c r="A30" s="66" t="s">
        <v>82</v>
      </c>
      <c r="B30" s="44" t="s">
        <v>86</v>
      </c>
      <c r="C30" s="60">
        <v>45873</v>
      </c>
      <c r="D30" s="60">
        <v>45874</v>
      </c>
      <c r="E30" s="44">
        <v>543241</v>
      </c>
      <c r="F30" s="44" t="s">
        <v>83</v>
      </c>
      <c r="G30" s="44" t="s">
        <v>140</v>
      </c>
      <c r="H30" s="44">
        <v>280511</v>
      </c>
      <c r="I30" s="44">
        <v>1</v>
      </c>
      <c r="J30" s="44">
        <v>12.493146123084541</v>
      </c>
      <c r="K30" s="61">
        <v>101.826151</v>
      </c>
      <c r="L30" s="44">
        <v>593</v>
      </c>
      <c r="M30" s="52">
        <v>60382.90735817673</v>
      </c>
      <c r="N30" s="44"/>
      <c r="O30" s="59"/>
      <c r="P30" s="44" t="s">
        <v>81</v>
      </c>
      <c r="Q30" s="52">
        <v>60382.90735817673</v>
      </c>
      <c r="R30" s="71">
        <v>60413.1</v>
      </c>
    </row>
    <row r="31" spans="1:18" x14ac:dyDescent="0.25">
      <c r="A31" s="66" t="s">
        <v>82</v>
      </c>
      <c r="B31" s="44" t="s">
        <v>121</v>
      </c>
      <c r="C31" s="60">
        <v>45873</v>
      </c>
      <c r="D31" s="60">
        <v>45874</v>
      </c>
      <c r="E31" s="44">
        <v>543241</v>
      </c>
      <c r="F31" s="44" t="s">
        <v>83</v>
      </c>
      <c r="G31" s="44" t="s">
        <v>140</v>
      </c>
      <c r="H31" s="44">
        <v>280511</v>
      </c>
      <c r="I31" s="44">
        <v>1</v>
      </c>
      <c r="J31" s="44">
        <v>229.36405032381347</v>
      </c>
      <c r="K31" s="61">
        <v>101.826151</v>
      </c>
      <c r="L31" s="44">
        <v>10887</v>
      </c>
      <c r="M31" s="52">
        <v>1108581.3025437943</v>
      </c>
      <c r="N31" s="44"/>
      <c r="O31" s="59"/>
      <c r="P31" s="44" t="s">
        <v>81</v>
      </c>
      <c r="Q31" s="52">
        <v>1108581.3025437943</v>
      </c>
      <c r="R31" s="71">
        <v>1108540.17</v>
      </c>
    </row>
    <row r="32" spans="1:18" x14ac:dyDescent="0.25">
      <c r="A32" s="66" t="s">
        <v>82</v>
      </c>
      <c r="B32" s="44" t="s">
        <v>85</v>
      </c>
      <c r="C32" s="60">
        <v>45874</v>
      </c>
      <c r="D32" s="60">
        <v>45874</v>
      </c>
      <c r="E32" s="44">
        <v>544580</v>
      </c>
      <c r="F32" s="44" t="s">
        <v>124</v>
      </c>
      <c r="G32" s="44" t="s">
        <v>140</v>
      </c>
      <c r="H32" s="44">
        <v>280511</v>
      </c>
      <c r="I32" s="44">
        <v>1</v>
      </c>
      <c r="J32" s="44">
        <v>7.45</v>
      </c>
      <c r="K32" s="61">
        <v>101.82318600000001</v>
      </c>
      <c r="L32" s="44">
        <v>16778</v>
      </c>
      <c r="M32" s="52">
        <v>1708389.4087776986</v>
      </c>
      <c r="N32" s="44"/>
      <c r="O32" s="59"/>
      <c r="P32" s="44" t="s">
        <v>125</v>
      </c>
      <c r="Q32" s="52">
        <v>1708389.4087776986</v>
      </c>
      <c r="R32" s="70">
        <v>17.46</v>
      </c>
    </row>
    <row r="33" spans="1:18" x14ac:dyDescent="0.25">
      <c r="A33" s="66" t="s">
        <v>82</v>
      </c>
      <c r="B33" s="44" t="s">
        <v>86</v>
      </c>
      <c r="C33" s="60">
        <v>45874</v>
      </c>
      <c r="D33" s="60">
        <v>45874</v>
      </c>
      <c r="E33" s="44">
        <v>544580</v>
      </c>
      <c r="F33" s="44" t="s">
        <v>124</v>
      </c>
      <c r="G33" s="44" t="s">
        <v>140</v>
      </c>
      <c r="H33" s="44">
        <v>280511</v>
      </c>
      <c r="I33" s="44">
        <v>1</v>
      </c>
      <c r="J33" s="44">
        <v>7.45</v>
      </c>
      <c r="K33" s="61">
        <v>101.82318600000001</v>
      </c>
      <c r="L33" s="44">
        <v>593</v>
      </c>
      <c r="M33" s="52">
        <v>60381.149088400001</v>
      </c>
      <c r="N33" s="44"/>
      <c r="O33" s="59"/>
      <c r="P33" s="44" t="s">
        <v>125</v>
      </c>
      <c r="Q33" s="52">
        <v>60381.149088400001</v>
      </c>
      <c r="R33" s="70">
        <v>31.95</v>
      </c>
    </row>
    <row r="34" spans="1:18" x14ac:dyDescent="0.25">
      <c r="A34" s="66" t="s">
        <v>82</v>
      </c>
      <c r="B34" s="44" t="s">
        <v>121</v>
      </c>
      <c r="C34" s="60">
        <v>45874</v>
      </c>
      <c r="D34" s="60">
        <v>45874</v>
      </c>
      <c r="E34" s="44">
        <v>544580</v>
      </c>
      <c r="F34" s="44" t="s">
        <v>124</v>
      </c>
      <c r="G34" s="44" t="s">
        <v>140</v>
      </c>
      <c r="H34" s="44">
        <v>280511</v>
      </c>
      <c r="I34" s="44">
        <v>1</v>
      </c>
      <c r="J34" s="44">
        <v>7.45</v>
      </c>
      <c r="K34" s="61">
        <v>101.82318600000001</v>
      </c>
      <c r="L34" s="44">
        <v>10887</v>
      </c>
      <c r="M34" s="52">
        <v>1108549.0221339136</v>
      </c>
      <c r="N34" s="44"/>
      <c r="O34" s="59"/>
      <c r="P34" s="44" t="s">
        <v>125</v>
      </c>
      <c r="Q34" s="52">
        <v>1108549.0221339136</v>
      </c>
      <c r="R34" s="70">
        <v>-8.85</v>
      </c>
    </row>
    <row r="35" spans="1:18" x14ac:dyDescent="0.25">
      <c r="A35" s="66" t="s">
        <v>82</v>
      </c>
      <c r="B35" s="44" t="s">
        <v>85</v>
      </c>
      <c r="C35" s="60">
        <v>45874</v>
      </c>
      <c r="D35" s="60">
        <v>45875</v>
      </c>
      <c r="E35" s="44">
        <v>544580</v>
      </c>
      <c r="F35" s="44" t="s">
        <v>83</v>
      </c>
      <c r="G35" s="44" t="s">
        <v>140</v>
      </c>
      <c r="H35" s="44">
        <v>280511</v>
      </c>
      <c r="I35" s="44">
        <v>1</v>
      </c>
      <c r="J35" s="44">
        <v>353.53854908344488</v>
      </c>
      <c r="K35" s="61">
        <v>101.844257</v>
      </c>
      <c r="L35" s="44">
        <v>16778</v>
      </c>
      <c r="M35" s="52">
        <v>1708742.947326767</v>
      </c>
      <c r="N35" s="44"/>
      <c r="O35" s="59"/>
      <c r="P35" s="44" t="s">
        <v>81</v>
      </c>
      <c r="Q35" s="52">
        <v>1708742.947326767</v>
      </c>
      <c r="R35" s="71">
        <v>1708760.41</v>
      </c>
    </row>
    <row r="36" spans="1:18" x14ac:dyDescent="0.25">
      <c r="A36" s="66" t="s">
        <v>82</v>
      </c>
      <c r="B36" s="44" t="s">
        <v>86</v>
      </c>
      <c r="C36" s="60">
        <v>45874</v>
      </c>
      <c r="D36" s="60">
        <v>45875</v>
      </c>
      <c r="E36" s="44">
        <v>544580</v>
      </c>
      <c r="F36" s="44" t="s">
        <v>83</v>
      </c>
      <c r="G36" s="44" t="s">
        <v>140</v>
      </c>
      <c r="H36" s="44">
        <v>280511</v>
      </c>
      <c r="I36" s="44">
        <v>1</v>
      </c>
      <c r="J36" s="44">
        <v>12.495432090027585</v>
      </c>
      <c r="K36" s="61">
        <v>101.844257</v>
      </c>
      <c r="L36" s="44">
        <v>593</v>
      </c>
      <c r="M36" s="52">
        <v>60393.644520489499</v>
      </c>
      <c r="N36" s="44"/>
      <c r="O36" s="59"/>
      <c r="P36" s="44" t="s">
        <v>81</v>
      </c>
      <c r="Q36" s="52">
        <v>60393.644520489499</v>
      </c>
      <c r="R36" s="71">
        <v>60425.59</v>
      </c>
    </row>
    <row r="37" spans="1:18" x14ac:dyDescent="0.25">
      <c r="A37" s="66" t="s">
        <v>82</v>
      </c>
      <c r="B37" s="44" t="s">
        <v>121</v>
      </c>
      <c r="C37" s="60">
        <v>45874</v>
      </c>
      <c r="D37" s="60">
        <v>45875</v>
      </c>
      <c r="E37" s="44">
        <v>544580</v>
      </c>
      <c r="F37" s="44" t="s">
        <v>83</v>
      </c>
      <c r="G37" s="44" t="s">
        <v>140</v>
      </c>
      <c r="H37" s="44">
        <v>280511</v>
      </c>
      <c r="I37" s="44">
        <v>1</v>
      </c>
      <c r="J37" s="44">
        <v>229.40601882652666</v>
      </c>
      <c r="K37" s="61">
        <v>101.844257</v>
      </c>
      <c r="L37" s="44">
        <v>10887</v>
      </c>
      <c r="M37" s="52">
        <v>1108778.4281527305</v>
      </c>
      <c r="N37" s="44"/>
      <c r="O37" s="59"/>
      <c r="P37" s="44" t="s">
        <v>81</v>
      </c>
      <c r="Q37" s="52">
        <v>1108778.4281527305</v>
      </c>
      <c r="R37" s="71">
        <v>1108769.58</v>
      </c>
    </row>
    <row r="38" spans="1:18" x14ac:dyDescent="0.25">
      <c r="A38" s="66" t="s">
        <v>82</v>
      </c>
      <c r="B38" s="44" t="s">
        <v>85</v>
      </c>
      <c r="C38" s="60">
        <v>45875</v>
      </c>
      <c r="D38" s="60">
        <v>45875</v>
      </c>
      <c r="E38" s="44">
        <v>545968</v>
      </c>
      <c r="F38" s="44" t="s">
        <v>124</v>
      </c>
      <c r="G38" s="44" t="s">
        <v>140</v>
      </c>
      <c r="H38" s="44">
        <v>280511</v>
      </c>
      <c r="I38" s="44">
        <v>1</v>
      </c>
      <c r="J38" s="44">
        <v>7.45</v>
      </c>
      <c r="K38" s="61">
        <v>101.843334</v>
      </c>
      <c r="L38" s="44">
        <v>16778</v>
      </c>
      <c r="M38" s="52">
        <v>1708727.4565623926</v>
      </c>
      <c r="N38" s="44"/>
      <c r="O38" s="59"/>
      <c r="P38" s="44" t="s">
        <v>125</v>
      </c>
      <c r="Q38" s="52">
        <v>1708727.4565623926</v>
      </c>
      <c r="R38" s="70">
        <v>32.950000000000003</v>
      </c>
    </row>
    <row r="39" spans="1:18" x14ac:dyDescent="0.25">
      <c r="A39" s="66" t="s">
        <v>82</v>
      </c>
      <c r="B39" s="44" t="s">
        <v>86</v>
      </c>
      <c r="C39" s="60">
        <v>45875</v>
      </c>
      <c r="D39" s="60">
        <v>45875</v>
      </c>
      <c r="E39" s="44">
        <v>545968</v>
      </c>
      <c r="F39" s="44" t="s">
        <v>124</v>
      </c>
      <c r="G39" s="44" t="s">
        <v>140</v>
      </c>
      <c r="H39" s="44">
        <v>280511</v>
      </c>
      <c r="I39" s="44">
        <v>1</v>
      </c>
      <c r="J39" s="44">
        <v>7.45</v>
      </c>
      <c r="K39" s="61">
        <v>101.843334</v>
      </c>
      <c r="L39" s="44">
        <v>593</v>
      </c>
      <c r="M39" s="52">
        <v>60393.097016420237</v>
      </c>
      <c r="N39" s="44"/>
      <c r="O39" s="59"/>
      <c r="P39" s="44" t="s">
        <v>125</v>
      </c>
      <c r="Q39" s="52">
        <v>60393.097016420237</v>
      </c>
      <c r="R39" s="70">
        <v>32.49</v>
      </c>
    </row>
    <row r="40" spans="1:18" x14ac:dyDescent="0.25">
      <c r="A40" s="66" t="s">
        <v>82</v>
      </c>
      <c r="B40" s="44" t="s">
        <v>121</v>
      </c>
      <c r="C40" s="60">
        <v>45875</v>
      </c>
      <c r="D40" s="60">
        <v>45875</v>
      </c>
      <c r="E40" s="44">
        <v>545968</v>
      </c>
      <c r="F40" s="44" t="s">
        <v>124</v>
      </c>
      <c r="G40" s="44" t="s">
        <v>140</v>
      </c>
      <c r="H40" s="44">
        <v>280511</v>
      </c>
      <c r="I40" s="44">
        <v>1</v>
      </c>
      <c r="J40" s="44">
        <v>7.45</v>
      </c>
      <c r="K40" s="61">
        <v>101.843334</v>
      </c>
      <c r="L40" s="44">
        <v>10887</v>
      </c>
      <c r="M40" s="52">
        <v>1108768.3764211927</v>
      </c>
      <c r="N40" s="44"/>
      <c r="O40" s="59"/>
      <c r="P40" s="44" t="s">
        <v>125</v>
      </c>
      <c r="Q40" s="52">
        <v>1108768.3764211927</v>
      </c>
      <c r="R40" s="70">
        <v>1.2</v>
      </c>
    </row>
    <row r="41" spans="1:18" x14ac:dyDescent="0.25">
      <c r="A41" s="66" t="s">
        <v>82</v>
      </c>
      <c r="B41" s="44" t="s">
        <v>85</v>
      </c>
      <c r="C41" s="60">
        <v>45875</v>
      </c>
      <c r="D41" s="60">
        <v>45876</v>
      </c>
      <c r="E41" s="44">
        <v>545968</v>
      </c>
      <c r="F41" s="44" t="s">
        <v>83</v>
      </c>
      <c r="G41" s="44" t="s">
        <v>140</v>
      </c>
      <c r="H41" s="44">
        <v>280511</v>
      </c>
      <c r="I41" s="44">
        <v>1</v>
      </c>
      <c r="J41" s="44">
        <v>353.60979828721077</v>
      </c>
      <c r="K41" s="61">
        <v>101.86441000000001</v>
      </c>
      <c r="L41" s="44">
        <v>16778</v>
      </c>
      <c r="M41" s="52">
        <v>1709081.0663606809</v>
      </c>
      <c r="N41" s="44"/>
      <c r="O41" s="59"/>
      <c r="P41" s="44" t="s">
        <v>81</v>
      </c>
      <c r="Q41" s="52">
        <v>1709081.0663606809</v>
      </c>
      <c r="R41" s="71">
        <v>1709114.02</v>
      </c>
    </row>
    <row r="42" spans="1:18" x14ac:dyDescent="0.25">
      <c r="A42" s="66" t="s">
        <v>82</v>
      </c>
      <c r="B42" s="44" t="s">
        <v>86</v>
      </c>
      <c r="C42" s="60">
        <v>45875</v>
      </c>
      <c r="D42" s="60">
        <v>45876</v>
      </c>
      <c r="E42" s="44">
        <v>545968</v>
      </c>
      <c r="F42" s="44" t="s">
        <v>83</v>
      </c>
      <c r="G42" s="44" t="s">
        <v>140</v>
      </c>
      <c r="H42" s="44">
        <v>280511</v>
      </c>
      <c r="I42" s="44">
        <v>1</v>
      </c>
      <c r="J42" s="44">
        <v>12.497950314955059</v>
      </c>
      <c r="K42" s="61">
        <v>101.86441000000001</v>
      </c>
      <c r="L42" s="44">
        <v>593</v>
      </c>
      <c r="M42" s="52">
        <v>60405.59496673524</v>
      </c>
      <c r="N42" s="44"/>
      <c r="O42" s="59"/>
      <c r="P42" s="44" t="s">
        <v>81</v>
      </c>
      <c r="Q42" s="52">
        <v>60405.59496673524</v>
      </c>
      <c r="R42" s="71">
        <v>60438.080000000002</v>
      </c>
    </row>
    <row r="43" spans="1:18" x14ac:dyDescent="0.25">
      <c r="A43" s="66" t="s">
        <v>82</v>
      </c>
      <c r="B43" s="44" t="s">
        <v>121</v>
      </c>
      <c r="C43" s="60">
        <v>45875</v>
      </c>
      <c r="D43" s="60">
        <v>45876</v>
      </c>
      <c r="E43" s="44">
        <v>545968</v>
      </c>
      <c r="F43" s="44" t="s">
        <v>83</v>
      </c>
      <c r="G43" s="44" t="s">
        <v>140</v>
      </c>
      <c r="H43" s="44">
        <v>280511</v>
      </c>
      <c r="I43" s="44">
        <v>1</v>
      </c>
      <c r="J43" s="44">
        <v>229.45225139783426</v>
      </c>
      <c r="K43" s="61">
        <v>101.86441000000001</v>
      </c>
      <c r="L43" s="44">
        <v>10887</v>
      </c>
      <c r="M43" s="52">
        <v>1108997.8286725911</v>
      </c>
      <c r="N43" s="44"/>
      <c r="O43" s="59"/>
      <c r="P43" s="44" t="s">
        <v>81</v>
      </c>
      <c r="Q43" s="52">
        <v>1108997.8286725911</v>
      </c>
      <c r="R43" s="71">
        <v>1108999.03</v>
      </c>
    </row>
    <row r="44" spans="1:18" x14ac:dyDescent="0.25">
      <c r="A44" s="66" t="s">
        <v>82</v>
      </c>
      <c r="B44" s="44" t="s">
        <v>85</v>
      </c>
      <c r="C44" s="60">
        <v>45876</v>
      </c>
      <c r="D44" s="60">
        <v>45876</v>
      </c>
      <c r="E44" s="44">
        <v>547268</v>
      </c>
      <c r="F44" s="44" t="s">
        <v>124</v>
      </c>
      <c r="G44" s="44" t="s">
        <v>140</v>
      </c>
      <c r="H44" s="44">
        <v>280907</v>
      </c>
      <c r="I44" s="44">
        <v>1</v>
      </c>
      <c r="J44" s="44">
        <v>7.45</v>
      </c>
      <c r="K44" s="61">
        <v>101.118118</v>
      </c>
      <c r="L44" s="44">
        <v>16902</v>
      </c>
      <c r="M44" s="52">
        <v>1709098.427404356</v>
      </c>
      <c r="N44" s="44"/>
      <c r="O44" s="59"/>
      <c r="P44" s="44" t="s">
        <v>125</v>
      </c>
      <c r="Q44" s="52">
        <v>1709098.427404356</v>
      </c>
      <c r="R44" s="70">
        <v>15.59</v>
      </c>
    </row>
    <row r="45" spans="1:18" x14ac:dyDescent="0.25">
      <c r="A45" s="66" t="s">
        <v>82</v>
      </c>
      <c r="B45" s="44" t="s">
        <v>86</v>
      </c>
      <c r="C45" s="60">
        <v>45876</v>
      </c>
      <c r="D45" s="60">
        <v>45876</v>
      </c>
      <c r="E45" s="44">
        <v>547268</v>
      </c>
      <c r="F45" s="44" t="s">
        <v>124</v>
      </c>
      <c r="G45" s="44" t="s">
        <v>140</v>
      </c>
      <c r="H45" s="44">
        <v>280907</v>
      </c>
      <c r="I45" s="44">
        <v>1</v>
      </c>
      <c r="J45" s="44">
        <v>7.45</v>
      </c>
      <c r="K45" s="61">
        <v>101.118118</v>
      </c>
      <c r="L45" s="44">
        <v>598</v>
      </c>
      <c r="M45" s="52">
        <v>60468.634456739135</v>
      </c>
      <c r="N45" s="44"/>
      <c r="O45" s="59"/>
      <c r="P45" s="44" t="s">
        <v>125</v>
      </c>
      <c r="Q45" s="52">
        <v>60468.634456739135</v>
      </c>
      <c r="R45" s="70">
        <v>-30.55</v>
      </c>
    </row>
    <row r="46" spans="1:18" x14ac:dyDescent="0.25">
      <c r="A46" s="66" t="s">
        <v>82</v>
      </c>
      <c r="B46" s="44" t="s">
        <v>121</v>
      </c>
      <c r="C46" s="60">
        <v>45876</v>
      </c>
      <c r="D46" s="60">
        <v>45876</v>
      </c>
      <c r="E46" s="44">
        <v>547268</v>
      </c>
      <c r="F46" s="44" t="s">
        <v>124</v>
      </c>
      <c r="G46" s="44" t="s">
        <v>140</v>
      </c>
      <c r="H46" s="44">
        <v>280907</v>
      </c>
      <c r="I46" s="44">
        <v>1</v>
      </c>
      <c r="J46" s="44">
        <v>7.45</v>
      </c>
      <c r="K46" s="61">
        <v>101.118118</v>
      </c>
      <c r="L46" s="44">
        <v>10967</v>
      </c>
      <c r="M46" s="52">
        <v>1108962.3981388931</v>
      </c>
      <c r="N46" s="44"/>
      <c r="O46" s="59"/>
      <c r="P46" s="44" t="s">
        <v>125</v>
      </c>
      <c r="Q46" s="52">
        <v>1108962.3981388931</v>
      </c>
      <c r="R46" s="70">
        <v>36.630000000000003</v>
      </c>
    </row>
    <row r="47" spans="1:18" x14ac:dyDescent="0.25">
      <c r="A47" s="66" t="s">
        <v>82</v>
      </c>
      <c r="B47" s="44" t="s">
        <v>85</v>
      </c>
      <c r="C47" s="60">
        <v>45876</v>
      </c>
      <c r="D47" s="60">
        <v>45877</v>
      </c>
      <c r="E47" s="44">
        <v>547268</v>
      </c>
      <c r="F47" s="44" t="s">
        <v>83</v>
      </c>
      <c r="G47" s="44" t="s">
        <v>140</v>
      </c>
      <c r="H47" s="44">
        <v>280907</v>
      </c>
      <c r="I47" s="44">
        <v>1</v>
      </c>
      <c r="J47" s="44">
        <v>353.68505216566524</v>
      </c>
      <c r="K47" s="61">
        <v>101.139043</v>
      </c>
      <c r="L47" s="44">
        <v>16902</v>
      </c>
      <c r="M47" s="52">
        <v>1709452.1124565334</v>
      </c>
      <c r="N47" s="44"/>
      <c r="O47" s="59"/>
      <c r="P47" s="44" t="s">
        <v>81</v>
      </c>
      <c r="Q47" s="52">
        <v>1709452.1124565334</v>
      </c>
      <c r="R47" s="71">
        <v>1709467.7</v>
      </c>
    </row>
    <row r="48" spans="1:18" x14ac:dyDescent="0.25">
      <c r="A48" s="66" t="s">
        <v>82</v>
      </c>
      <c r="B48" s="44" t="s">
        <v>86</v>
      </c>
      <c r="C48" s="60">
        <v>45876</v>
      </c>
      <c r="D48" s="60">
        <v>45877</v>
      </c>
      <c r="E48" s="44">
        <v>547268</v>
      </c>
      <c r="F48" s="44" t="s">
        <v>83</v>
      </c>
      <c r="G48" s="44" t="s">
        <v>140</v>
      </c>
      <c r="H48" s="44">
        <v>280907</v>
      </c>
      <c r="I48" s="44">
        <v>1</v>
      </c>
      <c r="J48" s="44">
        <v>12.513528647205526</v>
      </c>
      <c r="K48" s="61">
        <v>101.139043</v>
      </c>
      <c r="L48" s="44">
        <v>598</v>
      </c>
      <c r="M48" s="52">
        <v>60481.147985386749</v>
      </c>
      <c r="N48" s="44"/>
      <c r="O48" s="59"/>
      <c r="P48" s="44" t="s">
        <v>81</v>
      </c>
      <c r="Q48" s="52">
        <v>60481.147985386749</v>
      </c>
      <c r="R48" s="71">
        <v>60450.6</v>
      </c>
    </row>
    <row r="49" spans="1:18" x14ac:dyDescent="0.25">
      <c r="A49" s="66" t="s">
        <v>82</v>
      </c>
      <c r="B49" s="44" t="s">
        <v>121</v>
      </c>
      <c r="C49" s="60">
        <v>45876</v>
      </c>
      <c r="D49" s="60">
        <v>45877</v>
      </c>
      <c r="E49" s="44">
        <v>547268</v>
      </c>
      <c r="F49" s="44" t="s">
        <v>83</v>
      </c>
      <c r="G49" s="44" t="s">
        <v>140</v>
      </c>
      <c r="H49" s="44">
        <v>280907</v>
      </c>
      <c r="I49" s="44">
        <v>1</v>
      </c>
      <c r="J49" s="44">
        <v>229.49141918712877</v>
      </c>
      <c r="K49" s="61">
        <v>101.139043</v>
      </c>
      <c r="L49" s="44">
        <v>10967</v>
      </c>
      <c r="M49" s="52">
        <v>1109191.8895580878</v>
      </c>
      <c r="N49" s="44"/>
      <c r="O49" s="59"/>
      <c r="P49" s="44" t="s">
        <v>81</v>
      </c>
      <c r="Q49" s="52">
        <v>1109191.8895580878</v>
      </c>
      <c r="R49" s="71">
        <v>1109228.52</v>
      </c>
    </row>
    <row r="50" spans="1:18" x14ac:dyDescent="0.25">
      <c r="A50" s="66" t="s">
        <v>82</v>
      </c>
      <c r="B50" s="44" t="s">
        <v>85</v>
      </c>
      <c r="C50" s="60">
        <v>45877</v>
      </c>
      <c r="D50" s="60">
        <v>45877</v>
      </c>
      <c r="E50" s="44">
        <v>548605</v>
      </c>
      <c r="F50" s="44" t="s">
        <v>124</v>
      </c>
      <c r="G50" s="44" t="s">
        <v>140</v>
      </c>
      <c r="H50" s="44">
        <v>280907</v>
      </c>
      <c r="I50" s="44">
        <v>3</v>
      </c>
      <c r="J50" s="44">
        <v>7.2</v>
      </c>
      <c r="K50" s="61">
        <v>101.14055399999999</v>
      </c>
      <c r="L50" s="44">
        <v>16902</v>
      </c>
      <c r="M50" s="52">
        <v>1709477.6436106276</v>
      </c>
      <c r="N50" s="44"/>
      <c r="O50" s="59"/>
      <c r="P50" s="44" t="s">
        <v>125</v>
      </c>
      <c r="Q50" s="52">
        <v>1709477.6436106276</v>
      </c>
      <c r="R50" s="70">
        <v>-9.94</v>
      </c>
    </row>
    <row r="51" spans="1:18" x14ac:dyDescent="0.25">
      <c r="A51" s="66" t="s">
        <v>82</v>
      </c>
      <c r="B51" s="44" t="s">
        <v>86</v>
      </c>
      <c r="C51" s="60">
        <v>45877</v>
      </c>
      <c r="D51" s="60">
        <v>45877</v>
      </c>
      <c r="E51" s="44">
        <v>548605</v>
      </c>
      <c r="F51" s="44" t="s">
        <v>124</v>
      </c>
      <c r="G51" s="44" t="s">
        <v>140</v>
      </c>
      <c r="H51" s="44">
        <v>280907</v>
      </c>
      <c r="I51" s="44">
        <v>3</v>
      </c>
      <c r="J51" s="44">
        <v>7.2</v>
      </c>
      <c r="K51" s="61">
        <v>101.14055399999999</v>
      </c>
      <c r="L51" s="44">
        <v>598</v>
      </c>
      <c r="M51" s="52">
        <v>60482.051288554918</v>
      </c>
      <c r="N51" s="44"/>
      <c r="O51" s="59"/>
      <c r="P51" s="44" t="s">
        <v>125</v>
      </c>
      <c r="Q51" s="52">
        <v>60482.051288554918</v>
      </c>
      <c r="R51" s="70">
        <v>-31.45</v>
      </c>
    </row>
    <row r="52" spans="1:18" x14ac:dyDescent="0.25">
      <c r="A52" s="66" t="s">
        <v>82</v>
      </c>
      <c r="B52" s="44" t="s">
        <v>121</v>
      </c>
      <c r="C52" s="60">
        <v>45877</v>
      </c>
      <c r="D52" s="60">
        <v>45877</v>
      </c>
      <c r="E52" s="44">
        <v>548605</v>
      </c>
      <c r="F52" s="44" t="s">
        <v>124</v>
      </c>
      <c r="G52" s="44" t="s">
        <v>140</v>
      </c>
      <c r="H52" s="44">
        <v>280907</v>
      </c>
      <c r="I52" s="44">
        <v>3</v>
      </c>
      <c r="J52" s="44">
        <v>7.2</v>
      </c>
      <c r="K52" s="61">
        <v>101.14055399999999</v>
      </c>
      <c r="L52" s="44">
        <v>10966</v>
      </c>
      <c r="M52" s="52">
        <v>1109107.3151008249</v>
      </c>
      <c r="N52" s="44"/>
      <c r="O52" s="59"/>
      <c r="P52" s="44" t="s">
        <v>125</v>
      </c>
      <c r="Q52" s="52">
        <v>1109107.3151008249</v>
      </c>
      <c r="R52" s="70">
        <v>121.2</v>
      </c>
    </row>
    <row r="53" spans="1:18" x14ac:dyDescent="0.25">
      <c r="A53" s="66" t="s">
        <v>82</v>
      </c>
      <c r="B53" s="44" t="s">
        <v>85</v>
      </c>
      <c r="C53" s="60">
        <v>45877</v>
      </c>
      <c r="D53" s="60">
        <v>45880</v>
      </c>
      <c r="E53" s="44">
        <v>548605</v>
      </c>
      <c r="F53" s="44" t="s">
        <v>83</v>
      </c>
      <c r="G53" s="44" t="s">
        <v>140</v>
      </c>
      <c r="H53" s="44">
        <v>280907</v>
      </c>
      <c r="I53" s="44">
        <v>3</v>
      </c>
      <c r="J53" s="52">
        <v>1025.6864638516122</v>
      </c>
      <c r="K53" s="61">
        <v>101.201238</v>
      </c>
      <c r="L53" s="44">
        <v>16902</v>
      </c>
      <c r="M53" s="52">
        <v>1710503.3300744819</v>
      </c>
      <c r="N53" s="44"/>
      <c r="O53" s="59"/>
      <c r="P53" s="44" t="s">
        <v>81</v>
      </c>
      <c r="Q53" s="52">
        <v>1710503.3300744819</v>
      </c>
      <c r="R53" s="71">
        <v>1710493.39</v>
      </c>
    </row>
    <row r="54" spans="1:18" x14ac:dyDescent="0.25">
      <c r="A54" s="66" t="s">
        <v>82</v>
      </c>
      <c r="B54" s="44" t="s">
        <v>86</v>
      </c>
      <c r="C54" s="60">
        <v>45877</v>
      </c>
      <c r="D54" s="60">
        <v>45880</v>
      </c>
      <c r="E54" s="44">
        <v>548605</v>
      </c>
      <c r="F54" s="44" t="s">
        <v>83</v>
      </c>
      <c r="G54" s="44" t="s">
        <v>140</v>
      </c>
      <c r="H54" s="44">
        <v>280907</v>
      </c>
      <c r="I54" s="44">
        <v>3</v>
      </c>
      <c r="J54" s="52">
        <v>36.289226445584198</v>
      </c>
      <c r="K54" s="61">
        <v>101.201238</v>
      </c>
      <c r="L54" s="44">
        <v>598</v>
      </c>
      <c r="M54" s="52">
        <v>60518.3405150006</v>
      </c>
      <c r="N54" s="44"/>
      <c r="O54" s="59"/>
      <c r="P54" s="44" t="s">
        <v>81</v>
      </c>
      <c r="Q54" s="52">
        <v>60518.3405150006</v>
      </c>
      <c r="R54" s="71">
        <v>60486.89</v>
      </c>
    </row>
    <row r="55" spans="1:18" x14ac:dyDescent="0.25">
      <c r="A55" s="66" t="s">
        <v>82</v>
      </c>
      <c r="B55" s="44" t="s">
        <v>121</v>
      </c>
      <c r="C55" s="60">
        <v>45877</v>
      </c>
      <c r="D55" s="60">
        <v>45880</v>
      </c>
      <c r="E55" s="44">
        <v>548605</v>
      </c>
      <c r="F55" s="44" t="s">
        <v>83</v>
      </c>
      <c r="G55" s="44" t="s">
        <v>140</v>
      </c>
      <c r="H55" s="44">
        <v>280907</v>
      </c>
      <c r="I55" s="44">
        <v>3</v>
      </c>
      <c r="J55" s="52">
        <v>665.46430970280323</v>
      </c>
      <c r="K55" s="61">
        <v>101.201238</v>
      </c>
      <c r="L55" s="44">
        <v>10966</v>
      </c>
      <c r="M55" s="52">
        <v>1109772.7794105294</v>
      </c>
      <c r="N55" s="44"/>
      <c r="O55" s="59"/>
      <c r="P55" s="44" t="s">
        <v>81</v>
      </c>
      <c r="Q55" s="52">
        <v>1109772.7794105294</v>
      </c>
      <c r="R55" s="71">
        <v>1109893.98</v>
      </c>
    </row>
    <row r="56" spans="1:18" x14ac:dyDescent="0.25">
      <c r="A56" s="66" t="s">
        <v>82</v>
      </c>
      <c r="B56" s="44" t="s">
        <v>85</v>
      </c>
      <c r="C56" s="60">
        <v>45880</v>
      </c>
      <c r="D56" s="60">
        <v>45880</v>
      </c>
      <c r="E56" s="44">
        <v>550047</v>
      </c>
      <c r="F56" s="44" t="s">
        <v>124</v>
      </c>
      <c r="G56" s="44" t="s">
        <v>140</v>
      </c>
      <c r="H56" s="44">
        <v>280511</v>
      </c>
      <c r="I56" s="44">
        <v>1</v>
      </c>
      <c r="J56" s="44">
        <v>7.2</v>
      </c>
      <c r="K56" s="61">
        <v>101.94417199999999</v>
      </c>
      <c r="L56" s="44">
        <v>16886</v>
      </c>
      <c r="M56" s="52">
        <v>1721429.2849175534</v>
      </c>
      <c r="N56" s="44"/>
      <c r="O56" s="59"/>
      <c r="P56" s="44" t="s">
        <v>125</v>
      </c>
      <c r="Q56" s="52">
        <v>1721429.2849175534</v>
      </c>
      <c r="R56" s="71">
        <v>-10935.89</v>
      </c>
    </row>
    <row r="57" spans="1:18" x14ac:dyDescent="0.25">
      <c r="A57" s="66" t="s">
        <v>82</v>
      </c>
      <c r="B57" s="44" t="s">
        <v>86</v>
      </c>
      <c r="C57" s="60">
        <v>45880</v>
      </c>
      <c r="D57" s="60">
        <v>45880</v>
      </c>
      <c r="E57" s="44">
        <v>550047</v>
      </c>
      <c r="F57" s="44" t="s">
        <v>124</v>
      </c>
      <c r="G57" s="44" t="s">
        <v>140</v>
      </c>
      <c r="H57" s="44">
        <v>280511</v>
      </c>
      <c r="I57" s="44">
        <v>1</v>
      </c>
      <c r="J57" s="44">
        <v>7.2</v>
      </c>
      <c r="K57" s="61">
        <v>101.94417199999999</v>
      </c>
      <c r="L57" s="44">
        <v>593</v>
      </c>
      <c r="M57" s="52">
        <v>60452.893873984911</v>
      </c>
      <c r="N57" s="44"/>
      <c r="O57" s="59"/>
      <c r="P57" s="44" t="s">
        <v>125</v>
      </c>
      <c r="Q57" s="52">
        <v>60452.893873984911</v>
      </c>
      <c r="R57" s="71">
        <v>34</v>
      </c>
    </row>
    <row r="58" spans="1:18" x14ac:dyDescent="0.25">
      <c r="A58" s="66" t="s">
        <v>82</v>
      </c>
      <c r="B58" s="44" t="s">
        <v>121</v>
      </c>
      <c r="C58" s="60">
        <v>45880</v>
      </c>
      <c r="D58" s="60">
        <v>45880</v>
      </c>
      <c r="E58" s="44">
        <v>550047</v>
      </c>
      <c r="F58" s="44" t="s">
        <v>124</v>
      </c>
      <c r="G58" s="44" t="s">
        <v>140</v>
      </c>
      <c r="H58" s="44">
        <v>280511</v>
      </c>
      <c r="I58" s="44">
        <v>1</v>
      </c>
      <c r="J58" s="44">
        <v>7.2</v>
      </c>
      <c r="K58" s="61">
        <v>101.94417199999999</v>
      </c>
      <c r="L58" s="44">
        <v>10962</v>
      </c>
      <c r="M58" s="52">
        <v>1117512.01120847</v>
      </c>
      <c r="N58" s="44"/>
      <c r="O58" s="59"/>
      <c r="P58" s="44" t="s">
        <v>125</v>
      </c>
      <c r="Q58" s="52">
        <v>1117512.01120847</v>
      </c>
      <c r="R58" s="71">
        <v>-7618.03</v>
      </c>
    </row>
    <row r="59" spans="1:18" x14ac:dyDescent="0.25">
      <c r="A59" s="66" t="s">
        <v>80</v>
      </c>
      <c r="B59" s="44" t="s">
        <v>85</v>
      </c>
      <c r="C59" s="60">
        <v>45880</v>
      </c>
      <c r="D59" s="60">
        <v>45880</v>
      </c>
      <c r="E59" s="44">
        <v>854923</v>
      </c>
      <c r="F59" s="44" t="s">
        <v>156</v>
      </c>
      <c r="G59" s="44" t="s">
        <v>141</v>
      </c>
      <c r="H59" s="44">
        <v>11</v>
      </c>
      <c r="I59" s="44"/>
      <c r="J59" s="44"/>
      <c r="K59" s="61"/>
      <c r="L59" s="44"/>
      <c r="M59" s="52">
        <v>11022.66</v>
      </c>
      <c r="N59" s="44"/>
      <c r="O59" s="59"/>
      <c r="P59" s="44" t="s">
        <v>81</v>
      </c>
      <c r="Q59" s="52">
        <v>11022.66</v>
      </c>
      <c r="R59" s="70">
        <v>86.77</v>
      </c>
    </row>
    <row r="60" spans="1:18" x14ac:dyDescent="0.25">
      <c r="A60" s="66" t="s">
        <v>80</v>
      </c>
      <c r="B60" s="44" t="s">
        <v>121</v>
      </c>
      <c r="C60" s="60">
        <v>45880</v>
      </c>
      <c r="D60" s="60">
        <v>45880</v>
      </c>
      <c r="E60" s="44">
        <v>854923</v>
      </c>
      <c r="F60" s="44" t="s">
        <v>156</v>
      </c>
      <c r="G60" s="44" t="s">
        <v>141</v>
      </c>
      <c r="H60" s="44">
        <v>11</v>
      </c>
      <c r="I60" s="44"/>
      <c r="J60" s="44"/>
      <c r="K60" s="61"/>
      <c r="L60" s="44"/>
      <c r="M60" s="52">
        <v>7579.8600000000006</v>
      </c>
      <c r="N60" s="44"/>
      <c r="O60" s="59"/>
      <c r="P60" s="44" t="s">
        <v>81</v>
      </c>
      <c r="Q60" s="52">
        <v>7579.8600000000006</v>
      </c>
      <c r="R60" s="70">
        <v>-38.17</v>
      </c>
    </row>
    <row r="61" spans="1:18" x14ac:dyDescent="0.25">
      <c r="A61" s="66" t="s">
        <v>82</v>
      </c>
      <c r="B61" s="44" t="s">
        <v>85</v>
      </c>
      <c r="C61" s="60">
        <v>45880</v>
      </c>
      <c r="D61" s="60">
        <v>45881</v>
      </c>
      <c r="E61" s="44">
        <v>550047</v>
      </c>
      <c r="F61" s="44" t="s">
        <v>83</v>
      </c>
      <c r="G61" s="44" t="s">
        <v>140</v>
      </c>
      <c r="H61" s="44">
        <v>280511</v>
      </c>
      <c r="I61" s="44">
        <v>1</v>
      </c>
      <c r="J61" s="44">
        <v>344.28060968320329</v>
      </c>
      <c r="K61" s="61">
        <v>101.96456000000001</v>
      </c>
      <c r="L61" s="44">
        <v>16886</v>
      </c>
      <c r="M61" s="52">
        <v>1721773.5655272319</v>
      </c>
      <c r="N61" s="44"/>
      <c r="O61" s="59"/>
      <c r="P61" s="44" t="s">
        <v>81</v>
      </c>
      <c r="Q61" s="52">
        <v>1721773.5655272319</v>
      </c>
      <c r="R61" s="71">
        <v>1721860.34</v>
      </c>
    </row>
    <row r="62" spans="1:18" x14ac:dyDescent="0.25">
      <c r="A62" s="66" t="s">
        <v>82</v>
      </c>
      <c r="B62" s="44" t="s">
        <v>86</v>
      </c>
      <c r="C62" s="60">
        <v>45880</v>
      </c>
      <c r="D62" s="60">
        <v>45881</v>
      </c>
      <c r="E62" s="44">
        <v>550047</v>
      </c>
      <c r="F62" s="44" t="s">
        <v>83</v>
      </c>
      <c r="G62" s="44" t="s">
        <v>140</v>
      </c>
      <c r="H62" s="44">
        <v>280511</v>
      </c>
      <c r="I62" s="44">
        <v>1</v>
      </c>
      <c r="J62" s="44">
        <v>12.090394500896574</v>
      </c>
      <c r="K62" s="61">
        <v>101.96456000000001</v>
      </c>
      <c r="L62" s="44">
        <v>593</v>
      </c>
      <c r="M62" s="52">
        <v>60464.984268485641</v>
      </c>
      <c r="N62" s="44"/>
      <c r="O62" s="59"/>
      <c r="P62" s="44" t="s">
        <v>81</v>
      </c>
      <c r="Q62" s="52">
        <v>60464.984268485641</v>
      </c>
      <c r="R62" s="71">
        <v>60498.98</v>
      </c>
    </row>
    <row r="63" spans="1:18" x14ac:dyDescent="0.25">
      <c r="A63" s="66" t="s">
        <v>82</v>
      </c>
      <c r="B63" s="44" t="s">
        <v>121</v>
      </c>
      <c r="C63" s="60">
        <v>45880</v>
      </c>
      <c r="D63" s="60">
        <v>45881</v>
      </c>
      <c r="E63" s="44">
        <v>550047</v>
      </c>
      <c r="F63" s="44" t="s">
        <v>83</v>
      </c>
      <c r="G63" s="44" t="s">
        <v>140</v>
      </c>
      <c r="H63" s="44">
        <v>280511</v>
      </c>
      <c r="I63" s="44">
        <v>1</v>
      </c>
      <c r="J63" s="44">
        <v>223.49899581589924</v>
      </c>
      <c r="K63" s="61">
        <v>101.96456000000001</v>
      </c>
      <c r="L63" s="44">
        <v>10962</v>
      </c>
      <c r="M63" s="52">
        <v>1117735.5102042826</v>
      </c>
      <c r="N63" s="44"/>
      <c r="O63" s="59"/>
      <c r="P63" s="44" t="s">
        <v>81</v>
      </c>
      <c r="Q63" s="52">
        <v>1117735.5102042826</v>
      </c>
      <c r="R63" s="71">
        <v>1117697.3400000001</v>
      </c>
    </row>
    <row r="64" spans="1:18" x14ac:dyDescent="0.25">
      <c r="A64" s="66" t="s">
        <v>82</v>
      </c>
      <c r="B64" s="44" t="s">
        <v>85</v>
      </c>
      <c r="C64" s="60">
        <v>45881</v>
      </c>
      <c r="D64" s="60">
        <v>45881</v>
      </c>
      <c r="E64" s="44">
        <v>551411</v>
      </c>
      <c r="F64" s="44" t="s">
        <v>124</v>
      </c>
      <c r="G64" s="44" t="s">
        <v>140</v>
      </c>
      <c r="H64" s="44">
        <v>280907</v>
      </c>
      <c r="I64" s="44">
        <v>1</v>
      </c>
      <c r="J64" s="44">
        <v>7.2</v>
      </c>
      <c r="K64" s="61">
        <v>101.248536</v>
      </c>
      <c r="L64" s="44">
        <v>17006</v>
      </c>
      <c r="M64" s="52">
        <v>1721832.5983995607</v>
      </c>
      <c r="N64" s="44"/>
      <c r="O64" s="59"/>
      <c r="P64" s="44" t="s">
        <v>125</v>
      </c>
      <c r="Q64" s="52">
        <v>1721832.5983995607</v>
      </c>
      <c r="R64" s="70">
        <v>27.74</v>
      </c>
    </row>
    <row r="65" spans="1:18" x14ac:dyDescent="0.25">
      <c r="A65" s="66" t="s">
        <v>82</v>
      </c>
      <c r="B65" s="44" t="s">
        <v>86</v>
      </c>
      <c r="C65" s="60">
        <v>45881</v>
      </c>
      <c r="D65" s="60">
        <v>45881</v>
      </c>
      <c r="E65" s="44">
        <v>551411</v>
      </c>
      <c r="F65" s="44" t="s">
        <v>124</v>
      </c>
      <c r="G65" s="44" t="s">
        <v>140</v>
      </c>
      <c r="H65" s="44">
        <v>280907</v>
      </c>
      <c r="I65" s="44">
        <v>1</v>
      </c>
      <c r="J65" s="44">
        <v>7.2</v>
      </c>
      <c r="K65" s="61">
        <v>101.248536</v>
      </c>
      <c r="L65" s="44">
        <v>598</v>
      </c>
      <c r="M65" s="52">
        <v>60546.624358634443</v>
      </c>
      <c r="N65" s="44"/>
      <c r="O65" s="59"/>
      <c r="P65" s="44" t="s">
        <v>125</v>
      </c>
      <c r="Q65" s="52">
        <v>60546.624358634443</v>
      </c>
      <c r="R65" s="70">
        <v>-47.64</v>
      </c>
    </row>
    <row r="66" spans="1:18" x14ac:dyDescent="0.25">
      <c r="A66" s="66" t="s">
        <v>82</v>
      </c>
      <c r="B66" s="44" t="s">
        <v>121</v>
      </c>
      <c r="C66" s="60">
        <v>45881</v>
      </c>
      <c r="D66" s="60">
        <v>45881</v>
      </c>
      <c r="E66" s="44">
        <v>551411</v>
      </c>
      <c r="F66" s="44" t="s">
        <v>124</v>
      </c>
      <c r="G66" s="44" t="s">
        <v>140</v>
      </c>
      <c r="H66" s="44">
        <v>280907</v>
      </c>
      <c r="I66" s="44">
        <v>1</v>
      </c>
      <c r="J66" s="44">
        <v>7.2</v>
      </c>
      <c r="K66" s="61">
        <v>101.248536</v>
      </c>
      <c r="L66" s="44">
        <v>11038</v>
      </c>
      <c r="M66" s="52">
        <v>1117581.3372418175</v>
      </c>
      <c r="N66" s="44"/>
      <c r="O66" s="59"/>
      <c r="P66" s="44" t="s">
        <v>125</v>
      </c>
      <c r="Q66" s="52">
        <v>1117581.3372418175</v>
      </c>
      <c r="R66" s="70">
        <v>116</v>
      </c>
    </row>
    <row r="67" spans="1:18" x14ac:dyDescent="0.25">
      <c r="A67" s="66" t="s">
        <v>82</v>
      </c>
      <c r="B67" s="44" t="s">
        <v>85</v>
      </c>
      <c r="C67" s="60">
        <v>45881</v>
      </c>
      <c r="D67" s="60">
        <v>45882</v>
      </c>
      <c r="E67" s="44">
        <v>551411</v>
      </c>
      <c r="F67" s="44" t="s">
        <v>83</v>
      </c>
      <c r="G67" s="44" t="s">
        <v>140</v>
      </c>
      <c r="H67" s="44">
        <v>280907</v>
      </c>
      <c r="I67" s="44">
        <v>1</v>
      </c>
      <c r="J67" s="44">
        <v>344.36526569373575</v>
      </c>
      <c r="K67" s="61">
        <v>101.26878499999999</v>
      </c>
      <c r="L67" s="44">
        <v>17006</v>
      </c>
      <c r="M67" s="52">
        <v>1722176.9636652463</v>
      </c>
      <c r="N67" s="44"/>
      <c r="O67" s="59"/>
      <c r="P67" s="44" t="s">
        <v>81</v>
      </c>
      <c r="Q67" s="52">
        <v>1722176.9636652463</v>
      </c>
      <c r="R67" s="71">
        <v>1722204.7</v>
      </c>
    </row>
    <row r="68" spans="1:18" x14ac:dyDescent="0.25">
      <c r="A68" s="66" t="s">
        <v>82</v>
      </c>
      <c r="B68" s="44" t="s">
        <v>86</v>
      </c>
      <c r="C68" s="60">
        <v>45881</v>
      </c>
      <c r="D68" s="60">
        <v>45882</v>
      </c>
      <c r="E68" s="44">
        <v>551411</v>
      </c>
      <c r="F68" s="44" t="s">
        <v>83</v>
      </c>
      <c r="G68" s="44" t="s">
        <v>140</v>
      </c>
      <c r="H68" s="44">
        <v>280907</v>
      </c>
      <c r="I68" s="44">
        <v>1</v>
      </c>
      <c r="J68" s="44">
        <v>12.109280776482064</v>
      </c>
      <c r="K68" s="61">
        <v>101.26878499999999</v>
      </c>
      <c r="L68" s="44">
        <v>598</v>
      </c>
      <c r="M68" s="52">
        <v>60558.733639410631</v>
      </c>
      <c r="N68" s="44"/>
      <c r="O68" s="59"/>
      <c r="P68" s="44" t="s">
        <v>81</v>
      </c>
      <c r="Q68" s="52">
        <v>60558.733639410631</v>
      </c>
      <c r="R68" s="71">
        <v>60511.09</v>
      </c>
    </row>
    <row r="69" spans="1:18" x14ac:dyDescent="0.25">
      <c r="A69" s="66" t="s">
        <v>82</v>
      </c>
      <c r="B69" s="44" t="s">
        <v>121</v>
      </c>
      <c r="C69" s="60">
        <v>45881</v>
      </c>
      <c r="D69" s="60">
        <v>45882</v>
      </c>
      <c r="E69" s="44">
        <v>551411</v>
      </c>
      <c r="F69" s="44" t="s">
        <v>83</v>
      </c>
      <c r="G69" s="44" t="s">
        <v>140</v>
      </c>
      <c r="H69" s="44">
        <v>280907</v>
      </c>
      <c r="I69" s="44">
        <v>1</v>
      </c>
      <c r="J69" s="44">
        <v>223.51545352978096</v>
      </c>
      <c r="K69" s="61">
        <v>101.26878499999999</v>
      </c>
      <c r="L69" s="44">
        <v>11038</v>
      </c>
      <c r="M69" s="52">
        <v>1117804.8526953422</v>
      </c>
      <c r="N69" s="44"/>
      <c r="O69" s="59"/>
      <c r="P69" s="44" t="s">
        <v>81</v>
      </c>
      <c r="Q69" s="52">
        <v>1117804.8526953422</v>
      </c>
      <c r="R69" s="71">
        <v>1117920.8500000001</v>
      </c>
    </row>
    <row r="70" spans="1:18" x14ac:dyDescent="0.25">
      <c r="A70" s="66" t="s">
        <v>82</v>
      </c>
      <c r="B70" s="44" t="s">
        <v>85</v>
      </c>
      <c r="C70" s="60">
        <v>45882</v>
      </c>
      <c r="D70" s="60">
        <v>45882</v>
      </c>
      <c r="E70" s="44">
        <v>552723</v>
      </c>
      <c r="F70" s="44" t="s">
        <v>124</v>
      </c>
      <c r="G70" s="44" t="s">
        <v>140</v>
      </c>
      <c r="H70" s="44">
        <v>280907</v>
      </c>
      <c r="I70" s="44">
        <v>1</v>
      </c>
      <c r="J70" s="44">
        <v>7.2</v>
      </c>
      <c r="K70" s="61">
        <v>101.256533</v>
      </c>
      <c r="L70" s="44">
        <v>17029</v>
      </c>
      <c r="M70" s="52">
        <v>1724297.5002740915</v>
      </c>
      <c r="N70" s="44"/>
      <c r="O70" s="59"/>
      <c r="P70" s="44" t="s">
        <v>125</v>
      </c>
      <c r="Q70" s="52">
        <v>1724297.5002740915</v>
      </c>
      <c r="R70" s="71">
        <v>-2092.8000000000002</v>
      </c>
    </row>
    <row r="71" spans="1:18" x14ac:dyDescent="0.25">
      <c r="A71" s="66" t="s">
        <v>82</v>
      </c>
      <c r="B71" s="44" t="s">
        <v>86</v>
      </c>
      <c r="C71" s="60">
        <v>45882</v>
      </c>
      <c r="D71" s="60">
        <v>45882</v>
      </c>
      <c r="E71" s="44">
        <v>552723</v>
      </c>
      <c r="F71" s="44" t="s">
        <v>124</v>
      </c>
      <c r="G71" s="44" t="s">
        <v>140</v>
      </c>
      <c r="H71" s="44">
        <v>280907</v>
      </c>
      <c r="I71" s="44">
        <v>1</v>
      </c>
      <c r="J71" s="44">
        <v>7.2</v>
      </c>
      <c r="K71" s="61">
        <v>101.256533</v>
      </c>
      <c r="L71" s="44">
        <v>598</v>
      </c>
      <c r="M71" s="52">
        <v>60551.406727576883</v>
      </c>
      <c r="N71" s="44"/>
      <c r="O71" s="59"/>
      <c r="P71" s="44" t="s">
        <v>125</v>
      </c>
      <c r="Q71" s="52">
        <v>60551.406727576883</v>
      </c>
      <c r="R71" s="71">
        <v>-40.33</v>
      </c>
    </row>
    <row r="72" spans="1:18" x14ac:dyDescent="0.25">
      <c r="A72" s="66" t="s">
        <v>82</v>
      </c>
      <c r="B72" s="44" t="s">
        <v>121</v>
      </c>
      <c r="C72" s="60">
        <v>45882</v>
      </c>
      <c r="D72" s="60">
        <v>45882</v>
      </c>
      <c r="E72" s="44">
        <v>552723</v>
      </c>
      <c r="F72" s="44" t="s">
        <v>124</v>
      </c>
      <c r="G72" s="44" t="s">
        <v>140</v>
      </c>
      <c r="H72" s="44">
        <v>280907</v>
      </c>
      <c r="I72" s="44">
        <v>1</v>
      </c>
      <c r="J72" s="44">
        <v>7.2</v>
      </c>
      <c r="K72" s="61">
        <v>101.256533</v>
      </c>
      <c r="L72" s="44">
        <v>11049</v>
      </c>
      <c r="M72" s="52">
        <v>1118783.4329983226</v>
      </c>
      <c r="N72" s="44"/>
      <c r="O72" s="59"/>
      <c r="P72" s="44" t="s">
        <v>125</v>
      </c>
      <c r="Q72" s="52">
        <v>1118783.4329983226</v>
      </c>
      <c r="R72" s="71">
        <v>-862.58</v>
      </c>
    </row>
    <row r="73" spans="1:18" x14ac:dyDescent="0.25">
      <c r="A73" s="66" t="s">
        <v>80</v>
      </c>
      <c r="B73" s="44" t="s">
        <v>85</v>
      </c>
      <c r="C73" s="60">
        <v>45882</v>
      </c>
      <c r="D73" s="60">
        <v>45882</v>
      </c>
      <c r="E73" s="44">
        <v>854955</v>
      </c>
      <c r="F73" s="44" t="s">
        <v>155</v>
      </c>
      <c r="G73" s="44" t="s">
        <v>134</v>
      </c>
      <c r="H73" s="44">
        <v>13</v>
      </c>
      <c r="I73" s="44"/>
      <c r="J73" s="44"/>
      <c r="K73" s="61"/>
      <c r="L73" s="44"/>
      <c r="M73" s="52">
        <v>851.07</v>
      </c>
      <c r="N73" s="44"/>
      <c r="O73" s="59"/>
      <c r="P73" s="44" t="s">
        <v>81</v>
      </c>
      <c r="Q73" s="52">
        <v>851.07</v>
      </c>
      <c r="R73" s="71">
        <v>-1241.73</v>
      </c>
    </row>
    <row r="74" spans="1:18" x14ac:dyDescent="0.25">
      <c r="A74" s="66" t="s">
        <v>80</v>
      </c>
      <c r="B74" s="44" t="s">
        <v>121</v>
      </c>
      <c r="C74" s="60">
        <v>45882</v>
      </c>
      <c r="D74" s="60">
        <v>45882</v>
      </c>
      <c r="E74" s="44">
        <v>854955</v>
      </c>
      <c r="F74" s="44" t="s">
        <v>155</v>
      </c>
      <c r="G74" s="44" t="s">
        <v>134</v>
      </c>
      <c r="H74" s="44">
        <v>13</v>
      </c>
      <c r="I74" s="44"/>
      <c r="J74" s="44"/>
      <c r="K74" s="61"/>
      <c r="L74" s="44"/>
      <c r="M74" s="52">
        <v>357.51279999999986</v>
      </c>
      <c r="N74" s="44"/>
      <c r="O74" s="59"/>
      <c r="P74" s="44" t="s">
        <v>81</v>
      </c>
      <c r="Q74" s="52">
        <v>357.51279999999986</v>
      </c>
      <c r="R74" s="71">
        <v>-505.07</v>
      </c>
    </row>
    <row r="75" spans="1:18" x14ac:dyDescent="0.25">
      <c r="A75" s="66" t="s">
        <v>80</v>
      </c>
      <c r="B75" s="44" t="s">
        <v>85</v>
      </c>
      <c r="C75" s="60">
        <v>45882</v>
      </c>
      <c r="D75" s="60">
        <v>45882</v>
      </c>
      <c r="E75" s="44">
        <v>854956</v>
      </c>
      <c r="F75" s="44" t="s">
        <v>156</v>
      </c>
      <c r="G75" s="44" t="s">
        <v>134</v>
      </c>
      <c r="H75" s="44">
        <v>13</v>
      </c>
      <c r="I75" s="44"/>
      <c r="J75" s="44"/>
      <c r="K75" s="61"/>
      <c r="L75" s="44"/>
      <c r="M75" s="52">
        <v>1291.3800000000001</v>
      </c>
      <c r="N75" s="44"/>
      <c r="O75" s="59"/>
      <c r="P75" s="44" t="s">
        <v>81</v>
      </c>
      <c r="Q75" s="52">
        <v>1291.3800000000001</v>
      </c>
      <c r="R75" s="70">
        <v>49.66</v>
      </c>
    </row>
    <row r="76" spans="1:18" x14ac:dyDescent="0.25">
      <c r="A76" s="66" t="s">
        <v>80</v>
      </c>
      <c r="B76" s="44" t="s">
        <v>121</v>
      </c>
      <c r="C76" s="60">
        <v>45882</v>
      </c>
      <c r="D76" s="60">
        <v>45882</v>
      </c>
      <c r="E76" s="44">
        <v>854956</v>
      </c>
      <c r="F76" s="44" t="s">
        <v>156</v>
      </c>
      <c r="G76" s="44" t="s">
        <v>134</v>
      </c>
      <c r="H76" s="44">
        <v>13</v>
      </c>
      <c r="I76" s="44"/>
      <c r="J76" s="44"/>
      <c r="K76" s="61"/>
      <c r="L76" s="44"/>
      <c r="M76" s="52">
        <v>542.4871999999998</v>
      </c>
      <c r="N76" s="44"/>
      <c r="O76" s="59"/>
      <c r="P76" s="44" t="s">
        <v>81</v>
      </c>
      <c r="Q76" s="52">
        <v>542.4871999999998</v>
      </c>
      <c r="R76" s="70">
        <v>37.43</v>
      </c>
    </row>
    <row r="77" spans="1:18" x14ac:dyDescent="0.25">
      <c r="A77" s="66" t="s">
        <v>82</v>
      </c>
      <c r="B77" s="44" t="s">
        <v>85</v>
      </c>
      <c r="C77" s="60">
        <v>45882</v>
      </c>
      <c r="D77" s="60">
        <v>45883</v>
      </c>
      <c r="E77" s="44">
        <v>552723</v>
      </c>
      <c r="F77" s="44" t="s">
        <v>83</v>
      </c>
      <c r="G77" s="44" t="s">
        <v>140</v>
      </c>
      <c r="H77" s="44">
        <v>280907</v>
      </c>
      <c r="I77" s="44">
        <v>1</v>
      </c>
      <c r="J77" s="44">
        <v>344.85565908773845</v>
      </c>
      <c r="K77" s="61">
        <v>101.27678400000001</v>
      </c>
      <c r="L77" s="44">
        <v>17029</v>
      </c>
      <c r="M77" s="52">
        <v>1724642.3559331899</v>
      </c>
      <c r="N77" s="44"/>
      <c r="O77" s="59"/>
      <c r="P77" s="44" t="s">
        <v>81</v>
      </c>
      <c r="Q77" s="52">
        <v>1724642.3559331899</v>
      </c>
      <c r="R77" s="71">
        <v>1724692.02</v>
      </c>
    </row>
    <row r="78" spans="1:18" x14ac:dyDescent="0.25">
      <c r="A78" s="66" t="s">
        <v>82</v>
      </c>
      <c r="B78" s="44" t="s">
        <v>86</v>
      </c>
      <c r="C78" s="60">
        <v>45882</v>
      </c>
      <c r="D78" s="60">
        <v>45883</v>
      </c>
      <c r="E78" s="44">
        <v>552723</v>
      </c>
      <c r="F78" s="44" t="s">
        <v>83</v>
      </c>
      <c r="G78" s="44" t="s">
        <v>140</v>
      </c>
      <c r="H78" s="44">
        <v>280907</v>
      </c>
      <c r="I78" s="44">
        <v>1</v>
      </c>
      <c r="J78" s="44">
        <v>12.110146463941959</v>
      </c>
      <c r="K78" s="61">
        <v>101.27678400000001</v>
      </c>
      <c r="L78" s="44">
        <v>598</v>
      </c>
      <c r="M78" s="52">
        <v>60563.51687404119</v>
      </c>
      <c r="N78" s="44"/>
      <c r="O78" s="59"/>
      <c r="P78" s="44" t="s">
        <v>81</v>
      </c>
      <c r="Q78" s="52">
        <v>60563.51687404119</v>
      </c>
      <c r="R78" s="71">
        <v>60523.19</v>
      </c>
    </row>
    <row r="79" spans="1:18" x14ac:dyDescent="0.25">
      <c r="A79" s="66" t="s">
        <v>82</v>
      </c>
      <c r="B79" s="44" t="s">
        <v>121</v>
      </c>
      <c r="C79" s="60">
        <v>45882</v>
      </c>
      <c r="D79" s="60">
        <v>45883</v>
      </c>
      <c r="E79" s="44">
        <v>552723</v>
      </c>
      <c r="F79" s="44" t="s">
        <v>83</v>
      </c>
      <c r="G79" s="44" t="s">
        <v>140</v>
      </c>
      <c r="H79" s="44">
        <v>280907</v>
      </c>
      <c r="I79" s="44">
        <v>1</v>
      </c>
      <c r="J79" s="44">
        <v>223.75419444831888</v>
      </c>
      <c r="K79" s="61">
        <v>101.27678400000001</v>
      </c>
      <c r="L79" s="44">
        <v>11049</v>
      </c>
      <c r="M79" s="52">
        <v>1119007.1871927779</v>
      </c>
      <c r="N79" s="44"/>
      <c r="O79" s="59"/>
      <c r="P79" s="44" t="s">
        <v>81</v>
      </c>
      <c r="Q79" s="52">
        <v>1119007.1871927779</v>
      </c>
      <c r="R79" s="71">
        <v>1119044.6200000001</v>
      </c>
    </row>
    <row r="80" spans="1:18" x14ac:dyDescent="0.25">
      <c r="A80" s="79" t="s">
        <v>82</v>
      </c>
      <c r="B80" s="77" t="s">
        <v>85</v>
      </c>
      <c r="C80" s="92">
        <v>45883</v>
      </c>
      <c r="D80" s="92">
        <v>45883</v>
      </c>
      <c r="E80" s="77">
        <v>554079</v>
      </c>
      <c r="F80" s="77" t="s">
        <v>124</v>
      </c>
      <c r="G80" s="77" t="s">
        <v>140</v>
      </c>
      <c r="H80" s="77">
        <v>280511</v>
      </c>
      <c r="I80" s="77">
        <v>1</v>
      </c>
      <c r="J80" s="77">
        <v>7.2</v>
      </c>
      <c r="K80" s="103">
        <v>99.731368000000003</v>
      </c>
      <c r="L80" s="77">
        <v>17293</v>
      </c>
      <c r="M80" s="78">
        <v>1724654.5550429253</v>
      </c>
      <c r="N80" s="77"/>
      <c r="O80" s="93"/>
      <c r="P80" s="77" t="s">
        <v>125</v>
      </c>
      <c r="Q80" s="78">
        <v>1724654.5550429253</v>
      </c>
      <c r="R80" s="104">
        <v>37.46</v>
      </c>
    </row>
    <row r="81" spans="1:18" x14ac:dyDescent="0.25">
      <c r="A81" s="79" t="s">
        <v>82</v>
      </c>
      <c r="B81" s="77" t="s">
        <v>86</v>
      </c>
      <c r="C81" s="92">
        <v>45883</v>
      </c>
      <c r="D81" s="92">
        <v>45883</v>
      </c>
      <c r="E81" s="77">
        <v>554079</v>
      </c>
      <c r="F81" s="77" t="s">
        <v>124</v>
      </c>
      <c r="G81" s="77" t="s">
        <v>140</v>
      </c>
      <c r="H81" s="77">
        <v>280511</v>
      </c>
      <c r="I81" s="77">
        <v>1</v>
      </c>
      <c r="J81" s="77">
        <v>7.2</v>
      </c>
      <c r="K81" s="103">
        <v>99.731368000000003</v>
      </c>
      <c r="L81" s="77">
        <v>607</v>
      </c>
      <c r="M81" s="78">
        <v>60536.94066449174</v>
      </c>
      <c r="N81" s="77"/>
      <c r="O81" s="93"/>
      <c r="P81" s="77" t="s">
        <v>125</v>
      </c>
      <c r="Q81" s="78">
        <v>60536.94066449174</v>
      </c>
      <c r="R81" s="104">
        <v>-13.75</v>
      </c>
    </row>
    <row r="82" spans="1:18" x14ac:dyDescent="0.25">
      <c r="A82" s="79" t="s">
        <v>82</v>
      </c>
      <c r="B82" s="77" t="s">
        <v>121</v>
      </c>
      <c r="C82" s="92">
        <v>45883</v>
      </c>
      <c r="D82" s="92">
        <v>45883</v>
      </c>
      <c r="E82" s="77">
        <v>554079</v>
      </c>
      <c r="F82" s="77" t="s">
        <v>124</v>
      </c>
      <c r="G82" s="77" t="s">
        <v>140</v>
      </c>
      <c r="H82" s="77">
        <v>280511</v>
      </c>
      <c r="I82" s="77">
        <v>1</v>
      </c>
      <c r="J82" s="77">
        <v>7.2</v>
      </c>
      <c r="K82" s="103">
        <v>99.731368000000003</v>
      </c>
      <c r="L82" s="77">
        <v>11220</v>
      </c>
      <c r="M82" s="78">
        <v>1118985.9542925819</v>
      </c>
      <c r="N82" s="77"/>
      <c r="O82" s="93"/>
      <c r="P82" s="77" t="s">
        <v>125</v>
      </c>
      <c r="Q82" s="78">
        <v>1118985.9542925819</v>
      </c>
      <c r="R82" s="104">
        <v>58.67</v>
      </c>
    </row>
    <row r="83" spans="1:18" x14ac:dyDescent="0.25">
      <c r="A83" s="66" t="s">
        <v>82</v>
      </c>
      <c r="B83" s="44" t="s">
        <v>85</v>
      </c>
      <c r="C83" s="60">
        <v>45883</v>
      </c>
      <c r="D83" s="60">
        <v>45884</v>
      </c>
      <c r="E83" s="44">
        <v>554079</v>
      </c>
      <c r="F83" s="44" t="s">
        <v>83</v>
      </c>
      <c r="G83" s="44" t="s">
        <v>140</v>
      </c>
      <c r="H83" s="44">
        <v>280511</v>
      </c>
      <c r="I83" s="44">
        <v>1</v>
      </c>
      <c r="J83" s="44">
        <v>344.92765075549511</v>
      </c>
      <c r="K83" s="44">
        <v>99.751315000000005</v>
      </c>
      <c r="L83" s="44">
        <v>17293</v>
      </c>
      <c r="M83" s="52">
        <v>1724999.482693682</v>
      </c>
      <c r="N83" s="44"/>
      <c r="O83" s="44"/>
      <c r="P83" s="44" t="s">
        <v>81</v>
      </c>
      <c r="Q83" s="52">
        <v>1724999.482693682</v>
      </c>
      <c r="R83" s="71">
        <v>1725036.94</v>
      </c>
    </row>
    <row r="84" spans="1:18" x14ac:dyDescent="0.25">
      <c r="A84" s="66" t="s">
        <v>82</v>
      </c>
      <c r="B84" s="44" t="s">
        <v>86</v>
      </c>
      <c r="C84" s="60">
        <v>45883</v>
      </c>
      <c r="D84" s="60">
        <v>45884</v>
      </c>
      <c r="E84" s="44">
        <v>554079</v>
      </c>
      <c r="F84" s="44" t="s">
        <v>83</v>
      </c>
      <c r="G84" s="44" t="s">
        <v>140</v>
      </c>
      <c r="H84" s="44">
        <v>280511</v>
      </c>
      <c r="I84" s="44">
        <v>1</v>
      </c>
      <c r="J84" s="44">
        <v>12.107273695054966</v>
      </c>
      <c r="K84" s="44">
        <v>99.751315000000005</v>
      </c>
      <c r="L84" s="44">
        <v>607</v>
      </c>
      <c r="M84" s="52">
        <v>60549.047938186843</v>
      </c>
      <c r="N84" s="44"/>
      <c r="O84" s="44"/>
      <c r="P84" s="44" t="s">
        <v>81</v>
      </c>
      <c r="Q84" s="52">
        <v>60549.047938186843</v>
      </c>
      <c r="R84" s="71">
        <v>60535.3</v>
      </c>
    </row>
    <row r="85" spans="1:18" x14ac:dyDescent="0.25">
      <c r="A85" s="66" t="s">
        <v>82</v>
      </c>
      <c r="B85" s="44" t="s">
        <v>121</v>
      </c>
      <c r="C85" s="60">
        <v>45883</v>
      </c>
      <c r="D85" s="60">
        <v>45884</v>
      </c>
      <c r="E85" s="44">
        <v>554079</v>
      </c>
      <c r="F85" s="44" t="s">
        <v>83</v>
      </c>
      <c r="G85" s="44" t="s">
        <v>140</v>
      </c>
      <c r="H85" s="44">
        <v>280511</v>
      </c>
      <c r="I85" s="44">
        <v>1</v>
      </c>
      <c r="J85" s="44">
        <v>223.79507554945096</v>
      </c>
      <c r="K85" s="44">
        <v>99.751315000000005</v>
      </c>
      <c r="L85" s="44">
        <v>11220</v>
      </c>
      <c r="M85" s="52">
        <v>1119209.7493681323</v>
      </c>
      <c r="N85" s="44"/>
      <c r="O85" s="44"/>
      <c r="P85" s="44" t="s">
        <v>81</v>
      </c>
      <c r="Q85" s="52">
        <v>1119209.7493681323</v>
      </c>
      <c r="R85" s="71">
        <v>1119268.42</v>
      </c>
    </row>
    <row r="86" spans="1:18" x14ac:dyDescent="0.25">
      <c r="A86" s="66" t="s">
        <v>82</v>
      </c>
      <c r="B86" s="44" t="s">
        <v>85</v>
      </c>
      <c r="C86" s="60">
        <v>45884</v>
      </c>
      <c r="D86" s="60">
        <v>45884</v>
      </c>
      <c r="E86" s="44">
        <v>555428</v>
      </c>
      <c r="F86" s="44" t="s">
        <v>124</v>
      </c>
      <c r="G86" s="44" t="s">
        <v>140</v>
      </c>
      <c r="H86" s="44">
        <v>280907</v>
      </c>
      <c r="I86" s="44">
        <v>3</v>
      </c>
      <c r="J86" s="44">
        <v>7.2</v>
      </c>
      <c r="K86" s="61">
        <v>101.29492399999999</v>
      </c>
      <c r="L86" s="44">
        <v>17030</v>
      </c>
      <c r="M86" s="52">
        <v>1725052.5524252909</v>
      </c>
      <c r="N86" s="44"/>
      <c r="O86" s="59"/>
      <c r="P86" s="44" t="s">
        <v>125</v>
      </c>
      <c r="Q86" s="52">
        <v>1725052.5524252909</v>
      </c>
      <c r="R86" s="70">
        <v>-15.61</v>
      </c>
    </row>
    <row r="87" spans="1:18" x14ac:dyDescent="0.25">
      <c r="A87" s="66" t="s">
        <v>82</v>
      </c>
      <c r="B87" s="44" t="s">
        <v>86</v>
      </c>
      <c r="C87" s="60">
        <v>45884</v>
      </c>
      <c r="D87" s="60">
        <v>45884</v>
      </c>
      <c r="E87" s="44">
        <v>555428</v>
      </c>
      <c r="F87" s="44" t="s">
        <v>124</v>
      </c>
      <c r="G87" s="44" t="s">
        <v>140</v>
      </c>
      <c r="H87" s="44">
        <v>280907</v>
      </c>
      <c r="I87" s="44">
        <v>3</v>
      </c>
      <c r="J87" s="44">
        <v>7.2</v>
      </c>
      <c r="K87" s="61">
        <v>101.29492399999999</v>
      </c>
      <c r="L87" s="44">
        <v>598</v>
      </c>
      <c r="M87" s="52">
        <v>60574.364436307929</v>
      </c>
      <c r="N87" s="44"/>
      <c r="O87" s="59"/>
      <c r="P87" s="44" t="s">
        <v>125</v>
      </c>
      <c r="Q87" s="52">
        <v>60574.364436307929</v>
      </c>
      <c r="R87" s="70">
        <v>-39.06</v>
      </c>
    </row>
    <row r="88" spans="1:18" x14ac:dyDescent="0.25">
      <c r="A88" s="66" t="s">
        <v>82</v>
      </c>
      <c r="B88" s="44" t="s">
        <v>121</v>
      </c>
      <c r="C88" s="60">
        <v>45884</v>
      </c>
      <c r="D88" s="60">
        <v>45884</v>
      </c>
      <c r="E88" s="44">
        <v>555428</v>
      </c>
      <c r="F88" s="44" t="s">
        <v>124</v>
      </c>
      <c r="G88" s="44" t="s">
        <v>140</v>
      </c>
      <c r="H88" s="44">
        <v>280907</v>
      </c>
      <c r="I88" s="44">
        <v>3</v>
      </c>
      <c r="J88" s="44">
        <v>7.2</v>
      </c>
      <c r="K88" s="61">
        <v>101.29492399999999</v>
      </c>
      <c r="L88" s="44">
        <v>11049</v>
      </c>
      <c r="M88" s="52">
        <v>1119207.6131384051</v>
      </c>
      <c r="N88" s="44"/>
      <c r="O88" s="59"/>
      <c r="P88" s="44" t="s">
        <v>125</v>
      </c>
      <c r="Q88" s="52">
        <v>1119207.6131384051</v>
      </c>
      <c r="R88" s="70">
        <v>60.81</v>
      </c>
    </row>
    <row r="89" spans="1:18" x14ac:dyDescent="0.25">
      <c r="A89" s="66"/>
      <c r="B89" s="44" t="s">
        <v>85</v>
      </c>
      <c r="C89" s="60">
        <v>45884</v>
      </c>
      <c r="D89" s="60">
        <v>45887</v>
      </c>
      <c r="E89" s="44">
        <v>8852</v>
      </c>
      <c r="F89" s="44" t="s">
        <v>158</v>
      </c>
      <c r="G89" s="44" t="s">
        <v>101</v>
      </c>
      <c r="H89" s="44" t="s">
        <v>102</v>
      </c>
      <c r="I89" s="44"/>
      <c r="J89" s="44"/>
      <c r="K89" s="61">
        <v>160.74</v>
      </c>
      <c r="L89" s="44">
        <v>600</v>
      </c>
      <c r="M89" s="52">
        <v>96444</v>
      </c>
      <c r="N89" s="44"/>
      <c r="O89" s="59"/>
      <c r="P89" s="44" t="s">
        <v>125</v>
      </c>
      <c r="Q89" s="52">
        <v>96444</v>
      </c>
      <c r="R89" s="71">
        <v>-96459.61</v>
      </c>
    </row>
    <row r="90" spans="1:18" x14ac:dyDescent="0.25">
      <c r="A90" s="66"/>
      <c r="B90" s="44" t="s">
        <v>85</v>
      </c>
      <c r="C90" s="60">
        <v>45884</v>
      </c>
      <c r="D90" s="60">
        <v>45887</v>
      </c>
      <c r="E90" s="44">
        <v>8852</v>
      </c>
      <c r="F90" s="44" t="s">
        <v>159</v>
      </c>
      <c r="G90" s="44" t="s">
        <v>101</v>
      </c>
      <c r="H90" s="44" t="s">
        <v>102</v>
      </c>
      <c r="I90" s="44"/>
      <c r="J90" s="44"/>
      <c r="K90" s="61"/>
      <c r="L90" s="44"/>
      <c r="M90" s="44">
        <v>86.799599999999998</v>
      </c>
      <c r="N90" s="110">
        <v>8.9999999999999998E-4</v>
      </c>
      <c r="O90" s="59">
        <v>13.887936</v>
      </c>
      <c r="P90" s="44" t="s">
        <v>125</v>
      </c>
      <c r="Q90" s="44">
        <v>100.68753599999999</v>
      </c>
      <c r="R90" s="71">
        <v>-96560.297535999998</v>
      </c>
    </row>
    <row r="91" spans="1:18" x14ac:dyDescent="0.25">
      <c r="A91" s="66" t="s">
        <v>82</v>
      </c>
      <c r="B91" s="44" t="s">
        <v>121</v>
      </c>
      <c r="C91" s="60">
        <v>45884</v>
      </c>
      <c r="D91" s="60">
        <v>45887</v>
      </c>
      <c r="E91" s="44">
        <v>8852</v>
      </c>
      <c r="F91" s="44" t="s">
        <v>158</v>
      </c>
      <c r="G91" s="44" t="s">
        <v>101</v>
      </c>
      <c r="H91" s="44" t="s">
        <v>102</v>
      </c>
      <c r="I91" s="44"/>
      <c r="J91" s="44"/>
      <c r="K91" s="61">
        <v>160.74</v>
      </c>
      <c r="L91" s="44">
        <v>93</v>
      </c>
      <c r="M91" s="52">
        <v>14948.82</v>
      </c>
      <c r="N91" s="44"/>
      <c r="O91" s="59"/>
      <c r="P91" s="44" t="s">
        <v>125</v>
      </c>
      <c r="Q91" s="52">
        <v>14948.82</v>
      </c>
      <c r="R91" s="71">
        <v>-14888.01</v>
      </c>
    </row>
    <row r="92" spans="1:18" x14ac:dyDescent="0.25">
      <c r="A92" s="66" t="s">
        <v>82</v>
      </c>
      <c r="B92" s="44" t="s">
        <v>121</v>
      </c>
      <c r="C92" s="60">
        <v>45884</v>
      </c>
      <c r="D92" s="60">
        <v>45887</v>
      </c>
      <c r="E92" s="44">
        <v>8852</v>
      </c>
      <c r="F92" s="44" t="s">
        <v>159</v>
      </c>
      <c r="G92" s="44" t="s">
        <v>101</v>
      </c>
      <c r="H92" s="44" t="s">
        <v>102</v>
      </c>
      <c r="I92" s="44"/>
      <c r="J92" s="44"/>
      <c r="K92" s="61"/>
      <c r="L92" s="44"/>
      <c r="M92" s="44">
        <v>13.453938000000001</v>
      </c>
      <c r="N92" s="110">
        <v>8.9999999999999998E-4</v>
      </c>
      <c r="O92" s="59">
        <v>2.1526299999999998</v>
      </c>
      <c r="P92" s="44" t="s">
        <v>125</v>
      </c>
      <c r="Q92" s="44">
        <v>15.606567999999999</v>
      </c>
      <c r="R92" s="71">
        <v>-14903.616567999999</v>
      </c>
    </row>
    <row r="93" spans="1:18" x14ac:dyDescent="0.25">
      <c r="A93" s="66" t="s">
        <v>82</v>
      </c>
      <c r="B93" s="44" t="s">
        <v>121</v>
      </c>
      <c r="C93" s="60">
        <v>45884</v>
      </c>
      <c r="D93" s="60">
        <v>45887</v>
      </c>
      <c r="E93" s="44">
        <v>8852</v>
      </c>
      <c r="F93" s="44" t="s">
        <v>158</v>
      </c>
      <c r="G93" s="44" t="s">
        <v>101</v>
      </c>
      <c r="H93" s="44" t="s">
        <v>102</v>
      </c>
      <c r="I93" s="44"/>
      <c r="J93" s="44"/>
      <c r="K93" s="61">
        <v>160.74</v>
      </c>
      <c r="L93" s="44">
        <v>307</v>
      </c>
      <c r="M93" s="52">
        <v>49347.18</v>
      </c>
      <c r="N93" s="44"/>
      <c r="O93" s="59"/>
      <c r="P93" s="44" t="s">
        <v>125</v>
      </c>
      <c r="Q93" s="52">
        <v>49347.18</v>
      </c>
      <c r="R93" s="71">
        <v>-64250.796567999998</v>
      </c>
    </row>
    <row r="94" spans="1:18" x14ac:dyDescent="0.25">
      <c r="A94" s="66" t="s">
        <v>82</v>
      </c>
      <c r="B94" s="44" t="s">
        <v>121</v>
      </c>
      <c r="C94" s="60">
        <v>45884</v>
      </c>
      <c r="D94" s="60">
        <v>45887</v>
      </c>
      <c r="E94" s="44">
        <v>8852</v>
      </c>
      <c r="F94" s="44" t="s">
        <v>159</v>
      </c>
      <c r="G94" s="44" t="s">
        <v>101</v>
      </c>
      <c r="H94" s="44" t="s">
        <v>102</v>
      </c>
      <c r="I94" s="44"/>
      <c r="J94" s="44"/>
      <c r="K94" s="61"/>
      <c r="L94" s="44"/>
      <c r="M94" s="44">
        <v>44.412461999999998</v>
      </c>
      <c r="N94" s="110">
        <v>8.9999999999999998E-4</v>
      </c>
      <c r="O94" s="59">
        <v>7.1059929999999998</v>
      </c>
      <c r="P94" s="44" t="s">
        <v>125</v>
      </c>
      <c r="Q94" s="44">
        <v>51.518455000000003</v>
      </c>
      <c r="R94" s="71">
        <v>-64302.315022999996</v>
      </c>
    </row>
    <row r="95" spans="1:18" x14ac:dyDescent="0.25">
      <c r="A95" s="66"/>
      <c r="B95" s="44" t="s">
        <v>85</v>
      </c>
      <c r="C95" s="60">
        <v>45884</v>
      </c>
      <c r="D95" s="60">
        <v>45887</v>
      </c>
      <c r="E95" s="44">
        <v>8853</v>
      </c>
      <c r="F95" s="44" t="s">
        <v>158</v>
      </c>
      <c r="G95" s="44" t="s">
        <v>151</v>
      </c>
      <c r="H95" s="44" t="s">
        <v>94</v>
      </c>
      <c r="I95" s="44"/>
      <c r="J95" s="44"/>
      <c r="K95" s="61">
        <v>1508.5</v>
      </c>
      <c r="L95" s="44">
        <v>60</v>
      </c>
      <c r="M95" s="52">
        <v>90510</v>
      </c>
      <c r="N95" s="44"/>
      <c r="O95" s="59"/>
      <c r="P95" s="44" t="s">
        <v>125</v>
      </c>
      <c r="Q95" s="52">
        <v>90510</v>
      </c>
      <c r="R95" s="71">
        <v>-187070.297536</v>
      </c>
    </row>
    <row r="96" spans="1:18" x14ac:dyDescent="0.25">
      <c r="A96" s="66"/>
      <c r="B96" s="44" t="s">
        <v>85</v>
      </c>
      <c r="C96" s="60">
        <v>45884</v>
      </c>
      <c r="D96" s="60">
        <v>45887</v>
      </c>
      <c r="E96" s="44">
        <v>8853</v>
      </c>
      <c r="F96" s="44" t="s">
        <v>159</v>
      </c>
      <c r="G96" s="44" t="s">
        <v>151</v>
      </c>
      <c r="H96" s="44" t="s">
        <v>94</v>
      </c>
      <c r="I96" s="44"/>
      <c r="J96" s="44"/>
      <c r="K96" s="61"/>
      <c r="L96" s="44"/>
      <c r="M96" s="44">
        <v>81.459000000000003</v>
      </c>
      <c r="N96" s="110">
        <v>8.9999999999999998E-4</v>
      </c>
      <c r="O96" s="59">
        <v>13.033440000000001</v>
      </c>
      <c r="P96" s="44" t="s">
        <v>125</v>
      </c>
      <c r="Q96" s="44">
        <v>94.492440000000002</v>
      </c>
      <c r="R96" s="71">
        <v>-187164.789976</v>
      </c>
    </row>
    <row r="97" spans="1:18" x14ac:dyDescent="0.25">
      <c r="A97" s="66" t="s">
        <v>82</v>
      </c>
      <c r="B97" s="44" t="s">
        <v>121</v>
      </c>
      <c r="C97" s="60">
        <v>45884</v>
      </c>
      <c r="D97" s="60">
        <v>45887</v>
      </c>
      <c r="E97" s="44">
        <v>8853</v>
      </c>
      <c r="F97" s="44" t="s">
        <v>158</v>
      </c>
      <c r="G97" s="44" t="s">
        <v>151</v>
      </c>
      <c r="H97" s="44" t="s">
        <v>94</v>
      </c>
      <c r="I97" s="44"/>
      <c r="J97" s="44"/>
      <c r="K97" s="61">
        <v>1508.5</v>
      </c>
      <c r="L97" s="44">
        <v>40</v>
      </c>
      <c r="M97" s="52">
        <v>60340</v>
      </c>
      <c r="N97" s="44"/>
      <c r="O97" s="59"/>
      <c r="P97" s="44" t="s">
        <v>125</v>
      </c>
      <c r="Q97" s="52">
        <v>60340</v>
      </c>
      <c r="R97" s="71">
        <v>-124642.315023</v>
      </c>
    </row>
    <row r="98" spans="1:18" x14ac:dyDescent="0.25">
      <c r="A98" s="66" t="s">
        <v>82</v>
      </c>
      <c r="B98" s="44" t="s">
        <v>121</v>
      </c>
      <c r="C98" s="60">
        <v>45884</v>
      </c>
      <c r="D98" s="60">
        <v>45887</v>
      </c>
      <c r="E98" s="44">
        <v>8853</v>
      </c>
      <c r="F98" s="44" t="s">
        <v>159</v>
      </c>
      <c r="G98" s="44" t="s">
        <v>151</v>
      </c>
      <c r="H98" s="44" t="s">
        <v>94</v>
      </c>
      <c r="I98" s="44"/>
      <c r="J98" s="44"/>
      <c r="K98" s="61"/>
      <c r="L98" s="44"/>
      <c r="M98" s="44">
        <v>54.305999999999997</v>
      </c>
      <c r="N98" s="110">
        <v>8.9999999999999998E-4</v>
      </c>
      <c r="O98" s="59">
        <v>8.6889599999999998</v>
      </c>
      <c r="P98" s="44" t="s">
        <v>125</v>
      </c>
      <c r="Q98" s="44">
        <v>62.994959999999999</v>
      </c>
      <c r="R98" s="71">
        <v>-124705.309983</v>
      </c>
    </row>
    <row r="99" spans="1:18" x14ac:dyDescent="0.25">
      <c r="A99" s="66"/>
      <c r="B99" s="44" t="s">
        <v>85</v>
      </c>
      <c r="C99" s="60">
        <v>45884</v>
      </c>
      <c r="D99" s="60">
        <v>45887</v>
      </c>
      <c r="E99" s="44">
        <v>8854</v>
      </c>
      <c r="F99" s="44" t="s">
        <v>158</v>
      </c>
      <c r="G99" s="44" t="s">
        <v>147</v>
      </c>
      <c r="H99" s="44" t="s">
        <v>94</v>
      </c>
      <c r="I99" s="44"/>
      <c r="J99" s="44"/>
      <c r="K99" s="61">
        <v>3241</v>
      </c>
      <c r="L99" s="44">
        <v>42</v>
      </c>
      <c r="M99" s="52">
        <v>136122</v>
      </c>
      <c r="N99" s="44"/>
      <c r="O99" s="59"/>
      <c r="P99" s="44" t="s">
        <v>125</v>
      </c>
      <c r="Q99" s="52">
        <v>136122</v>
      </c>
      <c r="R99" s="71">
        <v>-323286.78997599997</v>
      </c>
    </row>
    <row r="100" spans="1:18" x14ac:dyDescent="0.25">
      <c r="A100" s="66"/>
      <c r="B100" s="44" t="s">
        <v>85</v>
      </c>
      <c r="C100" s="60">
        <v>45884</v>
      </c>
      <c r="D100" s="60">
        <v>45887</v>
      </c>
      <c r="E100" s="44">
        <v>8854</v>
      </c>
      <c r="F100" s="44" t="s">
        <v>159</v>
      </c>
      <c r="G100" s="44" t="s">
        <v>147</v>
      </c>
      <c r="H100" s="44" t="s">
        <v>94</v>
      </c>
      <c r="I100" s="44"/>
      <c r="J100" s="44"/>
      <c r="K100" s="61"/>
      <c r="L100" s="44"/>
      <c r="M100" s="44">
        <v>122.5098</v>
      </c>
      <c r="N100" s="110">
        <v>8.9999999999999998E-4</v>
      </c>
      <c r="O100" s="59">
        <v>19.601568</v>
      </c>
      <c r="P100" s="44" t="s">
        <v>125</v>
      </c>
      <c r="Q100" s="44">
        <v>142.111368</v>
      </c>
      <c r="R100" s="71">
        <v>-323428.90134399995</v>
      </c>
    </row>
    <row r="101" spans="1:18" x14ac:dyDescent="0.25">
      <c r="A101" s="66" t="s">
        <v>82</v>
      </c>
      <c r="B101" s="44" t="s">
        <v>121</v>
      </c>
      <c r="C101" s="60">
        <v>45884</v>
      </c>
      <c r="D101" s="60">
        <v>45887</v>
      </c>
      <c r="E101" s="44">
        <v>8854</v>
      </c>
      <c r="F101" s="44" t="s">
        <v>158</v>
      </c>
      <c r="G101" s="44" t="s">
        <v>147</v>
      </c>
      <c r="H101" s="44" t="s">
        <v>94</v>
      </c>
      <c r="I101" s="44"/>
      <c r="J101" s="44"/>
      <c r="K101" s="61">
        <v>3241</v>
      </c>
      <c r="L101" s="44">
        <v>28</v>
      </c>
      <c r="M101" s="52">
        <v>90748</v>
      </c>
      <c r="N101" s="44"/>
      <c r="O101" s="59"/>
      <c r="P101" s="44" t="s">
        <v>125</v>
      </c>
      <c r="Q101" s="52">
        <v>90748</v>
      </c>
      <c r="R101" s="71">
        <v>-215453.30998299998</v>
      </c>
    </row>
    <row r="102" spans="1:18" x14ac:dyDescent="0.25">
      <c r="A102" s="66" t="s">
        <v>82</v>
      </c>
      <c r="B102" s="44" t="s">
        <v>121</v>
      </c>
      <c r="C102" s="60">
        <v>45884</v>
      </c>
      <c r="D102" s="60">
        <v>45887</v>
      </c>
      <c r="E102" s="44">
        <v>8854</v>
      </c>
      <c r="F102" s="44" t="s">
        <v>159</v>
      </c>
      <c r="G102" s="44" t="s">
        <v>147</v>
      </c>
      <c r="H102" s="44" t="s">
        <v>94</v>
      </c>
      <c r="I102" s="44"/>
      <c r="J102" s="44"/>
      <c r="K102" s="61"/>
      <c r="L102" s="44"/>
      <c r="M102" s="44">
        <v>81.673199999999994</v>
      </c>
      <c r="N102" s="110">
        <v>8.9999999999999998E-4</v>
      </c>
      <c r="O102" s="59">
        <v>13.067712</v>
      </c>
      <c r="P102" s="44" t="s">
        <v>125</v>
      </c>
      <c r="Q102" s="44">
        <v>94.740911999999994</v>
      </c>
      <c r="R102" s="71">
        <v>-215548.05089499999</v>
      </c>
    </row>
    <row r="103" spans="1:18" x14ac:dyDescent="0.25">
      <c r="A103" s="66"/>
      <c r="B103" s="44" t="s">
        <v>85</v>
      </c>
      <c r="C103" s="60">
        <v>45884</v>
      </c>
      <c r="D103" s="60">
        <v>45887</v>
      </c>
      <c r="E103" s="44">
        <v>8855</v>
      </c>
      <c r="F103" s="44" t="s">
        <v>158</v>
      </c>
      <c r="G103" s="44" t="s">
        <v>152</v>
      </c>
      <c r="H103" s="44" t="s">
        <v>94</v>
      </c>
      <c r="I103" s="44"/>
      <c r="J103" s="44"/>
      <c r="K103" s="61">
        <v>440</v>
      </c>
      <c r="L103" s="44">
        <v>3</v>
      </c>
      <c r="M103" s="52">
        <v>1320</v>
      </c>
      <c r="N103" s="44"/>
      <c r="O103" s="59"/>
      <c r="P103" s="44" t="s">
        <v>125</v>
      </c>
      <c r="Q103" s="52">
        <v>1320</v>
      </c>
      <c r="R103" s="71">
        <v>-324748.90134399995</v>
      </c>
    </row>
    <row r="104" spans="1:18" x14ac:dyDescent="0.25">
      <c r="A104" s="66"/>
      <c r="B104" s="44" t="s">
        <v>85</v>
      </c>
      <c r="C104" s="60">
        <v>45884</v>
      </c>
      <c r="D104" s="60">
        <v>45887</v>
      </c>
      <c r="E104" s="44">
        <v>8855</v>
      </c>
      <c r="F104" s="44" t="s">
        <v>159</v>
      </c>
      <c r="G104" s="44" t="s">
        <v>152</v>
      </c>
      <c r="H104" s="44" t="s">
        <v>94</v>
      </c>
      <c r="I104" s="44"/>
      <c r="J104" s="44"/>
      <c r="K104" s="61"/>
      <c r="L104" s="44"/>
      <c r="M104" s="44">
        <v>1.1879999999999999</v>
      </c>
      <c r="N104" s="110">
        <v>8.9999999999999998E-4</v>
      </c>
      <c r="O104" s="59">
        <v>0.19008</v>
      </c>
      <c r="P104" s="44" t="s">
        <v>125</v>
      </c>
      <c r="Q104" s="44">
        <v>1.37808</v>
      </c>
      <c r="R104" s="71">
        <v>-324750.27942399995</v>
      </c>
    </row>
    <row r="105" spans="1:18" x14ac:dyDescent="0.25">
      <c r="A105" s="66"/>
      <c r="B105" s="44" t="s">
        <v>85</v>
      </c>
      <c r="C105" s="60">
        <v>45884</v>
      </c>
      <c r="D105" s="60">
        <v>45887</v>
      </c>
      <c r="E105" s="44">
        <v>8855</v>
      </c>
      <c r="F105" s="44" t="s">
        <v>158</v>
      </c>
      <c r="G105" s="44" t="s">
        <v>152</v>
      </c>
      <c r="H105" s="44" t="s">
        <v>94</v>
      </c>
      <c r="I105" s="44"/>
      <c r="J105" s="44"/>
      <c r="K105" s="61">
        <v>446</v>
      </c>
      <c r="L105" s="44">
        <v>147</v>
      </c>
      <c r="M105" s="52">
        <v>65562</v>
      </c>
      <c r="N105" s="44"/>
      <c r="O105" s="59"/>
      <c r="P105" s="44" t="s">
        <v>125</v>
      </c>
      <c r="Q105" s="52">
        <v>65562</v>
      </c>
      <c r="R105" s="71">
        <v>-390312.27942399995</v>
      </c>
    </row>
    <row r="106" spans="1:18" x14ac:dyDescent="0.25">
      <c r="A106" s="66"/>
      <c r="B106" s="44" t="s">
        <v>85</v>
      </c>
      <c r="C106" s="60">
        <v>45884</v>
      </c>
      <c r="D106" s="60">
        <v>45887</v>
      </c>
      <c r="E106" s="44">
        <v>8855</v>
      </c>
      <c r="F106" s="44" t="s">
        <v>159</v>
      </c>
      <c r="G106" s="44" t="s">
        <v>152</v>
      </c>
      <c r="H106" s="44" t="s">
        <v>94</v>
      </c>
      <c r="I106" s="44"/>
      <c r="J106" s="44"/>
      <c r="K106" s="61"/>
      <c r="L106" s="44"/>
      <c r="M106" s="44">
        <v>59.005800000000001</v>
      </c>
      <c r="N106" s="110">
        <v>8.9999999999999998E-4</v>
      </c>
      <c r="O106" s="59">
        <v>9.4409279999999995</v>
      </c>
      <c r="P106" s="44" t="s">
        <v>125</v>
      </c>
      <c r="Q106" s="44">
        <v>68.446727999999993</v>
      </c>
      <c r="R106" s="71">
        <v>-390380.72615199996</v>
      </c>
    </row>
    <row r="107" spans="1:18" x14ac:dyDescent="0.25">
      <c r="A107" s="66" t="s">
        <v>82</v>
      </c>
      <c r="B107" s="44" t="s">
        <v>121</v>
      </c>
      <c r="C107" s="60">
        <v>45884</v>
      </c>
      <c r="D107" s="60">
        <v>45887</v>
      </c>
      <c r="E107" s="44">
        <v>8855</v>
      </c>
      <c r="F107" s="44" t="s">
        <v>158</v>
      </c>
      <c r="G107" s="44" t="s">
        <v>152</v>
      </c>
      <c r="H107" s="44" t="s">
        <v>94</v>
      </c>
      <c r="I107" s="44"/>
      <c r="J107" s="44"/>
      <c r="K107" s="61">
        <v>446</v>
      </c>
      <c r="L107" s="44">
        <v>100</v>
      </c>
      <c r="M107" s="52">
        <v>44600</v>
      </c>
      <c r="N107" s="44"/>
      <c r="O107" s="59"/>
      <c r="P107" s="44" t="s">
        <v>125</v>
      </c>
      <c r="Q107" s="52">
        <v>44600</v>
      </c>
      <c r="R107" s="71">
        <v>-260148.05089499999</v>
      </c>
    </row>
    <row r="108" spans="1:18" x14ac:dyDescent="0.25">
      <c r="A108" s="66" t="s">
        <v>82</v>
      </c>
      <c r="B108" s="44" t="s">
        <v>121</v>
      </c>
      <c r="C108" s="60">
        <v>45884</v>
      </c>
      <c r="D108" s="60">
        <v>45887</v>
      </c>
      <c r="E108" s="44">
        <v>8855</v>
      </c>
      <c r="F108" s="44" t="s">
        <v>159</v>
      </c>
      <c r="G108" s="44" t="s">
        <v>152</v>
      </c>
      <c r="H108" s="44" t="s">
        <v>94</v>
      </c>
      <c r="I108" s="44"/>
      <c r="J108" s="44"/>
      <c r="K108" s="61"/>
      <c r="L108" s="44"/>
      <c r="M108" s="44">
        <v>40.14</v>
      </c>
      <c r="N108" s="110">
        <v>8.9999999999999998E-4</v>
      </c>
      <c r="O108" s="59">
        <v>6.4223999999999997</v>
      </c>
      <c r="P108" s="44" t="s">
        <v>125</v>
      </c>
      <c r="Q108" s="44">
        <v>46.562399999999997</v>
      </c>
      <c r="R108" s="71">
        <v>-260194.61329499999</v>
      </c>
    </row>
    <row r="109" spans="1:18" x14ac:dyDescent="0.25">
      <c r="A109" s="66" t="s">
        <v>82</v>
      </c>
      <c r="B109" s="44" t="s">
        <v>85</v>
      </c>
      <c r="C109" s="60">
        <v>45884</v>
      </c>
      <c r="D109" s="60">
        <v>45887</v>
      </c>
      <c r="E109" s="44">
        <v>555428</v>
      </c>
      <c r="F109" s="44" t="s">
        <v>83</v>
      </c>
      <c r="G109" s="44" t="s">
        <v>140</v>
      </c>
      <c r="H109" s="44">
        <v>280907</v>
      </c>
      <c r="I109" s="44">
        <v>3</v>
      </c>
      <c r="J109" s="52">
        <v>1035.0311050667779</v>
      </c>
      <c r="K109" s="61">
        <v>101.355701</v>
      </c>
      <c r="L109" s="44">
        <v>17030</v>
      </c>
      <c r="M109" s="52">
        <v>1726087.5835303504</v>
      </c>
      <c r="N109" s="44"/>
      <c r="O109" s="59"/>
      <c r="P109" s="44" t="s">
        <v>81</v>
      </c>
      <c r="Q109" s="52">
        <v>1726087.5835303504</v>
      </c>
      <c r="R109" s="71">
        <v>1335706.8600000001</v>
      </c>
    </row>
    <row r="110" spans="1:18" x14ac:dyDescent="0.25">
      <c r="A110" s="66" t="s">
        <v>82</v>
      </c>
      <c r="B110" s="44" t="s">
        <v>86</v>
      </c>
      <c r="C110" s="60">
        <v>45884</v>
      </c>
      <c r="D110" s="60">
        <v>45887</v>
      </c>
      <c r="E110" s="44">
        <v>555428</v>
      </c>
      <c r="F110" s="44" t="s">
        <v>83</v>
      </c>
      <c r="G110" s="44" t="s">
        <v>140</v>
      </c>
      <c r="H110" s="44">
        <v>280907</v>
      </c>
      <c r="I110" s="44">
        <v>3</v>
      </c>
      <c r="J110" s="52">
        <v>36.344603689367773</v>
      </c>
      <c r="K110" s="61">
        <v>101.355701</v>
      </c>
      <c r="L110" s="44">
        <v>598</v>
      </c>
      <c r="M110" s="52">
        <v>60610.70903999704</v>
      </c>
      <c r="N110" s="44"/>
      <c r="O110" s="59"/>
      <c r="P110" s="44" t="s">
        <v>81</v>
      </c>
      <c r="Q110" s="52">
        <v>60610.70903999704</v>
      </c>
      <c r="R110" s="71">
        <v>60571.65</v>
      </c>
    </row>
    <row r="111" spans="1:18" x14ac:dyDescent="0.25">
      <c r="A111" s="66" t="s">
        <v>82</v>
      </c>
      <c r="B111" s="44" t="s">
        <v>121</v>
      </c>
      <c r="C111" s="60">
        <v>45884</v>
      </c>
      <c r="D111" s="60">
        <v>45887</v>
      </c>
      <c r="E111" s="44">
        <v>555428</v>
      </c>
      <c r="F111" s="44" t="s">
        <v>83</v>
      </c>
      <c r="G111" s="44" t="s">
        <v>140</v>
      </c>
      <c r="H111" s="44">
        <v>280907</v>
      </c>
      <c r="I111" s="44">
        <v>3</v>
      </c>
      <c r="J111" s="52">
        <v>671.52429124385367</v>
      </c>
      <c r="K111" s="61">
        <v>101.355701</v>
      </c>
      <c r="L111" s="44">
        <v>11049</v>
      </c>
      <c r="M111" s="52">
        <v>1119879.1374296444</v>
      </c>
      <c r="N111" s="44"/>
      <c r="O111" s="59"/>
      <c r="P111" s="44" t="s">
        <v>81</v>
      </c>
      <c r="Q111" s="52">
        <v>1119879.1374296444</v>
      </c>
      <c r="R111" s="71">
        <v>859684.52</v>
      </c>
    </row>
    <row r="112" spans="1:18" x14ac:dyDescent="0.25">
      <c r="A112" s="66" t="s">
        <v>82</v>
      </c>
      <c r="B112" s="44" t="s">
        <v>85</v>
      </c>
      <c r="C112" s="60">
        <v>45887</v>
      </c>
      <c r="D112" s="60">
        <v>45887</v>
      </c>
      <c r="E112" s="44">
        <v>556817</v>
      </c>
      <c r="F112" s="44" t="s">
        <v>124</v>
      </c>
      <c r="G112" s="44" t="s">
        <v>140</v>
      </c>
      <c r="H112" s="44">
        <v>280907</v>
      </c>
      <c r="I112" s="44">
        <v>1</v>
      </c>
      <c r="J112" s="44">
        <v>7.2</v>
      </c>
      <c r="K112" s="61">
        <v>101.360519</v>
      </c>
      <c r="L112" s="44">
        <v>13178</v>
      </c>
      <c r="M112" s="52">
        <v>1335728.9188704169</v>
      </c>
      <c r="N112" s="44"/>
      <c r="O112" s="59"/>
      <c r="P112" s="44" t="s">
        <v>125</v>
      </c>
      <c r="Q112" s="52">
        <v>1335728.9188704169</v>
      </c>
      <c r="R112" s="70">
        <v>-22.06</v>
      </c>
    </row>
    <row r="113" spans="1:18" x14ac:dyDescent="0.25">
      <c r="A113" s="66" t="s">
        <v>82</v>
      </c>
      <c r="B113" s="44" t="s">
        <v>86</v>
      </c>
      <c r="C113" s="60">
        <v>45887</v>
      </c>
      <c r="D113" s="60">
        <v>45887</v>
      </c>
      <c r="E113" s="44">
        <v>556817</v>
      </c>
      <c r="F113" s="44" t="s">
        <v>124</v>
      </c>
      <c r="G113" s="44" t="s">
        <v>140</v>
      </c>
      <c r="H113" s="44">
        <v>280907</v>
      </c>
      <c r="I113" s="44">
        <v>1</v>
      </c>
      <c r="J113" s="44">
        <v>7.2</v>
      </c>
      <c r="K113" s="61">
        <v>101.360519</v>
      </c>
      <c r="L113" s="44">
        <v>598</v>
      </c>
      <c r="M113" s="52">
        <v>60613.590338785041</v>
      </c>
      <c r="N113" s="44"/>
      <c r="O113" s="59"/>
      <c r="P113" s="44" t="s">
        <v>125</v>
      </c>
      <c r="Q113" s="52">
        <v>60613.590338785041</v>
      </c>
      <c r="R113" s="70">
        <v>-41.94</v>
      </c>
    </row>
    <row r="114" spans="1:18" x14ac:dyDescent="0.25">
      <c r="A114" s="66" t="s">
        <v>82</v>
      </c>
      <c r="B114" s="44" t="s">
        <v>121</v>
      </c>
      <c r="C114" s="60">
        <v>45887</v>
      </c>
      <c r="D114" s="60">
        <v>45887</v>
      </c>
      <c r="E114" s="44">
        <v>556817</v>
      </c>
      <c r="F114" s="44" t="s">
        <v>124</v>
      </c>
      <c r="G114" s="44" t="s">
        <v>140</v>
      </c>
      <c r="H114" s="44">
        <v>280907</v>
      </c>
      <c r="I114" s="44">
        <v>1</v>
      </c>
      <c r="J114" s="44">
        <v>7.2</v>
      </c>
      <c r="K114" s="61">
        <v>101.360519</v>
      </c>
      <c r="L114" s="44">
        <v>8480</v>
      </c>
      <c r="M114" s="52">
        <v>859537.20079079794</v>
      </c>
      <c r="N114" s="44"/>
      <c r="O114" s="59"/>
      <c r="P114" s="44" t="s">
        <v>125</v>
      </c>
      <c r="Q114" s="52">
        <v>859537.20079079794</v>
      </c>
      <c r="R114" s="70">
        <v>147.32</v>
      </c>
    </row>
    <row r="115" spans="1:18" x14ac:dyDescent="0.25">
      <c r="A115" s="66" t="s">
        <v>82</v>
      </c>
      <c r="B115" s="44" t="s">
        <v>85</v>
      </c>
      <c r="C115" s="60">
        <v>45887</v>
      </c>
      <c r="D115" s="60">
        <v>45888</v>
      </c>
      <c r="E115" s="44">
        <v>556817</v>
      </c>
      <c r="F115" s="44" t="s">
        <v>83</v>
      </c>
      <c r="G115" s="44" t="s">
        <v>140</v>
      </c>
      <c r="H115" s="44">
        <v>280907</v>
      </c>
      <c r="I115" s="44">
        <v>1</v>
      </c>
      <c r="J115" s="44">
        <v>267.14226545650661</v>
      </c>
      <c r="K115" s="61">
        <v>101.380791</v>
      </c>
      <c r="L115" s="44">
        <v>13178</v>
      </c>
      <c r="M115" s="52">
        <v>1335996.0611358727</v>
      </c>
      <c r="N115" s="44"/>
      <c r="O115" s="59"/>
      <c r="P115" s="44" t="s">
        <v>81</v>
      </c>
      <c r="Q115" s="52">
        <v>1335996.0611358727</v>
      </c>
      <c r="R115" s="71">
        <v>1335974</v>
      </c>
    </row>
    <row r="116" spans="1:18" x14ac:dyDescent="0.25">
      <c r="A116" s="66" t="s">
        <v>82</v>
      </c>
      <c r="B116" s="44" t="s">
        <v>86</v>
      </c>
      <c r="C116" s="60">
        <v>45887</v>
      </c>
      <c r="D116" s="60">
        <v>45888</v>
      </c>
      <c r="E116" s="44">
        <v>556817</v>
      </c>
      <c r="F116" s="44" t="s">
        <v>83</v>
      </c>
      <c r="G116" s="44" t="s">
        <v>140</v>
      </c>
      <c r="H116" s="44">
        <v>280907</v>
      </c>
      <c r="I116" s="44">
        <v>1</v>
      </c>
      <c r="J116" s="44">
        <v>12.122558411214976</v>
      </c>
      <c r="K116" s="61">
        <v>101.380791</v>
      </c>
      <c r="L116" s="44">
        <v>598</v>
      </c>
      <c r="M116" s="52">
        <v>60625.712897196223</v>
      </c>
      <c r="N116" s="44"/>
      <c r="O116" s="59"/>
      <c r="P116" s="44" t="s">
        <v>81</v>
      </c>
      <c r="Q116" s="52">
        <v>60625.712897196223</v>
      </c>
      <c r="R116" s="71">
        <v>60583.77</v>
      </c>
    </row>
    <row r="117" spans="1:18" x14ac:dyDescent="0.25">
      <c r="A117" s="66" t="s">
        <v>82</v>
      </c>
      <c r="B117" s="44" t="s">
        <v>121</v>
      </c>
      <c r="C117" s="60">
        <v>45887</v>
      </c>
      <c r="D117" s="60">
        <v>45888</v>
      </c>
      <c r="E117" s="44">
        <v>556817</v>
      </c>
      <c r="F117" s="44" t="s">
        <v>83</v>
      </c>
      <c r="G117" s="44" t="s">
        <v>140</v>
      </c>
      <c r="H117" s="44">
        <v>280907</v>
      </c>
      <c r="I117" s="44">
        <v>1</v>
      </c>
      <c r="J117" s="44">
        <v>171.90517613227928</v>
      </c>
      <c r="K117" s="61">
        <v>101.380791</v>
      </c>
      <c r="L117" s="44">
        <v>8480</v>
      </c>
      <c r="M117" s="52">
        <v>859709.10596692981</v>
      </c>
      <c r="N117" s="44"/>
      <c r="O117" s="59"/>
      <c r="P117" s="44" t="s">
        <v>81</v>
      </c>
      <c r="Q117" s="52">
        <v>859709.10596692981</v>
      </c>
      <c r="R117" s="71">
        <v>859856.43</v>
      </c>
    </row>
    <row r="118" spans="1:18" x14ac:dyDescent="0.25">
      <c r="A118" s="79" t="s">
        <v>82</v>
      </c>
      <c r="B118" s="77" t="s">
        <v>85</v>
      </c>
      <c r="C118" s="92">
        <v>45888</v>
      </c>
      <c r="D118" s="92">
        <v>45888</v>
      </c>
      <c r="E118" s="77">
        <v>558115</v>
      </c>
      <c r="F118" s="77" t="s">
        <v>124</v>
      </c>
      <c r="G118" s="77" t="s">
        <v>140</v>
      </c>
      <c r="H118" s="77">
        <v>280907</v>
      </c>
      <c r="I118" s="77">
        <v>1</v>
      </c>
      <c r="J118" s="77">
        <v>7.2</v>
      </c>
      <c r="K118" s="103">
        <v>101.380606</v>
      </c>
      <c r="L118" s="77">
        <v>13178</v>
      </c>
      <c r="M118" s="78">
        <v>1335993.6216426983</v>
      </c>
      <c r="N118" s="77"/>
      <c r="O118" s="93"/>
      <c r="P118" s="77" t="s">
        <v>125</v>
      </c>
      <c r="Q118" s="78">
        <v>1335993.6216426983</v>
      </c>
      <c r="R118" s="104">
        <v>-19.62</v>
      </c>
    </row>
    <row r="119" spans="1:18" x14ac:dyDescent="0.25">
      <c r="A119" s="79" t="s">
        <v>82</v>
      </c>
      <c r="B119" s="77" t="s">
        <v>86</v>
      </c>
      <c r="C119" s="92">
        <v>45888</v>
      </c>
      <c r="D119" s="92">
        <v>45888</v>
      </c>
      <c r="E119" s="77">
        <v>558115</v>
      </c>
      <c r="F119" s="77" t="s">
        <v>124</v>
      </c>
      <c r="G119" s="77" t="s">
        <v>140</v>
      </c>
      <c r="H119" s="77">
        <v>280907</v>
      </c>
      <c r="I119" s="77">
        <v>1</v>
      </c>
      <c r="J119" s="77">
        <v>7.2</v>
      </c>
      <c r="K119" s="103">
        <v>101.380606</v>
      </c>
      <c r="L119" s="77">
        <v>598</v>
      </c>
      <c r="M119" s="78">
        <v>60625.602196261461</v>
      </c>
      <c r="N119" s="77"/>
      <c r="O119" s="93"/>
      <c r="P119" s="77" t="s">
        <v>125</v>
      </c>
      <c r="Q119" s="78">
        <v>60625.602196261461</v>
      </c>
      <c r="R119" s="104">
        <v>-41.83</v>
      </c>
    </row>
    <row r="120" spans="1:18" x14ac:dyDescent="0.25">
      <c r="A120" s="79" t="s">
        <v>82</v>
      </c>
      <c r="B120" s="77" t="s">
        <v>121</v>
      </c>
      <c r="C120" s="92">
        <v>45888</v>
      </c>
      <c r="D120" s="92">
        <v>45888</v>
      </c>
      <c r="E120" s="77">
        <v>558115</v>
      </c>
      <c r="F120" s="77" t="s">
        <v>124</v>
      </c>
      <c r="G120" s="77" t="s">
        <v>140</v>
      </c>
      <c r="H120" s="77">
        <v>280907</v>
      </c>
      <c r="I120" s="77">
        <v>1</v>
      </c>
      <c r="J120" s="77">
        <v>7.2</v>
      </c>
      <c r="K120" s="103">
        <v>101.380606</v>
      </c>
      <c r="L120" s="77">
        <v>8480</v>
      </c>
      <c r="M120" s="78">
        <v>859707.53616103216</v>
      </c>
      <c r="N120" s="77"/>
      <c r="O120" s="93"/>
      <c r="P120" s="77" t="s">
        <v>125</v>
      </c>
      <c r="Q120" s="78">
        <v>859707.53616103216</v>
      </c>
      <c r="R120" s="104">
        <v>148.88999999999999</v>
      </c>
    </row>
    <row r="121" spans="1:18" x14ac:dyDescent="0.25">
      <c r="A121" s="66" t="s">
        <v>82</v>
      </c>
      <c r="B121" s="44" t="s">
        <v>85</v>
      </c>
      <c r="C121" s="60">
        <v>45888</v>
      </c>
      <c r="D121" s="60">
        <v>45889</v>
      </c>
      <c r="E121" s="44">
        <v>558115</v>
      </c>
      <c r="F121" s="44" t="s">
        <v>83</v>
      </c>
      <c r="G121" s="44" t="s">
        <v>140</v>
      </c>
      <c r="H121" s="44">
        <v>280907</v>
      </c>
      <c r="I121" s="44">
        <v>1</v>
      </c>
      <c r="J121" s="44">
        <v>267.19555535585937</v>
      </c>
      <c r="K121" s="44">
        <v>101.400882</v>
      </c>
      <c r="L121" s="44">
        <v>13178</v>
      </c>
      <c r="M121" s="52">
        <v>1336260.8171980621</v>
      </c>
      <c r="N121" s="44"/>
      <c r="O121" s="44"/>
      <c r="P121" s="44" t="s">
        <v>81</v>
      </c>
      <c r="Q121" s="52">
        <v>1336260.8171980621</v>
      </c>
      <c r="R121" s="71">
        <v>1336241.2</v>
      </c>
    </row>
    <row r="122" spans="1:18" x14ac:dyDescent="0.25">
      <c r="A122" s="66" t="s">
        <v>82</v>
      </c>
      <c r="B122" s="44" t="s">
        <v>86</v>
      </c>
      <c r="C122" s="60">
        <v>45888</v>
      </c>
      <c r="D122" s="60">
        <v>45889</v>
      </c>
      <c r="E122" s="44">
        <v>558115</v>
      </c>
      <c r="F122" s="44" t="s">
        <v>83</v>
      </c>
      <c r="G122" s="44" t="s">
        <v>140</v>
      </c>
      <c r="H122" s="44">
        <v>280907</v>
      </c>
      <c r="I122" s="44">
        <v>1</v>
      </c>
      <c r="J122" s="44">
        <v>12.124976635514031</v>
      </c>
      <c r="K122" s="44">
        <v>101.400882</v>
      </c>
      <c r="L122" s="44">
        <v>598</v>
      </c>
      <c r="M122" s="52">
        <v>60637.727172897343</v>
      </c>
      <c r="N122" s="44"/>
      <c r="O122" s="44"/>
      <c r="P122" s="44" t="s">
        <v>81</v>
      </c>
      <c r="Q122" s="52">
        <v>60637.727172897343</v>
      </c>
      <c r="R122" s="71">
        <v>60595.9</v>
      </c>
    </row>
    <row r="123" spans="1:18" x14ac:dyDescent="0.25">
      <c r="A123" s="66" t="s">
        <v>82</v>
      </c>
      <c r="B123" s="44" t="s">
        <v>121</v>
      </c>
      <c r="C123" s="60">
        <v>45888</v>
      </c>
      <c r="D123" s="60">
        <v>45889</v>
      </c>
      <c r="E123" s="44">
        <v>558115</v>
      </c>
      <c r="F123" s="44" t="s">
        <v>83</v>
      </c>
      <c r="G123" s="44" t="s">
        <v>140</v>
      </c>
      <c r="H123" s="44">
        <v>280907</v>
      </c>
      <c r="I123" s="44">
        <v>1</v>
      </c>
      <c r="J123" s="44">
        <v>171.93946800862705</v>
      </c>
      <c r="K123" s="44">
        <v>101.400882</v>
      </c>
      <c r="L123" s="44">
        <v>8480</v>
      </c>
      <c r="M123" s="52">
        <v>859879.47562904586</v>
      </c>
      <c r="N123" s="44"/>
      <c r="O123" s="44"/>
      <c r="P123" s="44" t="s">
        <v>81</v>
      </c>
      <c r="Q123" s="52">
        <v>859879.47562904586</v>
      </c>
      <c r="R123" s="71">
        <v>860028.37</v>
      </c>
    </row>
    <row r="124" spans="1:18" x14ac:dyDescent="0.25">
      <c r="A124" s="66" t="s">
        <v>82</v>
      </c>
      <c r="B124" s="44" t="s">
        <v>85</v>
      </c>
      <c r="C124" s="60">
        <v>45889</v>
      </c>
      <c r="D124" s="60">
        <v>45889</v>
      </c>
      <c r="E124" s="44">
        <v>559509</v>
      </c>
      <c r="F124" s="44" t="s">
        <v>124</v>
      </c>
      <c r="G124" s="44" t="s">
        <v>140</v>
      </c>
      <c r="H124" s="44">
        <v>280907</v>
      </c>
      <c r="I124" s="44">
        <v>1</v>
      </c>
      <c r="J124" s="44">
        <v>7.2</v>
      </c>
      <c r="K124" s="61">
        <v>101.40427200000001</v>
      </c>
      <c r="L124" s="44">
        <v>13461</v>
      </c>
      <c r="M124" s="52">
        <v>1365002.9032435436</v>
      </c>
      <c r="N124" s="44"/>
      <c r="O124" s="59"/>
      <c r="P124" s="44" t="s">
        <v>125</v>
      </c>
      <c r="Q124" s="52">
        <v>1365002.9032435436</v>
      </c>
      <c r="R124" s="71">
        <v>-28761.7</v>
      </c>
    </row>
    <row r="125" spans="1:18" x14ac:dyDescent="0.25">
      <c r="A125" s="66" t="s">
        <v>82</v>
      </c>
      <c r="B125" s="44" t="s">
        <v>86</v>
      </c>
      <c r="C125" s="60">
        <v>45889</v>
      </c>
      <c r="D125" s="60">
        <v>45889</v>
      </c>
      <c r="E125" s="44">
        <v>559509</v>
      </c>
      <c r="F125" s="44" t="s">
        <v>124</v>
      </c>
      <c r="G125" s="44" t="s">
        <v>140</v>
      </c>
      <c r="H125" s="44">
        <v>280907</v>
      </c>
      <c r="I125" s="44">
        <v>1</v>
      </c>
      <c r="J125" s="44">
        <v>7.2</v>
      </c>
      <c r="K125" s="61">
        <v>101.40427200000001</v>
      </c>
      <c r="L125" s="44">
        <v>598</v>
      </c>
      <c r="M125" s="52">
        <v>60639.754560555615</v>
      </c>
      <c r="N125" s="44"/>
      <c r="O125" s="59"/>
      <c r="P125" s="44" t="s">
        <v>125</v>
      </c>
      <c r="Q125" s="52">
        <v>60639.754560555615</v>
      </c>
      <c r="R125" s="71">
        <v>-43.77</v>
      </c>
    </row>
    <row r="126" spans="1:18" x14ac:dyDescent="0.25">
      <c r="A126" s="66" t="s">
        <v>82</v>
      </c>
      <c r="B126" s="44" t="s">
        <v>121</v>
      </c>
      <c r="C126" s="60">
        <v>45889</v>
      </c>
      <c r="D126" s="60">
        <v>45889</v>
      </c>
      <c r="E126" s="44">
        <v>559509</v>
      </c>
      <c r="F126" s="44" t="s">
        <v>124</v>
      </c>
      <c r="G126" s="44" t="s">
        <v>140</v>
      </c>
      <c r="H126" s="44">
        <v>280907</v>
      </c>
      <c r="I126" s="44">
        <v>1</v>
      </c>
      <c r="J126" s="44">
        <v>7.2</v>
      </c>
      <c r="K126" s="61">
        <v>101.40427200000001</v>
      </c>
      <c r="L126" s="44">
        <v>8697</v>
      </c>
      <c r="M126" s="52">
        <v>881912.95219590655</v>
      </c>
      <c r="N126" s="44"/>
      <c r="O126" s="59"/>
      <c r="P126" s="44" t="s">
        <v>125</v>
      </c>
      <c r="Q126" s="52">
        <v>881912.95219590655</v>
      </c>
      <c r="R126" s="71">
        <v>-21884.58</v>
      </c>
    </row>
    <row r="127" spans="1:18" x14ac:dyDescent="0.25">
      <c r="A127" s="66" t="s">
        <v>80</v>
      </c>
      <c r="B127" s="44" t="s">
        <v>85</v>
      </c>
      <c r="C127" s="60">
        <v>45889</v>
      </c>
      <c r="D127" s="60">
        <v>45889</v>
      </c>
      <c r="E127" s="44">
        <v>855064</v>
      </c>
      <c r="F127" s="44" t="s">
        <v>148</v>
      </c>
      <c r="G127" s="44" t="s">
        <v>145</v>
      </c>
      <c r="H127" s="44" t="s">
        <v>94</v>
      </c>
      <c r="I127" s="44"/>
      <c r="J127" s="44"/>
      <c r="K127" s="61"/>
      <c r="L127" s="44"/>
      <c r="M127" s="52">
        <v>1998.42</v>
      </c>
      <c r="N127" s="44"/>
      <c r="O127" s="59"/>
      <c r="P127" s="44" t="s">
        <v>81</v>
      </c>
      <c r="Q127" s="52">
        <v>1998.42</v>
      </c>
      <c r="R127" s="71">
        <v>-26763.279999999999</v>
      </c>
    </row>
    <row r="128" spans="1:18" x14ac:dyDescent="0.25">
      <c r="A128" s="66" t="s">
        <v>80</v>
      </c>
      <c r="B128" s="44" t="s">
        <v>121</v>
      </c>
      <c r="C128" s="60">
        <v>45889</v>
      </c>
      <c r="D128" s="60">
        <v>45889</v>
      </c>
      <c r="E128" s="44">
        <v>855064</v>
      </c>
      <c r="F128" s="44" t="s">
        <v>148</v>
      </c>
      <c r="G128" s="44" t="s">
        <v>145</v>
      </c>
      <c r="H128" s="44" t="s">
        <v>94</v>
      </c>
      <c r="I128" s="44"/>
      <c r="J128" s="44"/>
      <c r="K128" s="61"/>
      <c r="L128" s="44"/>
      <c r="M128" s="52">
        <v>1998.4135999999999</v>
      </c>
      <c r="N128" s="44"/>
      <c r="O128" s="59"/>
      <c r="P128" s="44" t="s">
        <v>81</v>
      </c>
      <c r="Q128" s="52">
        <v>1998.4135999999999</v>
      </c>
      <c r="R128" s="71">
        <v>-19886.169999999998</v>
      </c>
    </row>
    <row r="129" spans="1:18" x14ac:dyDescent="0.25">
      <c r="A129" s="66" t="s">
        <v>80</v>
      </c>
      <c r="B129" s="44" t="s">
        <v>85</v>
      </c>
      <c r="C129" s="60">
        <v>45889</v>
      </c>
      <c r="D129" s="60">
        <v>45889</v>
      </c>
      <c r="E129" s="44">
        <v>855073</v>
      </c>
      <c r="F129" s="44" t="s">
        <v>148</v>
      </c>
      <c r="G129" s="44" t="s">
        <v>149</v>
      </c>
      <c r="H129" s="44" t="s">
        <v>94</v>
      </c>
      <c r="I129" s="44"/>
      <c r="J129" s="44"/>
      <c r="K129" s="61"/>
      <c r="L129" s="44"/>
      <c r="M129" s="52">
        <v>13349.8</v>
      </c>
      <c r="N129" s="44"/>
      <c r="O129" s="59"/>
      <c r="P129" s="44" t="s">
        <v>81</v>
      </c>
      <c r="Q129" s="52">
        <v>13349.8</v>
      </c>
      <c r="R129" s="71">
        <v>-13413.48</v>
      </c>
    </row>
    <row r="130" spans="1:18" x14ac:dyDescent="0.25">
      <c r="A130" s="66" t="s">
        <v>80</v>
      </c>
      <c r="B130" s="44" t="s">
        <v>121</v>
      </c>
      <c r="C130" s="60">
        <v>45889</v>
      </c>
      <c r="D130" s="60">
        <v>45889</v>
      </c>
      <c r="E130" s="44">
        <v>855073</v>
      </c>
      <c r="F130" s="44" t="s">
        <v>148</v>
      </c>
      <c r="G130" s="44" t="s">
        <v>149</v>
      </c>
      <c r="H130" s="44" t="s">
        <v>94</v>
      </c>
      <c r="I130" s="44"/>
      <c r="J130" s="44"/>
      <c r="K130" s="61"/>
      <c r="L130" s="44"/>
      <c r="M130" s="52">
        <v>16447.959800000001</v>
      </c>
      <c r="N130" s="44"/>
      <c r="O130" s="59"/>
      <c r="P130" s="44" t="s">
        <v>81</v>
      </c>
      <c r="Q130" s="52">
        <v>16447.959800000001</v>
      </c>
      <c r="R130" s="71">
        <v>-3438.21</v>
      </c>
    </row>
    <row r="131" spans="1:18" x14ac:dyDescent="0.25">
      <c r="A131" s="66" t="s">
        <v>80</v>
      </c>
      <c r="B131" s="44" t="s">
        <v>85</v>
      </c>
      <c r="C131" s="60">
        <v>45889</v>
      </c>
      <c r="D131" s="60">
        <v>45889</v>
      </c>
      <c r="E131" s="44">
        <v>855091</v>
      </c>
      <c r="F131" s="44" t="s">
        <v>148</v>
      </c>
      <c r="G131" s="44" t="s">
        <v>151</v>
      </c>
      <c r="H131" s="44" t="s">
        <v>94</v>
      </c>
      <c r="I131" s="44"/>
      <c r="J131" s="44"/>
      <c r="K131" s="61"/>
      <c r="L131" s="44"/>
      <c r="M131" s="52">
        <v>819.15</v>
      </c>
      <c r="N131" s="44"/>
      <c r="O131" s="59"/>
      <c r="P131" s="44" t="s">
        <v>81</v>
      </c>
      <c r="Q131" s="52">
        <v>819.15</v>
      </c>
      <c r="R131" s="71">
        <v>-12594.33</v>
      </c>
    </row>
    <row r="132" spans="1:18" x14ac:dyDescent="0.25">
      <c r="A132" s="66" t="s">
        <v>80</v>
      </c>
      <c r="B132" s="44" t="s">
        <v>121</v>
      </c>
      <c r="C132" s="60">
        <v>45889</v>
      </c>
      <c r="D132" s="60">
        <v>45889</v>
      </c>
      <c r="E132" s="44">
        <v>855091</v>
      </c>
      <c r="F132" s="44" t="s">
        <v>148</v>
      </c>
      <c r="G132" s="44" t="s">
        <v>151</v>
      </c>
      <c r="H132" s="44" t="s">
        <v>94</v>
      </c>
      <c r="I132" s="44"/>
      <c r="J132" s="44"/>
      <c r="K132" s="61"/>
      <c r="L132" s="44"/>
      <c r="M132" s="52">
        <v>716.75010000000009</v>
      </c>
      <c r="N132" s="44"/>
      <c r="O132" s="59"/>
      <c r="P132" s="44" t="s">
        <v>81</v>
      </c>
      <c r="Q132" s="52">
        <v>716.75010000000009</v>
      </c>
      <c r="R132" s="71">
        <v>-2721.46</v>
      </c>
    </row>
    <row r="133" spans="1:18" x14ac:dyDescent="0.25">
      <c r="A133" s="66" t="s">
        <v>80</v>
      </c>
      <c r="B133" s="44" t="s">
        <v>85</v>
      </c>
      <c r="C133" s="60">
        <v>45889</v>
      </c>
      <c r="D133" s="60">
        <v>45889</v>
      </c>
      <c r="E133" s="44">
        <v>855093</v>
      </c>
      <c r="F133" s="44" t="s">
        <v>148</v>
      </c>
      <c r="G133" s="44" t="s">
        <v>131</v>
      </c>
      <c r="H133" s="44" t="s">
        <v>94</v>
      </c>
      <c r="I133" s="44"/>
      <c r="J133" s="44"/>
      <c r="K133" s="61"/>
      <c r="L133" s="44"/>
      <c r="M133" s="52">
        <v>11648.79</v>
      </c>
      <c r="N133" s="44"/>
      <c r="O133" s="59"/>
      <c r="P133" s="44" t="s">
        <v>81</v>
      </c>
      <c r="Q133" s="52">
        <v>11648.79</v>
      </c>
      <c r="R133" s="71">
        <v>-945.54</v>
      </c>
    </row>
    <row r="134" spans="1:18" x14ac:dyDescent="0.25">
      <c r="A134" s="66" t="s">
        <v>80</v>
      </c>
      <c r="B134" s="44" t="s">
        <v>121</v>
      </c>
      <c r="C134" s="60">
        <v>45889</v>
      </c>
      <c r="D134" s="60">
        <v>45889</v>
      </c>
      <c r="E134" s="44">
        <v>855093</v>
      </c>
      <c r="F134" s="44" t="s">
        <v>148</v>
      </c>
      <c r="G134" s="44" t="s">
        <v>131</v>
      </c>
      <c r="H134" s="44" t="s">
        <v>94</v>
      </c>
      <c r="I134" s="44"/>
      <c r="J134" s="44"/>
      <c r="K134" s="61"/>
      <c r="L134" s="44"/>
      <c r="M134" s="52">
        <v>1861.9699999999993</v>
      </c>
      <c r="N134" s="44"/>
      <c r="O134" s="59"/>
      <c r="P134" s="44" t="s">
        <v>81</v>
      </c>
      <c r="Q134" s="52">
        <v>1861.9699999999993</v>
      </c>
      <c r="R134" s="71">
        <v>-859.49</v>
      </c>
    </row>
    <row r="135" spans="1:18" x14ac:dyDescent="0.25">
      <c r="A135" s="66" t="s">
        <v>80</v>
      </c>
      <c r="B135" s="44" t="s">
        <v>85</v>
      </c>
      <c r="C135" s="60">
        <v>45889</v>
      </c>
      <c r="D135" s="60">
        <v>45889</v>
      </c>
      <c r="E135" s="44">
        <v>855094</v>
      </c>
      <c r="F135" s="44" t="s">
        <v>148</v>
      </c>
      <c r="G135" s="44" t="s">
        <v>152</v>
      </c>
      <c r="H135" s="44" t="s">
        <v>94</v>
      </c>
      <c r="I135" s="44"/>
      <c r="J135" s="44"/>
      <c r="K135" s="61"/>
      <c r="L135" s="44"/>
      <c r="M135" s="52">
        <v>1042.98</v>
      </c>
      <c r="N135" s="44"/>
      <c r="O135" s="59"/>
      <c r="P135" s="44" t="s">
        <v>81</v>
      </c>
      <c r="Q135" s="52">
        <v>1042.98</v>
      </c>
      <c r="R135" s="70">
        <v>97.27</v>
      </c>
    </row>
    <row r="136" spans="1:18" x14ac:dyDescent="0.25">
      <c r="A136" s="66" t="s">
        <v>80</v>
      </c>
      <c r="B136" s="44" t="s">
        <v>121</v>
      </c>
      <c r="C136" s="60">
        <v>45889</v>
      </c>
      <c r="D136" s="60">
        <v>45889</v>
      </c>
      <c r="E136" s="44">
        <v>855094</v>
      </c>
      <c r="F136" s="44" t="s">
        <v>148</v>
      </c>
      <c r="G136" s="44" t="s">
        <v>152</v>
      </c>
      <c r="H136" s="44" t="s">
        <v>94</v>
      </c>
      <c r="I136" s="44"/>
      <c r="J136" s="44"/>
      <c r="K136" s="61"/>
      <c r="L136" s="44"/>
      <c r="M136" s="52">
        <v>828.87169999999992</v>
      </c>
      <c r="N136" s="44"/>
      <c r="O136" s="59"/>
      <c r="P136" s="44" t="s">
        <v>81</v>
      </c>
      <c r="Q136" s="52">
        <v>828.87169999999992</v>
      </c>
      <c r="R136" s="70">
        <v>-30.57</v>
      </c>
    </row>
    <row r="137" spans="1:18" x14ac:dyDescent="0.25">
      <c r="A137" s="66" t="s">
        <v>82</v>
      </c>
      <c r="B137" s="44" t="s">
        <v>85</v>
      </c>
      <c r="C137" s="60">
        <v>45889</v>
      </c>
      <c r="D137" s="60">
        <v>45890</v>
      </c>
      <c r="E137" s="44">
        <v>559509</v>
      </c>
      <c r="F137" s="44" t="s">
        <v>83</v>
      </c>
      <c r="G137" s="44" t="s">
        <v>140</v>
      </c>
      <c r="H137" s="44">
        <v>280907</v>
      </c>
      <c r="I137" s="44">
        <v>1</v>
      </c>
      <c r="J137" s="44">
        <v>272.99991694498118</v>
      </c>
      <c r="K137" s="61">
        <v>101.424553</v>
      </c>
      <c r="L137" s="44">
        <v>13461</v>
      </c>
      <c r="M137" s="52">
        <v>1365275.9031604833</v>
      </c>
      <c r="N137" s="44"/>
      <c r="O137" s="59"/>
      <c r="P137" s="44" t="s">
        <v>81</v>
      </c>
      <c r="Q137" s="52">
        <v>1365275.9031604833</v>
      </c>
      <c r="R137" s="71">
        <v>1365373.17</v>
      </c>
    </row>
    <row r="138" spans="1:18" x14ac:dyDescent="0.25">
      <c r="A138" s="66" t="s">
        <v>82</v>
      </c>
      <c r="B138" s="44" t="s">
        <v>86</v>
      </c>
      <c r="C138" s="60">
        <v>45889</v>
      </c>
      <c r="D138" s="60">
        <v>45890</v>
      </c>
      <c r="E138" s="44">
        <v>559509</v>
      </c>
      <c r="F138" s="44" t="s">
        <v>83</v>
      </c>
      <c r="G138" s="44" t="s">
        <v>140</v>
      </c>
      <c r="H138" s="44">
        <v>280907</v>
      </c>
      <c r="I138" s="44">
        <v>1</v>
      </c>
      <c r="J138" s="44">
        <v>12.127921427315858</v>
      </c>
      <c r="K138" s="61">
        <v>101.424553</v>
      </c>
      <c r="L138" s="44">
        <v>598</v>
      </c>
      <c r="M138" s="52">
        <v>60651.882481982691</v>
      </c>
      <c r="N138" s="44"/>
      <c r="O138" s="59"/>
      <c r="P138" s="44" t="s">
        <v>81</v>
      </c>
      <c r="Q138" s="52">
        <v>60651.882481982691</v>
      </c>
      <c r="R138" s="71">
        <v>60608.11</v>
      </c>
    </row>
    <row r="139" spans="1:18" x14ac:dyDescent="0.25">
      <c r="A139" s="66" t="s">
        <v>82</v>
      </c>
      <c r="B139" s="44" t="s">
        <v>121</v>
      </c>
      <c r="C139" s="60">
        <v>45889</v>
      </c>
      <c r="D139" s="60">
        <v>45890</v>
      </c>
      <c r="E139" s="44">
        <v>559509</v>
      </c>
      <c r="F139" s="44" t="s">
        <v>83</v>
      </c>
      <c r="G139" s="44" t="s">
        <v>140</v>
      </c>
      <c r="H139" s="44">
        <v>280907</v>
      </c>
      <c r="I139" s="44">
        <v>1</v>
      </c>
      <c r="J139" s="44">
        <v>176.38216162770237</v>
      </c>
      <c r="K139" s="61">
        <v>101.424553</v>
      </c>
      <c r="L139" s="44">
        <v>8697</v>
      </c>
      <c r="M139" s="52">
        <v>882089.33435753093</v>
      </c>
      <c r="N139" s="44"/>
      <c r="O139" s="59"/>
      <c r="P139" s="44" t="s">
        <v>81</v>
      </c>
      <c r="Q139" s="52">
        <v>882089.33435753093</v>
      </c>
      <c r="R139" s="71">
        <v>882058.76</v>
      </c>
    </row>
    <row r="140" spans="1:18" x14ac:dyDescent="0.25">
      <c r="A140" s="66" t="s">
        <v>82</v>
      </c>
      <c r="B140" s="44" t="s">
        <v>85</v>
      </c>
      <c r="C140" s="60">
        <v>45890</v>
      </c>
      <c r="D140" s="60">
        <v>45890</v>
      </c>
      <c r="E140" s="44">
        <v>560821</v>
      </c>
      <c r="F140" s="44" t="s">
        <v>124</v>
      </c>
      <c r="G140" s="44" t="s">
        <v>140</v>
      </c>
      <c r="H140" s="44">
        <v>280907</v>
      </c>
      <c r="I140" s="44">
        <v>1</v>
      </c>
      <c r="J140" s="44">
        <v>7.2</v>
      </c>
      <c r="K140" s="61">
        <v>101.42561499999999</v>
      </c>
      <c r="L140" s="44">
        <v>13462</v>
      </c>
      <c r="M140" s="52">
        <v>1365391.6236132723</v>
      </c>
      <c r="N140" s="44"/>
      <c r="O140" s="59"/>
      <c r="P140" s="44" t="s">
        <v>125</v>
      </c>
      <c r="Q140" s="52">
        <v>1365391.6236132723</v>
      </c>
      <c r="R140" s="70">
        <v>-18.45</v>
      </c>
    </row>
    <row r="141" spans="1:18" x14ac:dyDescent="0.25">
      <c r="A141" s="66" t="s">
        <v>82</v>
      </c>
      <c r="B141" s="44" t="s">
        <v>86</v>
      </c>
      <c r="C141" s="60">
        <v>45890</v>
      </c>
      <c r="D141" s="60">
        <v>45890</v>
      </c>
      <c r="E141" s="44">
        <v>560821</v>
      </c>
      <c r="F141" s="44" t="s">
        <v>124</v>
      </c>
      <c r="G141" s="44" t="s">
        <v>140</v>
      </c>
      <c r="H141" s="44">
        <v>280907</v>
      </c>
      <c r="I141" s="44">
        <v>1</v>
      </c>
      <c r="J141" s="44">
        <v>7.2</v>
      </c>
      <c r="K141" s="61">
        <v>101.42561499999999</v>
      </c>
      <c r="L141" s="44">
        <v>598</v>
      </c>
      <c r="M141" s="52">
        <v>60652.517524939598</v>
      </c>
      <c r="N141" s="44"/>
      <c r="O141" s="59"/>
      <c r="P141" s="44" t="s">
        <v>125</v>
      </c>
      <c r="Q141" s="52">
        <v>60652.517524939598</v>
      </c>
      <c r="R141" s="70">
        <v>-44.41</v>
      </c>
    </row>
    <row r="142" spans="1:18" x14ac:dyDescent="0.25">
      <c r="A142" s="66" t="s">
        <v>82</v>
      </c>
      <c r="B142" s="44" t="s">
        <v>121</v>
      </c>
      <c r="C142" s="60">
        <v>45890</v>
      </c>
      <c r="D142" s="60">
        <v>45890</v>
      </c>
      <c r="E142" s="44">
        <v>560821</v>
      </c>
      <c r="F142" s="44" t="s">
        <v>124</v>
      </c>
      <c r="G142" s="44" t="s">
        <v>140</v>
      </c>
      <c r="H142" s="44">
        <v>280907</v>
      </c>
      <c r="I142" s="44">
        <v>1</v>
      </c>
      <c r="J142" s="44">
        <v>7.2</v>
      </c>
      <c r="K142" s="61">
        <v>101.42561499999999</v>
      </c>
      <c r="L142" s="44">
        <v>8695</v>
      </c>
      <c r="M142" s="52">
        <v>881895.71886178898</v>
      </c>
      <c r="N142" s="44"/>
      <c r="O142" s="59"/>
      <c r="P142" s="44" t="s">
        <v>125</v>
      </c>
      <c r="Q142" s="52">
        <v>881895.71886178898</v>
      </c>
      <c r="R142" s="70">
        <v>163.04</v>
      </c>
    </row>
    <row r="143" spans="1:18" x14ac:dyDescent="0.25">
      <c r="A143" s="66" t="s">
        <v>82</v>
      </c>
      <c r="B143" s="44" t="s">
        <v>85</v>
      </c>
      <c r="C143" s="60">
        <v>45890</v>
      </c>
      <c r="D143" s="60">
        <v>45891</v>
      </c>
      <c r="E143" s="44">
        <v>560821</v>
      </c>
      <c r="F143" s="44" t="s">
        <v>83</v>
      </c>
      <c r="G143" s="44" t="s">
        <v>140</v>
      </c>
      <c r="H143" s="44">
        <v>280907</v>
      </c>
      <c r="I143" s="44">
        <v>1</v>
      </c>
      <c r="J143" s="44">
        <v>273.07360843770596</v>
      </c>
      <c r="K143" s="61">
        <v>101.445899</v>
      </c>
      <c r="L143" s="44">
        <v>13462</v>
      </c>
      <c r="M143" s="52">
        <v>1365664.6972217038</v>
      </c>
      <c r="N143" s="44"/>
      <c r="O143" s="59"/>
      <c r="P143" s="44" t="s">
        <v>81</v>
      </c>
      <c r="Q143" s="52">
        <v>1365664.6972217038</v>
      </c>
      <c r="R143" s="71">
        <v>1365646.25</v>
      </c>
    </row>
    <row r="144" spans="1:18" x14ac:dyDescent="0.25">
      <c r="A144" s="66" t="s">
        <v>82</v>
      </c>
      <c r="B144" s="44" t="s">
        <v>86</v>
      </c>
      <c r="C144" s="60">
        <v>45890</v>
      </c>
      <c r="D144" s="60">
        <v>45891</v>
      </c>
      <c r="E144" s="44">
        <v>560821</v>
      </c>
      <c r="F144" s="44" t="s">
        <v>83</v>
      </c>
      <c r="G144" s="44" t="s">
        <v>140</v>
      </c>
      <c r="H144" s="44">
        <v>280907</v>
      </c>
      <c r="I144" s="44">
        <v>1</v>
      </c>
      <c r="J144" s="44">
        <v>12.130294001318388</v>
      </c>
      <c r="K144" s="61">
        <v>101.445899</v>
      </c>
      <c r="L144" s="44">
        <v>598</v>
      </c>
      <c r="M144" s="52">
        <v>60664.647818940648</v>
      </c>
      <c r="N144" s="44"/>
      <c r="O144" s="59"/>
      <c r="P144" s="44" t="s">
        <v>81</v>
      </c>
      <c r="Q144" s="52">
        <v>60664.647818940648</v>
      </c>
      <c r="R144" s="71">
        <v>60620.24</v>
      </c>
    </row>
    <row r="145" spans="1:18" x14ac:dyDescent="0.25">
      <c r="A145" s="66" t="s">
        <v>82</v>
      </c>
      <c r="B145" s="44" t="s">
        <v>121</v>
      </c>
      <c r="C145" s="60">
        <v>45890</v>
      </c>
      <c r="D145" s="60">
        <v>45891</v>
      </c>
      <c r="E145" s="44">
        <v>560821</v>
      </c>
      <c r="F145" s="44" t="s">
        <v>83</v>
      </c>
      <c r="G145" s="44" t="s">
        <v>140</v>
      </c>
      <c r="H145" s="44">
        <v>280907</v>
      </c>
      <c r="I145" s="44">
        <v>1</v>
      </c>
      <c r="J145" s="44">
        <v>176.37609756097555</v>
      </c>
      <c r="K145" s="61">
        <v>101.445899</v>
      </c>
      <c r="L145" s="44">
        <v>8695</v>
      </c>
      <c r="M145" s="52">
        <v>882072.094959346</v>
      </c>
      <c r="N145" s="44"/>
      <c r="O145" s="59"/>
      <c r="P145" s="44" t="s">
        <v>81</v>
      </c>
      <c r="Q145" s="52">
        <v>882072.094959346</v>
      </c>
      <c r="R145" s="71">
        <v>882235.13</v>
      </c>
    </row>
    <row r="146" spans="1:18" x14ac:dyDescent="0.25">
      <c r="A146" s="66" t="s">
        <v>82</v>
      </c>
      <c r="B146" s="44" t="s">
        <v>85</v>
      </c>
      <c r="C146" s="60">
        <v>45891</v>
      </c>
      <c r="D146" s="60">
        <v>45891</v>
      </c>
      <c r="E146" s="44">
        <v>562115</v>
      </c>
      <c r="F146" s="44" t="s">
        <v>124</v>
      </c>
      <c r="G146" s="44" t="s">
        <v>140</v>
      </c>
      <c r="H146" s="44">
        <v>280907</v>
      </c>
      <c r="I146" s="44">
        <v>3</v>
      </c>
      <c r="J146" s="44">
        <v>7.2</v>
      </c>
      <c r="K146" s="61">
        <v>101.447018</v>
      </c>
      <c r="L146" s="44">
        <v>13462</v>
      </c>
      <c r="M146" s="52">
        <v>1365679.7536005261</v>
      </c>
      <c r="N146" s="44"/>
      <c r="O146" s="59"/>
      <c r="P146" s="44" t="s">
        <v>125</v>
      </c>
      <c r="Q146" s="52">
        <v>1365679.7536005261</v>
      </c>
      <c r="R146" s="70">
        <v>-33.5</v>
      </c>
    </row>
    <row r="147" spans="1:18" x14ac:dyDescent="0.25">
      <c r="A147" s="66" t="s">
        <v>82</v>
      </c>
      <c r="B147" s="44" t="s">
        <v>86</v>
      </c>
      <c r="C147" s="60">
        <v>45891</v>
      </c>
      <c r="D147" s="60">
        <v>45891</v>
      </c>
      <c r="E147" s="44">
        <v>562115</v>
      </c>
      <c r="F147" s="44" t="s">
        <v>124</v>
      </c>
      <c r="G147" s="44" t="s">
        <v>140</v>
      </c>
      <c r="H147" s="44">
        <v>280907</v>
      </c>
      <c r="I147" s="44">
        <v>3</v>
      </c>
      <c r="J147" s="44">
        <v>7.2</v>
      </c>
      <c r="K147" s="61">
        <v>101.447018</v>
      </c>
      <c r="L147" s="44">
        <v>598</v>
      </c>
      <c r="M147" s="52">
        <v>60665.316643375023</v>
      </c>
      <c r="N147" s="44"/>
      <c r="O147" s="59"/>
      <c r="P147" s="44" t="s">
        <v>125</v>
      </c>
      <c r="Q147" s="52">
        <v>60665.316643375023</v>
      </c>
      <c r="R147" s="70">
        <v>-45.08</v>
      </c>
    </row>
    <row r="148" spans="1:18" x14ac:dyDescent="0.25">
      <c r="A148" s="66" t="s">
        <v>82</v>
      </c>
      <c r="B148" s="44" t="s">
        <v>121</v>
      </c>
      <c r="C148" s="60">
        <v>45891</v>
      </c>
      <c r="D148" s="60">
        <v>45891</v>
      </c>
      <c r="E148" s="44">
        <v>562115</v>
      </c>
      <c r="F148" s="44" t="s">
        <v>124</v>
      </c>
      <c r="G148" s="44" t="s">
        <v>140</v>
      </c>
      <c r="H148" s="44">
        <v>280907</v>
      </c>
      <c r="I148" s="44">
        <v>3</v>
      </c>
      <c r="J148" s="44">
        <v>7.2</v>
      </c>
      <c r="K148" s="61">
        <v>101.447018</v>
      </c>
      <c r="L148" s="44">
        <v>8695</v>
      </c>
      <c r="M148" s="52">
        <v>882081.81975609681</v>
      </c>
      <c r="N148" s="44"/>
      <c r="O148" s="59"/>
      <c r="P148" s="44" t="s">
        <v>125</v>
      </c>
      <c r="Q148" s="52">
        <v>882081.81975609681</v>
      </c>
      <c r="R148" s="70">
        <v>153.31</v>
      </c>
    </row>
    <row r="149" spans="1:18" x14ac:dyDescent="0.25">
      <c r="A149" s="66" t="s">
        <v>82</v>
      </c>
      <c r="B149" s="44" t="s">
        <v>85</v>
      </c>
      <c r="C149" s="60">
        <v>45891</v>
      </c>
      <c r="D149" s="60">
        <v>45894</v>
      </c>
      <c r="E149" s="44">
        <v>562115</v>
      </c>
      <c r="F149" s="44" t="s">
        <v>83</v>
      </c>
      <c r="G149" s="44" t="s">
        <v>140</v>
      </c>
      <c r="H149" s="44">
        <v>280907</v>
      </c>
      <c r="I149" s="44">
        <v>3</v>
      </c>
      <c r="J149" s="52">
        <v>819.40422324763858</v>
      </c>
      <c r="K149" s="61">
        <v>101.507886</v>
      </c>
      <c r="L149" s="44">
        <v>13462</v>
      </c>
      <c r="M149" s="52">
        <v>1366499.1578237759</v>
      </c>
      <c r="N149" s="44"/>
      <c r="O149" s="59"/>
      <c r="P149" s="44" t="s">
        <v>81</v>
      </c>
      <c r="Q149" s="52">
        <v>1366499.1578237759</v>
      </c>
      <c r="R149" s="71">
        <v>1366465.66</v>
      </c>
    </row>
    <row r="150" spans="1:18" x14ac:dyDescent="0.25">
      <c r="A150" s="66" t="s">
        <v>82</v>
      </c>
      <c r="B150" s="44" t="s">
        <v>86</v>
      </c>
      <c r="C150" s="60">
        <v>45891</v>
      </c>
      <c r="D150" s="60">
        <v>45894</v>
      </c>
      <c r="E150" s="44">
        <v>562115</v>
      </c>
      <c r="F150" s="44" t="s">
        <v>83</v>
      </c>
      <c r="G150" s="44" t="s">
        <v>140</v>
      </c>
      <c r="H150" s="44">
        <v>280907</v>
      </c>
      <c r="I150" s="44">
        <v>3</v>
      </c>
      <c r="J150" s="52">
        <v>36.399028784882468</v>
      </c>
      <c r="K150" s="61">
        <v>101.507886</v>
      </c>
      <c r="L150" s="44">
        <v>598</v>
      </c>
      <c r="M150" s="52">
        <v>60701.715672159997</v>
      </c>
      <c r="N150" s="44"/>
      <c r="O150" s="59"/>
      <c r="P150" s="44" t="s">
        <v>81</v>
      </c>
      <c r="Q150" s="52">
        <v>60701.715672159997</v>
      </c>
      <c r="R150" s="71">
        <v>60656.639999999999</v>
      </c>
    </row>
    <row r="151" spans="1:18" x14ac:dyDescent="0.25">
      <c r="A151" s="66" t="s">
        <v>82</v>
      </c>
      <c r="B151" s="44" t="s">
        <v>121</v>
      </c>
      <c r="C151" s="60">
        <v>45891</v>
      </c>
      <c r="D151" s="60">
        <v>45894</v>
      </c>
      <c r="E151" s="44">
        <v>562115</v>
      </c>
      <c r="F151" s="44" t="s">
        <v>83</v>
      </c>
      <c r="G151" s="44" t="s">
        <v>140</v>
      </c>
      <c r="H151" s="44">
        <v>280907</v>
      </c>
      <c r="I151" s="44">
        <v>3</v>
      </c>
      <c r="J151" s="52">
        <v>529.24674796748013</v>
      </c>
      <c r="K151" s="61">
        <v>101.507886</v>
      </c>
      <c r="L151" s="44">
        <v>8695</v>
      </c>
      <c r="M151" s="52">
        <v>882611.06650406565</v>
      </c>
      <c r="N151" s="44"/>
      <c r="O151" s="59"/>
      <c r="P151" s="44" t="s">
        <v>81</v>
      </c>
      <c r="Q151" s="52">
        <v>882611.06650406565</v>
      </c>
      <c r="R151" s="71">
        <v>882764.38</v>
      </c>
    </row>
    <row r="152" spans="1:18" x14ac:dyDescent="0.25">
      <c r="A152" s="66" t="s">
        <v>82</v>
      </c>
      <c r="B152" s="44" t="s">
        <v>85</v>
      </c>
      <c r="C152" s="60">
        <v>45894</v>
      </c>
      <c r="D152" s="60">
        <v>45894</v>
      </c>
      <c r="E152" s="44">
        <v>563455</v>
      </c>
      <c r="F152" s="44" t="s">
        <v>124</v>
      </c>
      <c r="G152" s="44" t="s">
        <v>140</v>
      </c>
      <c r="H152" s="44">
        <v>280907</v>
      </c>
      <c r="I152" s="44">
        <v>1</v>
      </c>
      <c r="J152" s="44">
        <v>7.2</v>
      </c>
      <c r="K152" s="61">
        <v>101.512877</v>
      </c>
      <c r="L152" s="44">
        <v>13461</v>
      </c>
      <c r="M152" s="52">
        <v>1366464.8353696002</v>
      </c>
      <c r="N152" s="44"/>
      <c r="O152" s="59"/>
      <c r="P152" s="44" t="s">
        <v>125</v>
      </c>
      <c r="Q152" s="52">
        <v>1366464.8353696002</v>
      </c>
      <c r="R152" s="70">
        <v>0.82</v>
      </c>
    </row>
    <row r="153" spans="1:18" x14ac:dyDescent="0.25">
      <c r="A153" s="66" t="s">
        <v>82</v>
      </c>
      <c r="B153" s="44" t="s">
        <v>86</v>
      </c>
      <c r="C153" s="60">
        <v>45894</v>
      </c>
      <c r="D153" s="60">
        <v>45894</v>
      </c>
      <c r="E153" s="44">
        <v>563455</v>
      </c>
      <c r="F153" s="44" t="s">
        <v>124</v>
      </c>
      <c r="G153" s="44" t="s">
        <v>140</v>
      </c>
      <c r="H153" s="44">
        <v>280907</v>
      </c>
      <c r="I153" s="44">
        <v>1</v>
      </c>
      <c r="J153" s="44">
        <v>7.2</v>
      </c>
      <c r="K153" s="61">
        <v>101.512877</v>
      </c>
      <c r="L153" s="44">
        <v>598</v>
      </c>
      <c r="M153" s="52">
        <v>60704.700360375966</v>
      </c>
      <c r="N153" s="44"/>
      <c r="O153" s="59"/>
      <c r="P153" s="44" t="s">
        <v>125</v>
      </c>
      <c r="Q153" s="52">
        <v>60704.700360375966</v>
      </c>
      <c r="R153" s="70">
        <v>-48.06</v>
      </c>
    </row>
    <row r="154" spans="1:18" x14ac:dyDescent="0.25">
      <c r="A154" s="66" t="s">
        <v>82</v>
      </c>
      <c r="B154" s="44" t="s">
        <v>121</v>
      </c>
      <c r="C154" s="60">
        <v>45894</v>
      </c>
      <c r="D154" s="60">
        <v>45894</v>
      </c>
      <c r="E154" s="44">
        <v>563455</v>
      </c>
      <c r="F154" s="44" t="s">
        <v>124</v>
      </c>
      <c r="G154" s="44" t="s">
        <v>140</v>
      </c>
      <c r="H154" s="44">
        <v>280907</v>
      </c>
      <c r="I154" s="44">
        <v>1</v>
      </c>
      <c r="J154" s="44">
        <v>7.2</v>
      </c>
      <c r="K154" s="61">
        <v>101.512877</v>
      </c>
      <c r="L154" s="44">
        <v>8695</v>
      </c>
      <c r="M154" s="52">
        <v>882654.46427001513</v>
      </c>
      <c r="N154" s="44"/>
      <c r="O154" s="59"/>
      <c r="P154" s="44" t="s">
        <v>125</v>
      </c>
      <c r="Q154" s="52">
        <v>882654.46427001513</v>
      </c>
      <c r="R154" s="70">
        <v>109.92</v>
      </c>
    </row>
    <row r="155" spans="1:18" x14ac:dyDescent="0.25">
      <c r="A155" s="66"/>
      <c r="B155" s="44" t="s">
        <v>85</v>
      </c>
      <c r="C155" s="60">
        <v>45894</v>
      </c>
      <c r="D155" s="60">
        <v>45895</v>
      </c>
      <c r="E155" s="44">
        <v>8888</v>
      </c>
      <c r="F155" s="44" t="s">
        <v>160</v>
      </c>
      <c r="G155" s="44" t="s">
        <v>136</v>
      </c>
      <c r="H155" s="44" t="s">
        <v>94</v>
      </c>
      <c r="I155" s="44"/>
      <c r="J155" s="44"/>
      <c r="K155" s="61">
        <v>1635</v>
      </c>
      <c r="L155" s="44">
        <v>25</v>
      </c>
      <c r="M155" s="52">
        <v>40875</v>
      </c>
      <c r="N155" s="44"/>
      <c r="O155" s="59"/>
      <c r="P155" s="44" t="s">
        <v>81</v>
      </c>
      <c r="Q155" s="52">
        <v>40875</v>
      </c>
      <c r="R155" s="71">
        <v>40875.82</v>
      </c>
    </row>
    <row r="156" spans="1:18" x14ac:dyDescent="0.25">
      <c r="A156" s="66"/>
      <c r="B156" s="44" t="s">
        <v>85</v>
      </c>
      <c r="C156" s="60">
        <v>45894</v>
      </c>
      <c r="D156" s="60">
        <v>45895</v>
      </c>
      <c r="E156" s="44">
        <v>8888</v>
      </c>
      <c r="F156" s="44" t="s">
        <v>159</v>
      </c>
      <c r="G156" s="44" t="s">
        <v>136</v>
      </c>
      <c r="H156" s="44" t="s">
        <v>94</v>
      </c>
      <c r="I156" s="44"/>
      <c r="J156" s="44"/>
      <c r="K156" s="61"/>
      <c r="L156" s="44"/>
      <c r="M156" s="44">
        <v>36.787500000000001</v>
      </c>
      <c r="N156" s="110">
        <v>8.9999999999999998E-4</v>
      </c>
      <c r="O156" s="59">
        <v>5.8860000000000001</v>
      </c>
      <c r="P156" s="44" t="s">
        <v>125</v>
      </c>
      <c r="Q156" s="44">
        <v>42.673499999999997</v>
      </c>
      <c r="R156" s="71">
        <v>40833.146500000003</v>
      </c>
    </row>
    <row r="157" spans="1:18" x14ac:dyDescent="0.25">
      <c r="A157" s="66"/>
      <c r="B157" s="44" t="s">
        <v>85</v>
      </c>
      <c r="C157" s="60">
        <v>45894</v>
      </c>
      <c r="D157" s="60">
        <v>45895</v>
      </c>
      <c r="E157" s="44">
        <v>8889</v>
      </c>
      <c r="F157" s="44" t="s">
        <v>158</v>
      </c>
      <c r="G157" s="44" t="s">
        <v>161</v>
      </c>
      <c r="H157" s="44" t="s">
        <v>94</v>
      </c>
      <c r="I157" s="44"/>
      <c r="J157" s="44"/>
      <c r="K157" s="61">
        <v>5688</v>
      </c>
      <c r="L157" s="44">
        <v>1</v>
      </c>
      <c r="M157" s="52">
        <v>5688</v>
      </c>
      <c r="N157" s="44"/>
      <c r="O157" s="59"/>
      <c r="P157" s="44" t="s">
        <v>125</v>
      </c>
      <c r="Q157" s="52">
        <v>5688</v>
      </c>
      <c r="R157" s="71">
        <v>35145.146500000003</v>
      </c>
    </row>
    <row r="158" spans="1:18" x14ac:dyDescent="0.25">
      <c r="A158" s="66"/>
      <c r="B158" s="44" t="s">
        <v>85</v>
      </c>
      <c r="C158" s="60">
        <v>45894</v>
      </c>
      <c r="D158" s="60">
        <v>45895</v>
      </c>
      <c r="E158" s="44">
        <v>8889</v>
      </c>
      <c r="F158" s="44" t="s">
        <v>159</v>
      </c>
      <c r="G158" s="44" t="s">
        <v>161</v>
      </c>
      <c r="H158" s="44" t="s">
        <v>94</v>
      </c>
      <c r="I158" s="44"/>
      <c r="J158" s="44"/>
      <c r="K158" s="61"/>
      <c r="L158" s="44"/>
      <c r="M158" s="44">
        <v>5.1192000000000002</v>
      </c>
      <c r="N158" s="110">
        <v>8.9999999999999998E-4</v>
      </c>
      <c r="O158" s="59">
        <v>0.81907200000000002</v>
      </c>
      <c r="P158" s="44" t="s">
        <v>125</v>
      </c>
      <c r="Q158" s="44">
        <v>5.9382720000000004</v>
      </c>
      <c r="R158" s="71">
        <v>35139.208228000003</v>
      </c>
    </row>
    <row r="159" spans="1:18" x14ac:dyDescent="0.25">
      <c r="A159" s="66"/>
      <c r="B159" s="44" t="s">
        <v>85</v>
      </c>
      <c r="C159" s="60">
        <v>45894</v>
      </c>
      <c r="D159" s="60">
        <v>45895</v>
      </c>
      <c r="E159" s="44">
        <v>8889</v>
      </c>
      <c r="F159" s="44" t="s">
        <v>158</v>
      </c>
      <c r="G159" s="44" t="s">
        <v>161</v>
      </c>
      <c r="H159" s="44" t="s">
        <v>94</v>
      </c>
      <c r="I159" s="44"/>
      <c r="J159" s="44"/>
      <c r="K159" s="61">
        <v>5688</v>
      </c>
      <c r="L159" s="44">
        <v>34</v>
      </c>
      <c r="M159" s="52">
        <v>193392</v>
      </c>
      <c r="N159" s="44"/>
      <c r="O159" s="59"/>
      <c r="P159" s="44" t="s">
        <v>125</v>
      </c>
      <c r="Q159" s="52">
        <v>193392</v>
      </c>
      <c r="R159" s="71">
        <v>-158252.791772</v>
      </c>
    </row>
    <row r="160" spans="1:18" x14ac:dyDescent="0.25">
      <c r="A160" s="66"/>
      <c r="B160" s="44" t="s">
        <v>85</v>
      </c>
      <c r="C160" s="60">
        <v>45894</v>
      </c>
      <c r="D160" s="60">
        <v>45895</v>
      </c>
      <c r="E160" s="44">
        <v>8889</v>
      </c>
      <c r="F160" s="44" t="s">
        <v>159</v>
      </c>
      <c r="G160" s="44" t="s">
        <v>161</v>
      </c>
      <c r="H160" s="44" t="s">
        <v>94</v>
      </c>
      <c r="I160" s="44"/>
      <c r="J160" s="44"/>
      <c r="K160" s="61"/>
      <c r="L160" s="44"/>
      <c r="M160" s="44">
        <v>174.05279999999999</v>
      </c>
      <c r="N160" s="110">
        <v>8.9999999999999998E-4</v>
      </c>
      <c r="O160" s="59">
        <v>27.848448000000001</v>
      </c>
      <c r="P160" s="44" t="s">
        <v>125</v>
      </c>
      <c r="Q160" s="44">
        <v>201.90124800000001</v>
      </c>
      <c r="R160" s="71">
        <v>-158454.69302000001</v>
      </c>
    </row>
    <row r="161" spans="1:18" x14ac:dyDescent="0.25">
      <c r="A161" s="66"/>
      <c r="B161" s="44" t="s">
        <v>85</v>
      </c>
      <c r="C161" s="60">
        <v>45894</v>
      </c>
      <c r="D161" s="60">
        <v>45895</v>
      </c>
      <c r="E161" s="44">
        <v>8890</v>
      </c>
      <c r="F161" s="44" t="s">
        <v>158</v>
      </c>
      <c r="G161" s="44" t="s">
        <v>151</v>
      </c>
      <c r="H161" s="44" t="s">
        <v>94</v>
      </c>
      <c r="I161" s="44"/>
      <c r="J161" s="44"/>
      <c r="K161" s="61">
        <v>1506</v>
      </c>
      <c r="L161" s="44">
        <v>20</v>
      </c>
      <c r="M161" s="52">
        <v>30120</v>
      </c>
      <c r="N161" s="44"/>
      <c r="O161" s="59"/>
      <c r="P161" s="44" t="s">
        <v>125</v>
      </c>
      <c r="Q161" s="52">
        <v>30120</v>
      </c>
      <c r="R161" s="71">
        <v>-188574.69302000001</v>
      </c>
    </row>
    <row r="162" spans="1:18" x14ac:dyDescent="0.25">
      <c r="A162" s="66"/>
      <c r="B162" s="44" t="s">
        <v>85</v>
      </c>
      <c r="C162" s="60">
        <v>45894</v>
      </c>
      <c r="D162" s="60">
        <v>45895</v>
      </c>
      <c r="E162" s="44">
        <v>8890</v>
      </c>
      <c r="F162" s="44" t="s">
        <v>159</v>
      </c>
      <c r="G162" s="44" t="s">
        <v>151</v>
      </c>
      <c r="H162" s="44" t="s">
        <v>94</v>
      </c>
      <c r="I162" s="44"/>
      <c r="J162" s="44"/>
      <c r="K162" s="61"/>
      <c r="L162" s="44"/>
      <c r="M162" s="44">
        <v>27.108000000000001</v>
      </c>
      <c r="N162" s="110">
        <v>8.9999999999999998E-4</v>
      </c>
      <c r="O162" s="59">
        <v>4.3372799999999998</v>
      </c>
      <c r="P162" s="44" t="s">
        <v>125</v>
      </c>
      <c r="Q162" s="44">
        <v>31.44528</v>
      </c>
      <c r="R162" s="71">
        <v>-188606.13830000002</v>
      </c>
    </row>
    <row r="163" spans="1:18" x14ac:dyDescent="0.25">
      <c r="A163" s="66"/>
      <c r="B163" s="44" t="s">
        <v>121</v>
      </c>
      <c r="C163" s="60">
        <v>45894</v>
      </c>
      <c r="D163" s="60">
        <v>45895</v>
      </c>
      <c r="E163" s="44">
        <v>8890</v>
      </c>
      <c r="F163" s="44" t="s">
        <v>158</v>
      </c>
      <c r="G163" s="44" t="s">
        <v>151</v>
      </c>
      <c r="H163" s="44" t="s">
        <v>94</v>
      </c>
      <c r="I163" s="44"/>
      <c r="J163" s="44"/>
      <c r="K163" s="61">
        <v>1506</v>
      </c>
      <c r="L163" s="44">
        <v>20</v>
      </c>
      <c r="M163" s="52">
        <v>30120</v>
      </c>
      <c r="N163" s="44"/>
      <c r="O163" s="59"/>
      <c r="P163" s="44" t="s">
        <v>125</v>
      </c>
      <c r="Q163" s="52">
        <v>30120</v>
      </c>
      <c r="R163" s="71">
        <v>-30010.080000000002</v>
      </c>
    </row>
    <row r="164" spans="1:18" x14ac:dyDescent="0.25">
      <c r="A164" s="66"/>
      <c r="B164" s="44" t="s">
        <v>121</v>
      </c>
      <c r="C164" s="60">
        <v>45894</v>
      </c>
      <c r="D164" s="60">
        <v>45895</v>
      </c>
      <c r="E164" s="44">
        <v>8890</v>
      </c>
      <c r="F164" s="44" t="s">
        <v>159</v>
      </c>
      <c r="G164" s="44" t="s">
        <v>151</v>
      </c>
      <c r="H164" s="44" t="s">
        <v>94</v>
      </c>
      <c r="I164" s="44"/>
      <c r="J164" s="44"/>
      <c r="K164" s="61"/>
      <c r="L164" s="44"/>
      <c r="M164" s="44">
        <v>27.108000000000001</v>
      </c>
      <c r="N164" s="110">
        <v>8.9999999999999998E-4</v>
      </c>
      <c r="O164" s="59">
        <v>4.3372799999999998</v>
      </c>
      <c r="P164" s="44" t="s">
        <v>125</v>
      </c>
      <c r="Q164" s="44">
        <v>31.44528</v>
      </c>
      <c r="R164" s="71">
        <v>-30041.525280000002</v>
      </c>
    </row>
    <row r="165" spans="1:18" x14ac:dyDescent="0.25">
      <c r="A165" s="66"/>
      <c r="B165" s="44" t="s">
        <v>85</v>
      </c>
      <c r="C165" s="60">
        <v>45894</v>
      </c>
      <c r="D165" s="60">
        <v>45895</v>
      </c>
      <c r="E165" s="44">
        <v>8891</v>
      </c>
      <c r="F165" s="44" t="s">
        <v>158</v>
      </c>
      <c r="G165" s="44" t="s">
        <v>152</v>
      </c>
      <c r="H165" s="44" t="s">
        <v>94</v>
      </c>
      <c r="I165" s="44"/>
      <c r="J165" s="44"/>
      <c r="K165" s="61">
        <v>444.75</v>
      </c>
      <c r="L165" s="44">
        <v>60</v>
      </c>
      <c r="M165" s="52">
        <v>26685</v>
      </c>
      <c r="N165" s="44"/>
      <c r="O165" s="59"/>
      <c r="P165" s="44" t="s">
        <v>125</v>
      </c>
      <c r="Q165" s="52">
        <v>26685</v>
      </c>
      <c r="R165" s="71">
        <v>-215291.13830000002</v>
      </c>
    </row>
    <row r="166" spans="1:18" x14ac:dyDescent="0.25">
      <c r="A166" s="66"/>
      <c r="B166" s="44" t="s">
        <v>85</v>
      </c>
      <c r="C166" s="60">
        <v>45894</v>
      </c>
      <c r="D166" s="60">
        <v>45895</v>
      </c>
      <c r="E166" s="44">
        <v>8891</v>
      </c>
      <c r="F166" s="44" t="s">
        <v>159</v>
      </c>
      <c r="G166" s="44" t="s">
        <v>152</v>
      </c>
      <c r="H166" s="44" t="s">
        <v>94</v>
      </c>
      <c r="I166" s="44"/>
      <c r="J166" s="44"/>
      <c r="K166" s="61"/>
      <c r="L166" s="44"/>
      <c r="M166" s="44">
        <v>24.016500000000001</v>
      </c>
      <c r="N166" s="110">
        <v>8.9999999999999998E-4</v>
      </c>
      <c r="O166" s="59">
        <v>3.8426399999999998</v>
      </c>
      <c r="P166" s="44" t="s">
        <v>125</v>
      </c>
      <c r="Q166" s="44">
        <v>27.85914</v>
      </c>
      <c r="R166" s="71">
        <v>-215318.99744000001</v>
      </c>
    </row>
    <row r="167" spans="1:18" x14ac:dyDescent="0.25">
      <c r="A167" s="66"/>
      <c r="B167" s="44" t="s">
        <v>121</v>
      </c>
      <c r="C167" s="60">
        <v>45894</v>
      </c>
      <c r="D167" s="60">
        <v>45895</v>
      </c>
      <c r="E167" s="44">
        <v>8891</v>
      </c>
      <c r="F167" s="44" t="s">
        <v>158</v>
      </c>
      <c r="G167" s="44" t="s">
        <v>152</v>
      </c>
      <c r="H167" s="44" t="s">
        <v>94</v>
      </c>
      <c r="I167" s="44"/>
      <c r="J167" s="44"/>
      <c r="K167" s="61">
        <v>444.75</v>
      </c>
      <c r="L167" s="44">
        <v>60</v>
      </c>
      <c r="M167" s="52">
        <v>26685</v>
      </c>
      <c r="N167" s="44"/>
      <c r="O167" s="59"/>
      <c r="P167" s="44" t="s">
        <v>125</v>
      </c>
      <c r="Q167" s="52">
        <v>26685</v>
      </c>
      <c r="R167" s="71">
        <v>-56726.525280000002</v>
      </c>
    </row>
    <row r="168" spans="1:18" x14ac:dyDescent="0.25">
      <c r="A168" s="66"/>
      <c r="B168" s="44" t="s">
        <v>121</v>
      </c>
      <c r="C168" s="60">
        <v>45894</v>
      </c>
      <c r="D168" s="60">
        <v>45895</v>
      </c>
      <c r="E168" s="44">
        <v>8891</v>
      </c>
      <c r="F168" s="44" t="s">
        <v>159</v>
      </c>
      <c r="G168" s="44" t="s">
        <v>152</v>
      </c>
      <c r="H168" s="44" t="s">
        <v>94</v>
      </c>
      <c r="I168" s="44"/>
      <c r="J168" s="44"/>
      <c r="K168" s="61"/>
      <c r="L168" s="44"/>
      <c r="M168" s="44">
        <v>24.016500000000001</v>
      </c>
      <c r="N168" s="110">
        <v>8.9999999999999998E-4</v>
      </c>
      <c r="O168" s="59">
        <v>3.8426399999999998</v>
      </c>
      <c r="P168" s="44" t="s">
        <v>125</v>
      </c>
      <c r="Q168" s="44">
        <v>27.85914</v>
      </c>
      <c r="R168" s="71">
        <v>-56754.384420000002</v>
      </c>
    </row>
    <row r="169" spans="1:18" x14ac:dyDescent="0.25">
      <c r="A169" s="66" t="s">
        <v>82</v>
      </c>
      <c r="B169" s="44" t="s">
        <v>85</v>
      </c>
      <c r="C169" s="60">
        <v>45894</v>
      </c>
      <c r="D169" s="60">
        <v>45895</v>
      </c>
      <c r="E169" s="44">
        <v>563455</v>
      </c>
      <c r="F169" s="44" t="s">
        <v>83</v>
      </c>
      <c r="G169" s="44" t="s">
        <v>140</v>
      </c>
      <c r="H169" s="44">
        <v>280907</v>
      </c>
      <c r="I169" s="44">
        <v>1</v>
      </c>
      <c r="J169" s="44">
        <v>273.29012745011818</v>
      </c>
      <c r="K169" s="61">
        <v>101.533179</v>
      </c>
      <c r="L169" s="44">
        <v>13461</v>
      </c>
      <c r="M169" s="52">
        <v>1366738.1254970578</v>
      </c>
      <c r="N169" s="44"/>
      <c r="O169" s="59"/>
      <c r="P169" s="44" t="s">
        <v>81</v>
      </c>
      <c r="Q169" s="52">
        <v>1366738.1254970578</v>
      </c>
      <c r="R169" s="71">
        <v>1151419.1299999999</v>
      </c>
    </row>
    <row r="170" spans="1:18" x14ac:dyDescent="0.25">
      <c r="A170" s="66" t="s">
        <v>82</v>
      </c>
      <c r="B170" s="44" t="s">
        <v>86</v>
      </c>
      <c r="C170" s="60">
        <v>45894</v>
      </c>
      <c r="D170" s="60">
        <v>45895</v>
      </c>
      <c r="E170" s="44">
        <v>563455</v>
      </c>
      <c r="F170" s="44" t="s">
        <v>83</v>
      </c>
      <c r="G170" s="44" t="s">
        <v>140</v>
      </c>
      <c r="H170" s="44">
        <v>280907</v>
      </c>
      <c r="I170" s="44">
        <v>1</v>
      </c>
      <c r="J170" s="44">
        <v>12.140813922826734</v>
      </c>
      <c r="K170" s="61">
        <v>101.533179</v>
      </c>
      <c r="L170" s="44">
        <v>598</v>
      </c>
      <c r="M170" s="52">
        <v>60716.84117429913</v>
      </c>
      <c r="N170" s="44"/>
      <c r="O170" s="59"/>
      <c r="P170" s="44" t="s">
        <v>81</v>
      </c>
      <c r="Q170" s="52">
        <v>60716.84117429913</v>
      </c>
      <c r="R170" s="71">
        <v>60668.78</v>
      </c>
    </row>
    <row r="171" spans="1:18" x14ac:dyDescent="0.25">
      <c r="A171" s="66" t="s">
        <v>82</v>
      </c>
      <c r="B171" s="44" t="s">
        <v>121</v>
      </c>
      <c r="C171" s="60">
        <v>45894</v>
      </c>
      <c r="D171" s="60">
        <v>45895</v>
      </c>
      <c r="E171" s="44">
        <v>563455</v>
      </c>
      <c r="F171" s="44" t="s">
        <v>83</v>
      </c>
      <c r="G171" s="44" t="s">
        <v>140</v>
      </c>
      <c r="H171" s="44">
        <v>280907</v>
      </c>
      <c r="I171" s="44">
        <v>1</v>
      </c>
      <c r="J171" s="44">
        <v>176.5290586270543</v>
      </c>
      <c r="K171" s="61">
        <v>101.533179</v>
      </c>
      <c r="L171" s="44">
        <v>8695</v>
      </c>
      <c r="M171" s="52">
        <v>882830.99332864699</v>
      </c>
      <c r="N171" s="44"/>
      <c r="O171" s="59"/>
      <c r="P171" s="44" t="s">
        <v>81</v>
      </c>
      <c r="Q171" s="52">
        <v>882830.99332864699</v>
      </c>
      <c r="R171" s="71">
        <v>826076.61</v>
      </c>
    </row>
    <row r="172" spans="1:18" x14ac:dyDescent="0.25">
      <c r="A172" s="66" t="s">
        <v>82</v>
      </c>
      <c r="B172" s="44" t="s">
        <v>85</v>
      </c>
      <c r="C172" s="60">
        <v>45895</v>
      </c>
      <c r="D172" s="60">
        <v>45895</v>
      </c>
      <c r="E172" s="44">
        <v>564819</v>
      </c>
      <c r="F172" s="44" t="s">
        <v>124</v>
      </c>
      <c r="G172" s="44" t="s">
        <v>140</v>
      </c>
      <c r="H172" s="44">
        <v>280907</v>
      </c>
      <c r="I172" s="44">
        <v>1</v>
      </c>
      <c r="J172" s="44">
        <v>7.2</v>
      </c>
      <c r="K172" s="61">
        <v>101.535646</v>
      </c>
      <c r="L172" s="44">
        <v>11340</v>
      </c>
      <c r="M172" s="52">
        <v>1151414.2244208592</v>
      </c>
      <c r="N172" s="44"/>
      <c r="O172" s="59"/>
      <c r="P172" s="44" t="s">
        <v>125</v>
      </c>
      <c r="Q172" s="52">
        <v>1151414.2244208592</v>
      </c>
      <c r="R172" s="70">
        <v>4.91</v>
      </c>
    </row>
    <row r="173" spans="1:18" x14ac:dyDescent="0.25">
      <c r="A173" s="66" t="s">
        <v>82</v>
      </c>
      <c r="B173" s="44" t="s">
        <v>86</v>
      </c>
      <c r="C173" s="60">
        <v>45895</v>
      </c>
      <c r="D173" s="60">
        <v>45895</v>
      </c>
      <c r="E173" s="44">
        <v>564819</v>
      </c>
      <c r="F173" s="44" t="s">
        <v>124</v>
      </c>
      <c r="G173" s="44" t="s">
        <v>140</v>
      </c>
      <c r="H173" s="44">
        <v>280907</v>
      </c>
      <c r="I173" s="44">
        <v>1</v>
      </c>
      <c r="J173" s="44">
        <v>7.2</v>
      </c>
      <c r="K173" s="61">
        <v>101.535646</v>
      </c>
      <c r="L173" s="44">
        <v>598</v>
      </c>
      <c r="M173" s="52">
        <v>60718.316243710215</v>
      </c>
      <c r="N173" s="44"/>
      <c r="O173" s="59"/>
      <c r="P173" s="44" t="s">
        <v>125</v>
      </c>
      <c r="Q173" s="52">
        <v>60718.316243710215</v>
      </c>
      <c r="R173" s="70">
        <v>-49.54</v>
      </c>
    </row>
    <row r="174" spans="1:18" x14ac:dyDescent="0.25">
      <c r="A174" s="66" t="s">
        <v>82</v>
      </c>
      <c r="B174" s="44" t="s">
        <v>121</v>
      </c>
      <c r="C174" s="60">
        <v>45895</v>
      </c>
      <c r="D174" s="60">
        <v>45895</v>
      </c>
      <c r="E174" s="44">
        <v>564819</v>
      </c>
      <c r="F174" s="44" t="s">
        <v>124</v>
      </c>
      <c r="G174" s="44" t="s">
        <v>140</v>
      </c>
      <c r="H174" s="44">
        <v>280907</v>
      </c>
      <c r="I174" s="44">
        <v>1</v>
      </c>
      <c r="J174" s="44">
        <v>7.2</v>
      </c>
      <c r="K174" s="61">
        <v>101.535646</v>
      </c>
      <c r="L174" s="44">
        <v>8135</v>
      </c>
      <c r="M174" s="52">
        <v>825992.47933542251</v>
      </c>
      <c r="N174" s="44"/>
      <c r="O174" s="59"/>
      <c r="P174" s="44" t="s">
        <v>125</v>
      </c>
      <c r="Q174" s="52">
        <v>825992.47933542251</v>
      </c>
      <c r="R174" s="70">
        <v>84.13</v>
      </c>
    </row>
    <row r="175" spans="1:18" x14ac:dyDescent="0.25">
      <c r="A175" s="79" t="s">
        <v>82</v>
      </c>
      <c r="B175" s="77" t="s">
        <v>85</v>
      </c>
      <c r="C175" s="92">
        <v>45895</v>
      </c>
      <c r="D175" s="92">
        <v>45896</v>
      </c>
      <c r="E175" s="77">
        <v>564819</v>
      </c>
      <c r="F175" s="77" t="s">
        <v>83</v>
      </c>
      <c r="G175" s="77" t="s">
        <v>140</v>
      </c>
      <c r="H175" s="77">
        <v>280907</v>
      </c>
      <c r="I175" s="77">
        <v>1</v>
      </c>
      <c r="J175" s="77">
        <v>230.28001793453879</v>
      </c>
      <c r="K175" s="103">
        <v>101.555953</v>
      </c>
      <c r="L175" s="77">
        <v>11340</v>
      </c>
      <c r="M175" s="78">
        <v>1151644.5044388005</v>
      </c>
      <c r="N175" s="77"/>
      <c r="O175" s="93"/>
      <c r="P175" s="77" t="s">
        <v>81</v>
      </c>
      <c r="Q175" s="78">
        <v>1151644.5044388005</v>
      </c>
      <c r="R175" s="94">
        <v>1151649.4099999999</v>
      </c>
    </row>
    <row r="176" spans="1:18" x14ac:dyDescent="0.25">
      <c r="A176" s="79" t="s">
        <v>82</v>
      </c>
      <c r="B176" s="77" t="s">
        <v>86</v>
      </c>
      <c r="C176" s="92">
        <v>45895</v>
      </c>
      <c r="D176" s="92">
        <v>45896</v>
      </c>
      <c r="E176" s="77">
        <v>564819</v>
      </c>
      <c r="F176" s="77" t="s">
        <v>83</v>
      </c>
      <c r="G176" s="77" t="s">
        <v>140</v>
      </c>
      <c r="H176" s="77">
        <v>280907</v>
      </c>
      <c r="I176" s="77">
        <v>1</v>
      </c>
      <c r="J176" s="77">
        <v>12.143514173267565</v>
      </c>
      <c r="K176" s="103">
        <v>101.555953</v>
      </c>
      <c r="L176" s="77">
        <v>598</v>
      </c>
      <c r="M176" s="78">
        <v>60730.459757883837</v>
      </c>
      <c r="N176" s="77"/>
      <c r="O176" s="93"/>
      <c r="P176" s="77" t="s">
        <v>81</v>
      </c>
      <c r="Q176" s="78">
        <v>60730.459757883837</v>
      </c>
      <c r="R176" s="94">
        <v>60680.92</v>
      </c>
    </row>
    <row r="177" spans="1:18" x14ac:dyDescent="0.25">
      <c r="A177" s="79" t="s">
        <v>82</v>
      </c>
      <c r="B177" s="77" t="s">
        <v>121</v>
      </c>
      <c r="C177" s="92">
        <v>45895</v>
      </c>
      <c r="D177" s="92">
        <v>45896</v>
      </c>
      <c r="E177" s="77">
        <v>564819</v>
      </c>
      <c r="F177" s="77" t="s">
        <v>83</v>
      </c>
      <c r="G177" s="77" t="s">
        <v>140</v>
      </c>
      <c r="H177" s="77">
        <v>280907</v>
      </c>
      <c r="I177" s="77">
        <v>1</v>
      </c>
      <c r="J177" s="77">
        <v>165.19646789219337</v>
      </c>
      <c r="K177" s="103">
        <v>101.555953</v>
      </c>
      <c r="L177" s="77">
        <v>8135</v>
      </c>
      <c r="M177" s="78">
        <v>826157.67580331943</v>
      </c>
      <c r="N177" s="77"/>
      <c r="O177" s="93"/>
      <c r="P177" s="77" t="s">
        <v>81</v>
      </c>
      <c r="Q177" s="78">
        <v>826157.67580331943</v>
      </c>
      <c r="R177" s="94">
        <v>826241.81</v>
      </c>
    </row>
    <row r="178" spans="1:18" x14ac:dyDescent="0.25">
      <c r="A178" s="66" t="s">
        <v>82</v>
      </c>
      <c r="B178" s="44" t="s">
        <v>85</v>
      </c>
      <c r="C178" s="60">
        <v>45896</v>
      </c>
      <c r="D178" s="60">
        <v>45896</v>
      </c>
      <c r="E178" s="44">
        <v>566171</v>
      </c>
      <c r="F178" s="44" t="s">
        <v>124</v>
      </c>
      <c r="G178" s="44" t="s">
        <v>140</v>
      </c>
      <c r="H178" s="44">
        <v>280907</v>
      </c>
      <c r="I178" s="44">
        <v>1</v>
      </c>
      <c r="J178" s="44">
        <v>7.2</v>
      </c>
      <c r="K178" s="44">
        <v>101.557182</v>
      </c>
      <c r="L178" s="44">
        <v>11340</v>
      </c>
      <c r="M178" s="52">
        <v>1151658.4414586718</v>
      </c>
      <c r="N178" s="44"/>
      <c r="O178" s="44"/>
      <c r="P178" s="44" t="s">
        <v>125</v>
      </c>
      <c r="Q178" s="52">
        <v>1151658.4414586718</v>
      </c>
      <c r="R178" s="70">
        <v>-9.0299999999999994</v>
      </c>
    </row>
    <row r="179" spans="1:18" x14ac:dyDescent="0.25">
      <c r="A179" s="66" t="s">
        <v>82</v>
      </c>
      <c r="B179" s="44" t="s">
        <v>86</v>
      </c>
      <c r="C179" s="60">
        <v>45896</v>
      </c>
      <c r="D179" s="60">
        <v>45896</v>
      </c>
      <c r="E179" s="44">
        <v>566171</v>
      </c>
      <c r="F179" s="44" t="s">
        <v>124</v>
      </c>
      <c r="G179" s="44" t="s">
        <v>140</v>
      </c>
      <c r="H179" s="44">
        <v>280907</v>
      </c>
      <c r="I179" s="44">
        <v>1</v>
      </c>
      <c r="J179" s="44">
        <v>7.2</v>
      </c>
      <c r="K179" s="44">
        <v>101.557182</v>
      </c>
      <c r="L179" s="44">
        <v>598</v>
      </c>
      <c r="M179" s="52">
        <v>60731.194708314441</v>
      </c>
      <c r="N179" s="44"/>
      <c r="O179" s="44"/>
      <c r="P179" s="44" t="s">
        <v>125</v>
      </c>
      <c r="Q179" s="52">
        <v>60731.194708314441</v>
      </c>
      <c r="R179" s="70">
        <v>-50.27</v>
      </c>
    </row>
    <row r="180" spans="1:18" x14ac:dyDescent="0.25">
      <c r="A180" s="66" t="s">
        <v>82</v>
      </c>
      <c r="B180" s="44" t="s">
        <v>121</v>
      </c>
      <c r="C180" s="60">
        <v>45896</v>
      </c>
      <c r="D180" s="60">
        <v>45896</v>
      </c>
      <c r="E180" s="44">
        <v>566171</v>
      </c>
      <c r="F180" s="44" t="s">
        <v>124</v>
      </c>
      <c r="G180" s="44" t="s">
        <v>140</v>
      </c>
      <c r="H180" s="44">
        <v>280907</v>
      </c>
      <c r="I180" s="44">
        <v>1</v>
      </c>
      <c r="J180" s="44">
        <v>7.2</v>
      </c>
      <c r="K180" s="44">
        <v>101.557182</v>
      </c>
      <c r="L180" s="44">
        <v>8135</v>
      </c>
      <c r="M180" s="52">
        <v>826167.67383300676</v>
      </c>
      <c r="N180" s="44"/>
      <c r="O180" s="44"/>
      <c r="P180" s="44" t="s">
        <v>125</v>
      </c>
      <c r="Q180" s="52">
        <v>826167.67383300676</v>
      </c>
      <c r="R180" s="70">
        <v>74.14</v>
      </c>
    </row>
    <row r="181" spans="1:18" x14ac:dyDescent="0.25">
      <c r="A181" s="66" t="s">
        <v>82</v>
      </c>
      <c r="B181" s="44" t="s">
        <v>85</v>
      </c>
      <c r="C181" s="60">
        <v>45896</v>
      </c>
      <c r="D181" s="60">
        <v>45897</v>
      </c>
      <c r="E181" s="44">
        <v>566171</v>
      </c>
      <c r="F181" s="44" t="s">
        <v>83</v>
      </c>
      <c r="G181" s="44" t="s">
        <v>140</v>
      </c>
      <c r="H181" s="44">
        <v>280907</v>
      </c>
      <c r="I181" s="44">
        <v>1</v>
      </c>
      <c r="J181" s="44">
        <v>230.33086235241325</v>
      </c>
      <c r="K181" s="61">
        <v>101.577493</v>
      </c>
      <c r="L181" s="44">
        <v>11340</v>
      </c>
      <c r="M181" s="52">
        <v>1151888.7723210228</v>
      </c>
      <c r="N181" s="44"/>
      <c r="O181" s="59"/>
      <c r="P181" s="44" t="s">
        <v>81</v>
      </c>
      <c r="Q181" s="52">
        <v>1151888.7723210228</v>
      </c>
      <c r="R181" s="71">
        <v>1151879.74</v>
      </c>
    </row>
    <row r="182" spans="1:18" x14ac:dyDescent="0.25">
      <c r="A182" s="66" t="s">
        <v>82</v>
      </c>
      <c r="B182" s="44" t="s">
        <v>86</v>
      </c>
      <c r="C182" s="60">
        <v>45896</v>
      </c>
      <c r="D182" s="60">
        <v>45897</v>
      </c>
      <c r="E182" s="44">
        <v>566171</v>
      </c>
      <c r="F182" s="44" t="s">
        <v>83</v>
      </c>
      <c r="G182" s="44" t="s">
        <v>140</v>
      </c>
      <c r="H182" s="44">
        <v>280907</v>
      </c>
      <c r="I182" s="44">
        <v>1</v>
      </c>
      <c r="J182" s="44">
        <v>12.14619538683802</v>
      </c>
      <c r="K182" s="61">
        <v>101.577493</v>
      </c>
      <c r="L182" s="44">
        <v>598</v>
      </c>
      <c r="M182" s="52">
        <v>60743.340903701202</v>
      </c>
      <c r="N182" s="44"/>
      <c r="O182" s="59"/>
      <c r="P182" s="44" t="s">
        <v>81</v>
      </c>
      <c r="Q182" s="52">
        <v>60743.340903701202</v>
      </c>
      <c r="R182" s="71">
        <v>60693.07</v>
      </c>
    </row>
    <row r="183" spans="1:18" x14ac:dyDescent="0.25">
      <c r="A183" s="66" t="s">
        <v>82</v>
      </c>
      <c r="B183" s="44" t="s">
        <v>121</v>
      </c>
      <c r="C183" s="60">
        <v>45896</v>
      </c>
      <c r="D183" s="60">
        <v>45897</v>
      </c>
      <c r="E183" s="44">
        <v>566171</v>
      </c>
      <c r="F183" s="44" t="s">
        <v>83</v>
      </c>
      <c r="G183" s="44" t="s">
        <v>140</v>
      </c>
      <c r="H183" s="44">
        <v>280907</v>
      </c>
      <c r="I183" s="44">
        <v>1</v>
      </c>
      <c r="J183" s="44">
        <v>165.23294226074796</v>
      </c>
      <c r="K183" s="61">
        <v>101.577493</v>
      </c>
      <c r="L183" s="44">
        <v>8135</v>
      </c>
      <c r="M183" s="52">
        <v>826332.90677526628</v>
      </c>
      <c r="N183" s="44"/>
      <c r="O183" s="59"/>
      <c r="P183" s="44" t="s">
        <v>81</v>
      </c>
      <c r="Q183" s="52">
        <v>826332.90677526628</v>
      </c>
      <c r="R183" s="71">
        <v>826407.05</v>
      </c>
    </row>
    <row r="184" spans="1:18" x14ac:dyDescent="0.25">
      <c r="A184" s="66" t="s">
        <v>82</v>
      </c>
      <c r="B184" s="44" t="s">
        <v>85</v>
      </c>
      <c r="C184" s="60">
        <v>45897</v>
      </c>
      <c r="D184" s="60">
        <v>45897</v>
      </c>
      <c r="E184" s="44">
        <v>567301</v>
      </c>
      <c r="F184" s="44" t="s">
        <v>124</v>
      </c>
      <c r="G184" s="44" t="s">
        <v>140</v>
      </c>
      <c r="H184" s="44">
        <v>280907</v>
      </c>
      <c r="I184" s="44">
        <v>1</v>
      </c>
      <c r="J184" s="44">
        <v>7.2</v>
      </c>
      <c r="K184" s="61">
        <v>101.578779</v>
      </c>
      <c r="L184" s="44">
        <v>11340</v>
      </c>
      <c r="M184" s="52">
        <v>1151903.3526803453</v>
      </c>
      <c r="N184" s="44"/>
      <c r="O184" s="59"/>
      <c r="P184" s="44" t="s">
        <v>125</v>
      </c>
      <c r="Q184" s="52">
        <v>1151903.3526803453</v>
      </c>
      <c r="R184" s="70">
        <v>-23.61</v>
      </c>
    </row>
    <row r="185" spans="1:18" x14ac:dyDescent="0.25">
      <c r="A185" s="66" t="s">
        <v>82</v>
      </c>
      <c r="B185" s="44" t="s">
        <v>86</v>
      </c>
      <c r="C185" s="60">
        <v>45897</v>
      </c>
      <c r="D185" s="60">
        <v>45897</v>
      </c>
      <c r="E185" s="44">
        <v>567301</v>
      </c>
      <c r="F185" s="44" t="s">
        <v>124</v>
      </c>
      <c r="G185" s="44" t="s">
        <v>140</v>
      </c>
      <c r="H185" s="44">
        <v>280907</v>
      </c>
      <c r="I185" s="44">
        <v>1</v>
      </c>
      <c r="J185" s="44">
        <v>7.2</v>
      </c>
      <c r="K185" s="61">
        <v>101.578779</v>
      </c>
      <c r="L185" s="44">
        <v>597</v>
      </c>
      <c r="M185" s="52">
        <v>60642.531000896481</v>
      </c>
      <c r="N185" s="44"/>
      <c r="O185" s="59"/>
      <c r="P185" s="44" t="s">
        <v>125</v>
      </c>
      <c r="Q185" s="52">
        <v>60642.531000896481</v>
      </c>
      <c r="R185" s="70">
        <v>50.54</v>
      </c>
    </row>
    <row r="186" spans="1:18" x14ac:dyDescent="0.25">
      <c r="A186" s="66" t="s">
        <v>82</v>
      </c>
      <c r="B186" s="44" t="s">
        <v>121</v>
      </c>
      <c r="C186" s="60">
        <v>45897</v>
      </c>
      <c r="D186" s="60">
        <v>45897</v>
      </c>
      <c r="E186" s="44">
        <v>567301</v>
      </c>
      <c r="F186" s="44" t="s">
        <v>124</v>
      </c>
      <c r="G186" s="44" t="s">
        <v>140</v>
      </c>
      <c r="H186" s="44">
        <v>280907</v>
      </c>
      <c r="I186" s="44">
        <v>1</v>
      </c>
      <c r="J186" s="44">
        <v>7.2</v>
      </c>
      <c r="K186" s="61">
        <v>101.578779</v>
      </c>
      <c r="L186" s="44">
        <v>8135</v>
      </c>
      <c r="M186" s="52">
        <v>826343.36631874857</v>
      </c>
      <c r="N186" s="44"/>
      <c r="O186" s="59"/>
      <c r="P186" s="44" t="s">
        <v>125</v>
      </c>
      <c r="Q186" s="52">
        <v>826343.36631874857</v>
      </c>
      <c r="R186" s="70">
        <v>63.68</v>
      </c>
    </row>
    <row r="187" spans="1:18" x14ac:dyDescent="0.25">
      <c r="A187" s="66" t="s">
        <v>82</v>
      </c>
      <c r="B187" s="44" t="s">
        <v>85</v>
      </c>
      <c r="C187" s="60">
        <v>45897</v>
      </c>
      <c r="D187" s="60">
        <v>45898</v>
      </c>
      <c r="E187" s="44">
        <v>567301</v>
      </c>
      <c r="F187" s="44" t="s">
        <v>83</v>
      </c>
      <c r="G187" s="44" t="s">
        <v>140</v>
      </c>
      <c r="H187" s="44">
        <v>280907</v>
      </c>
      <c r="I187" s="44">
        <v>1</v>
      </c>
      <c r="J187" s="44">
        <v>230.37623555201225</v>
      </c>
      <c r="K187" s="61">
        <v>101.59909399999999</v>
      </c>
      <c r="L187" s="44">
        <v>11340</v>
      </c>
      <c r="M187" s="52">
        <v>1152133.728915907</v>
      </c>
      <c r="N187" s="44"/>
      <c r="O187" s="59"/>
      <c r="P187" s="44" t="s">
        <v>81</v>
      </c>
      <c r="Q187" s="52">
        <v>1152133.728915907</v>
      </c>
      <c r="R187" s="71">
        <v>1152110.1200000001</v>
      </c>
    </row>
    <row r="188" spans="1:18" x14ac:dyDescent="0.25">
      <c r="A188" s="66" t="s">
        <v>82</v>
      </c>
      <c r="B188" s="44" t="s">
        <v>86</v>
      </c>
      <c r="C188" s="60">
        <v>45897</v>
      </c>
      <c r="D188" s="60">
        <v>45898</v>
      </c>
      <c r="E188" s="44">
        <v>567301</v>
      </c>
      <c r="F188" s="44" t="s">
        <v>83</v>
      </c>
      <c r="G188" s="44" t="s">
        <v>140</v>
      </c>
      <c r="H188" s="44">
        <v>280907</v>
      </c>
      <c r="I188" s="44">
        <v>1</v>
      </c>
      <c r="J188" s="44">
        <v>12.128272718214401</v>
      </c>
      <c r="K188" s="61">
        <v>101.59909399999999</v>
      </c>
      <c r="L188" s="44">
        <v>597</v>
      </c>
      <c r="M188" s="52">
        <v>60654.659273615216</v>
      </c>
      <c r="N188" s="44"/>
      <c r="O188" s="59"/>
      <c r="P188" s="44" t="s">
        <v>81</v>
      </c>
      <c r="Q188" s="52">
        <v>60654.659273615216</v>
      </c>
      <c r="R188" s="71">
        <v>60705.2</v>
      </c>
    </row>
    <row r="189" spans="1:18" x14ac:dyDescent="0.25">
      <c r="A189" s="66" t="s">
        <v>82</v>
      </c>
      <c r="B189" s="44" t="s">
        <v>121</v>
      </c>
      <c r="C189" s="60">
        <v>45897</v>
      </c>
      <c r="D189" s="60">
        <v>45898</v>
      </c>
      <c r="E189" s="44">
        <v>567301</v>
      </c>
      <c r="F189" s="44" t="s">
        <v>83</v>
      </c>
      <c r="G189" s="44" t="s">
        <v>140</v>
      </c>
      <c r="H189" s="44">
        <v>280907</v>
      </c>
      <c r="I189" s="44">
        <v>1</v>
      </c>
      <c r="J189" s="44">
        <v>165.26549172977244</v>
      </c>
      <c r="K189" s="61">
        <v>101.59909399999999</v>
      </c>
      <c r="L189" s="44">
        <v>8135</v>
      </c>
      <c r="M189" s="52">
        <v>826508.63181048539</v>
      </c>
      <c r="N189" s="44"/>
      <c r="O189" s="59"/>
      <c r="P189" s="44" t="s">
        <v>81</v>
      </c>
      <c r="Q189" s="52">
        <v>826508.63181048539</v>
      </c>
      <c r="R189" s="71">
        <v>826572.31</v>
      </c>
    </row>
    <row r="190" spans="1:18" x14ac:dyDescent="0.25">
      <c r="A190" s="66" t="s">
        <v>82</v>
      </c>
      <c r="B190" s="44" t="s">
        <v>85</v>
      </c>
      <c r="C190" s="60">
        <v>45898</v>
      </c>
      <c r="D190" s="60">
        <v>45898</v>
      </c>
      <c r="E190" s="44">
        <v>569199</v>
      </c>
      <c r="F190" s="44" t="s">
        <v>124</v>
      </c>
      <c r="G190" s="44" t="s">
        <v>140</v>
      </c>
      <c r="H190" s="44">
        <v>280907</v>
      </c>
      <c r="I190" s="44">
        <v>3</v>
      </c>
      <c r="J190" s="44">
        <v>7.2</v>
      </c>
      <c r="K190" s="61">
        <v>101.600756</v>
      </c>
      <c r="L190" s="44">
        <v>11340</v>
      </c>
      <c r="M190" s="52">
        <v>1152152.5705360712</v>
      </c>
      <c r="N190" s="44"/>
      <c r="O190" s="59"/>
      <c r="P190" s="44" t="s">
        <v>125</v>
      </c>
      <c r="Q190" s="52">
        <v>1152152.5705360712</v>
      </c>
      <c r="R190" s="70">
        <v>-42.44</v>
      </c>
    </row>
    <row r="191" spans="1:18" x14ac:dyDescent="0.25">
      <c r="A191" s="66" t="s">
        <v>82</v>
      </c>
      <c r="B191" s="44" t="s">
        <v>86</v>
      </c>
      <c r="C191" s="60">
        <v>45898</v>
      </c>
      <c r="D191" s="60">
        <v>45898</v>
      </c>
      <c r="E191" s="44">
        <v>569199</v>
      </c>
      <c r="F191" s="44" t="s">
        <v>124</v>
      </c>
      <c r="G191" s="44" t="s">
        <v>140</v>
      </c>
      <c r="H191" s="44">
        <v>280907</v>
      </c>
      <c r="I191" s="44">
        <v>3</v>
      </c>
      <c r="J191" s="44">
        <v>7.2</v>
      </c>
      <c r="K191" s="61">
        <v>101.600756</v>
      </c>
      <c r="L191" s="44">
        <v>597</v>
      </c>
      <c r="M191" s="52">
        <v>60655.651200179418</v>
      </c>
      <c r="N191" s="44"/>
      <c r="O191" s="59"/>
      <c r="P191" s="44" t="s">
        <v>125</v>
      </c>
      <c r="Q191" s="52">
        <v>60655.651200179418</v>
      </c>
      <c r="R191" s="70">
        <v>49.54</v>
      </c>
    </row>
    <row r="192" spans="1:18" x14ac:dyDescent="0.25">
      <c r="A192" s="66" t="s">
        <v>82</v>
      </c>
      <c r="B192" s="44" t="s">
        <v>121</v>
      </c>
      <c r="C192" s="60">
        <v>45898</v>
      </c>
      <c r="D192" s="60">
        <v>45898</v>
      </c>
      <c r="E192" s="44">
        <v>569199</v>
      </c>
      <c r="F192" s="44" t="s">
        <v>124</v>
      </c>
      <c r="G192" s="44" t="s">
        <v>140</v>
      </c>
      <c r="H192" s="44">
        <v>280907</v>
      </c>
      <c r="I192" s="44">
        <v>3</v>
      </c>
      <c r="J192" s="44">
        <v>7.2</v>
      </c>
      <c r="K192" s="61">
        <v>101.600756</v>
      </c>
      <c r="L192" s="44">
        <v>8135</v>
      </c>
      <c r="M192" s="52">
        <v>826522.1482637513</v>
      </c>
      <c r="N192" s="44"/>
      <c r="O192" s="59"/>
      <c r="P192" s="44" t="s">
        <v>125</v>
      </c>
      <c r="Q192" s="52">
        <v>826522.1482637513</v>
      </c>
      <c r="R192" s="70">
        <v>50.15</v>
      </c>
    </row>
    <row r="193" spans="1:18" x14ac:dyDescent="0.25">
      <c r="A193" s="64"/>
      <c r="R193" s="65"/>
    </row>
    <row r="194" spans="1:18" x14ac:dyDescent="0.25">
      <c r="A194" s="64"/>
      <c r="R194" s="65"/>
    </row>
    <row r="195" spans="1:18" x14ac:dyDescent="0.25">
      <c r="A195" s="64"/>
      <c r="R195" s="65"/>
    </row>
    <row r="196" spans="1:18" x14ac:dyDescent="0.25">
      <c r="A196" s="64"/>
      <c r="R196" s="65"/>
    </row>
    <row r="197" spans="1:18" x14ac:dyDescent="0.25">
      <c r="A197" s="64"/>
      <c r="R197" s="65"/>
    </row>
    <row r="198" spans="1:18" x14ac:dyDescent="0.25">
      <c r="A198" s="64"/>
      <c r="R198" s="65"/>
    </row>
    <row r="199" spans="1:18" x14ac:dyDescent="0.25">
      <c r="A199" s="64"/>
      <c r="R199" s="65"/>
    </row>
    <row r="200" spans="1:18" x14ac:dyDescent="0.25">
      <c r="A200" s="64"/>
      <c r="R200" s="65"/>
    </row>
    <row r="201" spans="1:18" x14ac:dyDescent="0.25">
      <c r="A201" s="64"/>
      <c r="R201" s="65"/>
    </row>
    <row r="202" spans="1:18" x14ac:dyDescent="0.25">
      <c r="A202" s="64"/>
      <c r="R202" s="65"/>
    </row>
    <row r="203" spans="1:18" x14ac:dyDescent="0.25">
      <c r="A203" s="64"/>
      <c r="R203" s="65"/>
    </row>
    <row r="204" spans="1:18" x14ac:dyDescent="0.25">
      <c r="A204" s="64"/>
      <c r="R204" s="65"/>
    </row>
    <row r="205" spans="1:18" x14ac:dyDescent="0.25">
      <c r="A205" s="64"/>
      <c r="R205" s="65"/>
    </row>
    <row r="206" spans="1:18" x14ac:dyDescent="0.25">
      <c r="A206" s="64"/>
      <c r="R206" s="65"/>
    </row>
    <row r="207" spans="1:18" x14ac:dyDescent="0.25">
      <c r="A207" s="64"/>
      <c r="R207" s="65"/>
    </row>
    <row r="208" spans="1:18" x14ac:dyDescent="0.25">
      <c r="A208" s="64"/>
      <c r="R208" s="65"/>
    </row>
    <row r="209" spans="1:18" x14ac:dyDescent="0.25">
      <c r="A209" s="64"/>
      <c r="R209" s="65"/>
    </row>
    <row r="210" spans="1:18" x14ac:dyDescent="0.25">
      <c r="A210" s="64"/>
      <c r="R210" s="65"/>
    </row>
    <row r="211" spans="1:18" x14ac:dyDescent="0.25">
      <c r="A211" s="95"/>
      <c r="B211" s="96"/>
      <c r="C211" s="96"/>
      <c r="D211" s="96"/>
      <c r="E211" s="96"/>
      <c r="F211" s="96"/>
      <c r="G211" s="96"/>
      <c r="H211" s="96"/>
      <c r="I211" s="96"/>
      <c r="J211" s="96"/>
      <c r="K211" s="96"/>
      <c r="L211" s="96"/>
      <c r="M211" s="96"/>
      <c r="N211" s="96"/>
      <c r="O211" s="96"/>
      <c r="P211" s="96"/>
      <c r="Q211" s="96"/>
      <c r="R211" s="97"/>
    </row>
    <row r="212" spans="1:18" x14ac:dyDescent="0.25">
      <c r="A212" s="64"/>
      <c r="R212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3137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428625</xdr:colOff>
                    <xdr:row>0</xdr:row>
                    <xdr:rowOff>381000</xdr:rowOff>
                  </from>
                  <to>
                    <xdr:col>20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38" r:id="rId5" name="Button 2">
              <controlPr defaultSize="0" print="0" autoFill="0" autoPict="0" macro="[0]!AcualizarMovimientos">
                <anchor moveWithCells="1" sizeWithCells="1">
                  <from>
                    <xdr:col>20</xdr:col>
                    <xdr:colOff>180975</xdr:colOff>
                    <xdr:row>0</xdr:row>
                    <xdr:rowOff>381000</xdr:rowOff>
                  </from>
                  <to>
                    <xdr:col>21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39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428625</xdr:colOff>
                    <xdr:row>2</xdr:row>
                    <xdr:rowOff>104775</xdr:rowOff>
                  </from>
                  <to>
                    <xdr:col>20</xdr:col>
                    <xdr:colOff>123825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40" r:id="rId7" name="Button 4">
              <controlPr defaultSize="0" print="0" autoFill="0" autoPict="0" macro="[0]!PDFActiveSheet">
                <anchor moveWithCells="1" sizeWithCells="1">
                  <from>
                    <xdr:col>20</xdr:col>
                    <xdr:colOff>180975</xdr:colOff>
                    <xdr:row>2</xdr:row>
                    <xdr:rowOff>104775</xdr:rowOff>
                  </from>
                  <to>
                    <xdr:col>22</xdr:col>
                    <xdr:colOff>228600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AADAF-708D-4F34-8403-F2D542164DE6}">
  <dimension ref="A1:S62"/>
  <sheetViews>
    <sheetView tabSelected="1" workbookViewId="0"/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2.140625" bestFit="1" customWidth="1"/>
    <col min="14" max="14" width="10.7109375" customWidth="1"/>
    <col min="15" max="15" width="12.140625" bestFit="1" customWidth="1"/>
    <col min="16" max="16" width="9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45900</v>
      </c>
      <c r="N4" s="14" t="s">
        <v>24</v>
      </c>
      <c r="O4" s="16">
        <v>45900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130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8.7899999999999991</v>
      </c>
      <c r="O9" s="102">
        <v>73170.600000000006</v>
      </c>
      <c r="P9" s="111">
        <f>+O9-M9</f>
        <v>-21896.67</v>
      </c>
      <c r="Q9" s="49">
        <v>-0.2303</v>
      </c>
      <c r="R9" s="68">
        <v>2.4634421524623779E-3</v>
      </c>
      <c r="S9" s="20" t="s">
        <v>167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8.7899999999999991</v>
      </c>
      <c r="O10" s="102">
        <v>17561.650000000001</v>
      </c>
      <c r="P10" s="111">
        <f>+O10-M10</f>
        <v>-5255.41</v>
      </c>
      <c r="Q10" s="49">
        <v>-0.2303</v>
      </c>
      <c r="R10" s="68">
        <v>5.9124988556593663E-4</v>
      </c>
      <c r="S10" s="20" t="s">
        <v>167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3.24</v>
      </c>
      <c r="O11" s="102">
        <v>256783.52</v>
      </c>
      <c r="P11" s="111">
        <f>+O11-M11</f>
        <v>-13756.839999999997</v>
      </c>
      <c r="Q11" s="49">
        <v>-5.0799999999999998E-2</v>
      </c>
      <c r="R11" s="68">
        <v>8.6451573067005873E-3</v>
      </c>
      <c r="S11" s="20" t="s">
        <v>167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3.24</v>
      </c>
      <c r="O12" s="102">
        <v>62379.32</v>
      </c>
      <c r="P12" s="111">
        <f>+O12-M12</f>
        <v>-3341.9000000000015</v>
      </c>
      <c r="Q12" s="49">
        <v>-5.0799999999999998E-2</v>
      </c>
      <c r="R12" s="68">
        <v>2.1001310134116631E-3</v>
      </c>
      <c r="S12" s="20" t="s">
        <v>167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38.020000000000003</v>
      </c>
      <c r="O13" s="102">
        <v>313337.53000000003</v>
      </c>
      <c r="P13" s="112">
        <f t="shared" ref="P13:P14" si="0">+O13-M13</f>
        <v>20017.960000000021</v>
      </c>
      <c r="Q13" s="50">
        <v>6.8199999999999997E-2</v>
      </c>
      <c r="R13" s="68">
        <v>1.0549167006290026E-2</v>
      </c>
      <c r="S13" s="20" t="s">
        <v>167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38.020000000000003</v>
      </c>
      <c r="O14" s="102">
        <v>313337.53000000003</v>
      </c>
      <c r="P14" s="112">
        <f t="shared" si="0"/>
        <v>20017.960000000021</v>
      </c>
      <c r="Q14" s="50">
        <v>6.8199999999999997E-2</v>
      </c>
      <c r="R14" s="68">
        <v>1.0549167006290026E-2</v>
      </c>
      <c r="S14" s="20" t="s">
        <v>167</v>
      </c>
    </row>
    <row r="15" spans="1:19" x14ac:dyDescent="0.25">
      <c r="A15" s="66" t="s">
        <v>82</v>
      </c>
      <c r="B15" s="44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26.25</v>
      </c>
      <c r="O15" s="102">
        <v>124845.77</v>
      </c>
      <c r="P15" s="112">
        <f>+O15-M15</f>
        <v>25448.460000000006</v>
      </c>
      <c r="Q15" s="50">
        <v>0.25600000000000001</v>
      </c>
      <c r="R15" s="68">
        <v>4.2031954415383084E-3</v>
      </c>
      <c r="S15" s="20" t="s">
        <v>167</v>
      </c>
    </row>
    <row r="16" spans="1:19" x14ac:dyDescent="0.25">
      <c r="A16" s="66" t="s">
        <v>82</v>
      </c>
      <c r="B16" s="44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26.25</v>
      </c>
      <c r="O16" s="102">
        <v>52445.19</v>
      </c>
      <c r="P16" s="112">
        <f>+O16-M16</f>
        <v>10690.39</v>
      </c>
      <c r="Q16" s="50">
        <v>0.25600000000000001</v>
      </c>
      <c r="R16" s="68">
        <v>1.7656776319983486E-3</v>
      </c>
      <c r="S16" s="20" t="s">
        <v>167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22.6</v>
      </c>
      <c r="O17" s="102">
        <v>470650.33</v>
      </c>
      <c r="P17" s="111">
        <f t="shared" ref="P17:P28" si="1">+O17-M17</f>
        <v>-82944.299999999988</v>
      </c>
      <c r="Q17" s="49">
        <v>-0.14979999999999999</v>
      </c>
      <c r="R17" s="68">
        <v>1.5845433302341765E-2</v>
      </c>
      <c r="S17" s="20" t="s">
        <v>167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22.6</v>
      </c>
      <c r="O18" s="102">
        <v>470469.72</v>
      </c>
      <c r="P18" s="111">
        <f t="shared" si="1"/>
        <v>-82912.469999999972</v>
      </c>
      <c r="Q18" s="49">
        <v>-0.14979999999999999</v>
      </c>
      <c r="R18" s="68">
        <v>1.583935268680552E-2</v>
      </c>
      <c r="S18" s="20" t="s">
        <v>167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17</v>
      </c>
      <c r="F19" s="20">
        <v>0</v>
      </c>
      <c r="G19" s="20">
        <v>0</v>
      </c>
      <c r="H19" s="20">
        <v>0</v>
      </c>
      <c r="I19" s="34">
        <v>2375</v>
      </c>
      <c r="J19" s="88">
        <v>191.134174</v>
      </c>
      <c r="K19" s="52">
        <v>453943.66</v>
      </c>
      <c r="L19" s="88">
        <v>191.333718</v>
      </c>
      <c r="M19" s="52">
        <v>454417.58</v>
      </c>
      <c r="N19" s="89">
        <v>161.66999999999999</v>
      </c>
      <c r="O19" s="102">
        <v>383565.39</v>
      </c>
      <c r="P19" s="111">
        <f t="shared" si="1"/>
        <v>-70852.19</v>
      </c>
      <c r="Q19" s="49">
        <v>-0.15590000000000001</v>
      </c>
      <c r="R19" s="68">
        <v>1.2913535627036971E-2</v>
      </c>
      <c r="S19" s="20" t="s">
        <v>167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17</v>
      </c>
      <c r="F20" s="20">
        <v>0</v>
      </c>
      <c r="G20" s="20">
        <v>0</v>
      </c>
      <c r="H20" s="20">
        <v>0</v>
      </c>
      <c r="I20" s="34">
        <v>2475</v>
      </c>
      <c r="J20" s="88">
        <v>191.134174</v>
      </c>
      <c r="K20" s="52">
        <v>473057.08</v>
      </c>
      <c r="L20" s="88">
        <v>191.333718</v>
      </c>
      <c r="M20" s="52">
        <v>473550.95</v>
      </c>
      <c r="N20" s="89">
        <v>161.66999999999999</v>
      </c>
      <c r="O20" s="102">
        <v>399715.51</v>
      </c>
      <c r="P20" s="111">
        <f t="shared" si="1"/>
        <v>-73835.44</v>
      </c>
      <c r="Q20" s="49">
        <v>-0.15590000000000001</v>
      </c>
      <c r="R20" s="68">
        <v>1.3457263386209721E-2</v>
      </c>
      <c r="S20" s="20" t="s">
        <v>167</v>
      </c>
    </row>
    <row r="21" spans="1:19" x14ac:dyDescent="0.25">
      <c r="A21" s="66" t="s">
        <v>82</v>
      </c>
      <c r="B21" s="44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8.5299999999999994</v>
      </c>
      <c r="O21" s="102">
        <v>213879.47</v>
      </c>
      <c r="P21" s="111">
        <f t="shared" si="1"/>
        <v>-29215.459999999992</v>
      </c>
      <c r="Q21" s="49">
        <v>-0.1202</v>
      </c>
      <c r="R21" s="68">
        <v>7.2007022211696024E-3</v>
      </c>
      <c r="S21" s="20" t="s">
        <v>167</v>
      </c>
    </row>
    <row r="22" spans="1:19" x14ac:dyDescent="0.25">
      <c r="A22" s="66" t="s">
        <v>82</v>
      </c>
      <c r="B22" s="44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8.5299999999999994</v>
      </c>
      <c r="O22" s="102">
        <v>176386.66</v>
      </c>
      <c r="P22" s="111">
        <f t="shared" si="1"/>
        <v>-24094.01999999999</v>
      </c>
      <c r="Q22" s="49">
        <v>-0.1202</v>
      </c>
      <c r="R22" s="68">
        <v>5.9384279119762528E-3</v>
      </c>
      <c r="S22" s="20" t="s">
        <v>167</v>
      </c>
    </row>
    <row r="23" spans="1:19" x14ac:dyDescent="0.25">
      <c r="A23" s="66" t="s">
        <v>82</v>
      </c>
      <c r="B23" s="44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26.24</v>
      </c>
      <c r="O23" s="102">
        <v>506899.36</v>
      </c>
      <c r="P23" s="111">
        <f t="shared" si="1"/>
        <v>-1225.8300000000163</v>
      </c>
      <c r="Q23" s="49">
        <v>-2.3999999999999998E-3</v>
      </c>
      <c r="R23" s="68">
        <v>1.7065833141729079E-2</v>
      </c>
      <c r="S23" s="20" t="s">
        <v>167</v>
      </c>
    </row>
    <row r="24" spans="1:19" x14ac:dyDescent="0.25">
      <c r="A24" s="66" t="s">
        <v>82</v>
      </c>
      <c r="B24" s="44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26.24</v>
      </c>
      <c r="O24" s="102">
        <v>348575.22</v>
      </c>
      <c r="P24" s="111">
        <f t="shared" si="1"/>
        <v>-842.96000000002095</v>
      </c>
      <c r="Q24" s="49">
        <v>-2.3999999999999998E-3</v>
      </c>
      <c r="R24" s="68">
        <v>1.1735517957374229E-2</v>
      </c>
      <c r="S24" s="20" t="s">
        <v>167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170.7</v>
      </c>
      <c r="O25" s="102">
        <v>88671.33</v>
      </c>
      <c r="P25" s="112">
        <f t="shared" si="1"/>
        <v>2498.4100000000035</v>
      </c>
      <c r="Q25" s="50">
        <v>2.9000000000000001E-2</v>
      </c>
      <c r="R25" s="68">
        <v>2.9853068313899543E-3</v>
      </c>
      <c r="S25" s="20" t="s">
        <v>167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170.7</v>
      </c>
      <c r="O26" s="102">
        <v>105723.5</v>
      </c>
      <c r="P26" s="112">
        <f t="shared" si="1"/>
        <v>2978.8699999999953</v>
      </c>
      <c r="Q26" s="50">
        <v>2.9000000000000001E-2</v>
      </c>
      <c r="R26" s="68">
        <v>3.5594040011405698E-3</v>
      </c>
      <c r="S26" s="20" t="s">
        <v>167</v>
      </c>
    </row>
    <row r="27" spans="1:19" x14ac:dyDescent="0.25">
      <c r="A27" s="66" t="s">
        <v>139</v>
      </c>
      <c r="B27" s="44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20">
        <v>228</v>
      </c>
      <c r="J27" s="88">
        <v>1524.504651</v>
      </c>
      <c r="K27" s="52">
        <v>347587.06</v>
      </c>
      <c r="L27" s="88">
        <v>1526.0962340000001</v>
      </c>
      <c r="M27" s="52">
        <v>347949.94</v>
      </c>
      <c r="N27" s="89">
        <v>1507.55384</v>
      </c>
      <c r="O27" s="102">
        <v>343363.43</v>
      </c>
      <c r="P27" s="111">
        <f t="shared" si="1"/>
        <v>-4586.5100000000093</v>
      </c>
      <c r="Q27" s="49">
        <v>-1.32E-2</v>
      </c>
      <c r="R27" s="68">
        <v>1.1560052084799974E-2</v>
      </c>
      <c r="S27" s="20" t="s">
        <v>168</v>
      </c>
    </row>
    <row r="28" spans="1:19" x14ac:dyDescent="0.25">
      <c r="A28" s="66" t="s">
        <v>139</v>
      </c>
      <c r="B28" s="44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20">
        <v>202</v>
      </c>
      <c r="J28" s="88">
        <v>1524.504651</v>
      </c>
      <c r="K28" s="52">
        <v>307949.94</v>
      </c>
      <c r="L28" s="88">
        <v>1526.0962340000001</v>
      </c>
      <c r="M28" s="52">
        <v>308271.44</v>
      </c>
      <c r="N28" s="89">
        <v>1507.55384</v>
      </c>
      <c r="O28" s="102">
        <v>304207.95</v>
      </c>
      <c r="P28" s="111">
        <f t="shared" si="1"/>
        <v>-4063.4899999999907</v>
      </c>
      <c r="Q28" s="49">
        <v>-1.32E-2</v>
      </c>
      <c r="R28" s="68">
        <v>1.0241800492877842E-2</v>
      </c>
      <c r="S28" s="20" t="s">
        <v>168</v>
      </c>
    </row>
    <row r="29" spans="1:19" x14ac:dyDescent="0.25">
      <c r="A29" s="66" t="s">
        <v>82</v>
      </c>
      <c r="B29" s="44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608.48</v>
      </c>
      <c r="O29" s="102">
        <v>607844.75</v>
      </c>
      <c r="P29" s="112">
        <f t="shared" ref="P29:P37" si="2">+O29-M29</f>
        <v>374609.13</v>
      </c>
      <c r="Q29" s="50">
        <v>1.6061000000000001</v>
      </c>
      <c r="R29" s="68">
        <v>2.0464372019676699E-2</v>
      </c>
      <c r="S29" s="20" t="s">
        <v>167</v>
      </c>
    </row>
    <row r="30" spans="1:19" x14ac:dyDescent="0.25">
      <c r="A30" s="66" t="s">
        <v>139</v>
      </c>
      <c r="B30" s="44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461.62544000000003</v>
      </c>
      <c r="O30" s="102">
        <v>576429.38</v>
      </c>
      <c r="P30" s="112">
        <f t="shared" si="2"/>
        <v>12059.790000000037</v>
      </c>
      <c r="Q30" s="50">
        <v>2.1399999999999999E-2</v>
      </c>
      <c r="R30" s="68">
        <v>1.9406707511073488E-2</v>
      </c>
      <c r="S30" s="20" t="s">
        <v>168</v>
      </c>
    </row>
    <row r="31" spans="1:19" x14ac:dyDescent="0.25">
      <c r="A31" s="66" t="s">
        <v>139</v>
      </c>
      <c r="B31" s="44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461.62544000000003</v>
      </c>
      <c r="O31" s="102">
        <v>576429.38</v>
      </c>
      <c r="P31" s="112">
        <f t="shared" si="2"/>
        <v>12059.790000000037</v>
      </c>
      <c r="Q31" s="50">
        <v>2.1399999999999999E-2</v>
      </c>
      <c r="R31" s="68">
        <v>1.9406707511073488E-2</v>
      </c>
      <c r="S31" s="20" t="s">
        <v>168</v>
      </c>
    </row>
    <row r="32" spans="1:19" x14ac:dyDescent="0.25">
      <c r="A32" s="66" t="s">
        <v>139</v>
      </c>
      <c r="B32" s="44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2059.9755599999999</v>
      </c>
      <c r="O32" s="102">
        <v>5453236.0999999996</v>
      </c>
      <c r="P32" s="111">
        <f t="shared" si="2"/>
        <v>-242883.81000000052</v>
      </c>
      <c r="Q32" s="49">
        <v>-4.2599999999999999E-2</v>
      </c>
      <c r="R32" s="68">
        <v>0.18359466337667779</v>
      </c>
      <c r="S32" s="20" t="s">
        <v>168</v>
      </c>
    </row>
    <row r="33" spans="1:19" x14ac:dyDescent="0.25">
      <c r="A33" s="66" t="s">
        <v>139</v>
      </c>
      <c r="B33" s="44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2059.9755599999999</v>
      </c>
      <c r="O33" s="102">
        <v>6718798.4400000004</v>
      </c>
      <c r="P33" s="111">
        <f t="shared" si="2"/>
        <v>-299251.19999999925</v>
      </c>
      <c r="Q33" s="49">
        <v>-4.2599999999999999E-2</v>
      </c>
      <c r="R33" s="68">
        <v>0.22620248147472435</v>
      </c>
      <c r="S33" s="20" t="s">
        <v>168</v>
      </c>
    </row>
    <row r="34" spans="1:19" x14ac:dyDescent="0.25">
      <c r="A34" s="66" t="s">
        <v>139</v>
      </c>
      <c r="B34" s="44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1547.0791200000001</v>
      </c>
      <c r="O34" s="102">
        <v>5095394.7</v>
      </c>
      <c r="P34" s="112">
        <f t="shared" si="2"/>
        <v>523681.60000000056</v>
      </c>
      <c r="Q34" s="50">
        <v>0.1145</v>
      </c>
      <c r="R34" s="68">
        <v>0.17154717997957364</v>
      </c>
      <c r="S34" s="20" t="s">
        <v>168</v>
      </c>
    </row>
    <row r="35" spans="1:19" x14ac:dyDescent="0.25">
      <c r="A35" s="66" t="s">
        <v>139</v>
      </c>
      <c r="B35" s="44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1547.0791200000001</v>
      </c>
      <c r="O35" s="102">
        <v>814459.51</v>
      </c>
      <c r="P35" s="112">
        <f t="shared" si="2"/>
        <v>83706.459999999963</v>
      </c>
      <c r="Q35" s="50">
        <v>0.1145</v>
      </c>
      <c r="R35" s="68">
        <v>2.7420492498460493E-2</v>
      </c>
      <c r="S35" s="20" t="s">
        <v>168</v>
      </c>
    </row>
    <row r="36" spans="1:19" x14ac:dyDescent="0.25">
      <c r="A36" s="66" t="s">
        <v>139</v>
      </c>
      <c r="B36" s="44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20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3368.2250399999998</v>
      </c>
      <c r="O36" s="102">
        <v>259082.57</v>
      </c>
      <c r="P36" s="112">
        <f t="shared" si="2"/>
        <v>41484.630000000005</v>
      </c>
      <c r="Q36" s="50">
        <v>0.19059999999999999</v>
      </c>
      <c r="R36" s="68">
        <v>8.7225596606599464E-3</v>
      </c>
      <c r="S36" s="20" t="s">
        <v>168</v>
      </c>
    </row>
    <row r="37" spans="1:19" x14ac:dyDescent="0.25">
      <c r="A37" s="66" t="s">
        <v>139</v>
      </c>
      <c r="B37" s="44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20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3368.2250399999998</v>
      </c>
      <c r="O37" s="102">
        <v>211976.64</v>
      </c>
      <c r="P37" s="112">
        <f t="shared" si="2"/>
        <v>33941.97</v>
      </c>
      <c r="Q37" s="50">
        <v>0.19059999999999999</v>
      </c>
      <c r="R37" s="68">
        <v>7.1366394469000198E-3</v>
      </c>
      <c r="S37" s="20" t="s">
        <v>168</v>
      </c>
    </row>
    <row r="38" spans="1:19" x14ac:dyDescent="0.25">
      <c r="A38" s="66" t="s">
        <v>139</v>
      </c>
      <c r="B38" s="44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742</v>
      </c>
      <c r="J38" s="88">
        <v>452.34992499999998</v>
      </c>
      <c r="K38" s="52">
        <v>335643.64</v>
      </c>
      <c r="L38" s="88">
        <v>452.82217900000001</v>
      </c>
      <c r="M38" s="52">
        <v>335994.06</v>
      </c>
      <c r="N38" s="89">
        <v>444.47296</v>
      </c>
      <c r="O38" s="102">
        <v>329454.63</v>
      </c>
      <c r="P38" s="111">
        <f t="shared" ref="P38:P39" si="3">+O38-M38</f>
        <v>-6539.429999999993</v>
      </c>
      <c r="Q38" s="49">
        <v>-1.95E-2</v>
      </c>
      <c r="R38" s="68">
        <v>1.1091783077710122E-2</v>
      </c>
      <c r="S38" s="20" t="s">
        <v>168</v>
      </c>
    </row>
    <row r="39" spans="1:19" x14ac:dyDescent="0.25">
      <c r="A39" s="66" t="s">
        <v>139</v>
      </c>
      <c r="B39" s="44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602</v>
      </c>
      <c r="J39" s="88">
        <v>452.34992499999998</v>
      </c>
      <c r="K39" s="52">
        <v>272314.65000000002</v>
      </c>
      <c r="L39" s="88">
        <v>452.82217900000001</v>
      </c>
      <c r="M39" s="52">
        <v>272598.95</v>
      </c>
      <c r="N39" s="89">
        <v>444.47296</v>
      </c>
      <c r="O39" s="102">
        <v>267293.38</v>
      </c>
      <c r="P39" s="111">
        <f t="shared" si="3"/>
        <v>-5305.570000000007</v>
      </c>
      <c r="Q39" s="49">
        <v>-1.95E-2</v>
      </c>
      <c r="R39" s="68">
        <v>8.9989938495262344E-3</v>
      </c>
      <c r="S39" s="20" t="s">
        <v>168</v>
      </c>
    </row>
    <row r="40" spans="1:19" x14ac:dyDescent="0.25">
      <c r="A40" s="66" t="s">
        <v>139</v>
      </c>
      <c r="B40" s="44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546.08276000000001</v>
      </c>
      <c r="O40" s="102">
        <v>300031.96000000002</v>
      </c>
      <c r="P40" s="112">
        <f>+O40-M40</f>
        <v>143189.39000000001</v>
      </c>
      <c r="Q40" s="50">
        <v>0.91290000000000004</v>
      </c>
      <c r="R40" s="68">
        <v>1.010120700595466E-2</v>
      </c>
      <c r="S40" s="20" t="s">
        <v>168</v>
      </c>
    </row>
    <row r="41" spans="1:19" x14ac:dyDescent="0.25">
      <c r="A41" s="66" t="s">
        <v>139</v>
      </c>
      <c r="B41" s="44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546.08276000000001</v>
      </c>
      <c r="O41" s="102">
        <v>300031.96000000002</v>
      </c>
      <c r="P41" s="112">
        <f>+O41-M41</f>
        <v>143189.39000000001</v>
      </c>
      <c r="Q41" s="50">
        <v>0.91290000000000004</v>
      </c>
      <c r="R41" s="68">
        <v>1.010120700595466E-2</v>
      </c>
      <c r="S41" s="20" t="s">
        <v>168</v>
      </c>
    </row>
    <row r="42" spans="1:19" x14ac:dyDescent="0.25">
      <c r="A42" s="66" t="s">
        <v>139</v>
      </c>
      <c r="B42" s="44" t="s">
        <v>85</v>
      </c>
      <c r="C42" s="44" t="s">
        <v>161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20">
        <v>35</v>
      </c>
      <c r="J42" s="88">
        <v>5688</v>
      </c>
      <c r="K42" s="52">
        <v>199080</v>
      </c>
      <c r="L42" s="88">
        <v>5693.9382720000003</v>
      </c>
      <c r="M42" s="52">
        <v>199287.84</v>
      </c>
      <c r="N42" s="89">
        <v>5777.2162799999996</v>
      </c>
      <c r="O42" s="102">
        <v>201991.47</v>
      </c>
      <c r="P42" s="112">
        <v>2703.63</v>
      </c>
      <c r="Q42" s="50">
        <v>1.3599999999999999E-2</v>
      </c>
      <c r="R42" s="68">
        <v>6.8004676965316641E-3</v>
      </c>
      <c r="S42" s="20" t="s">
        <v>168</v>
      </c>
    </row>
    <row r="43" spans="1:19" x14ac:dyDescent="0.25">
      <c r="A43" s="66" t="s">
        <v>82</v>
      </c>
      <c r="B43" s="4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51.43</v>
      </c>
      <c r="O43" s="102">
        <v>565139.37</v>
      </c>
      <c r="P43" s="111">
        <f>+O43-M43</f>
        <v>-15980.089999999967</v>
      </c>
      <c r="Q43" s="49">
        <v>-2.75E-2</v>
      </c>
      <c r="R43" s="68">
        <v>1.9026605577568478E-2</v>
      </c>
      <c r="S43" s="20" t="s">
        <v>167</v>
      </c>
    </row>
    <row r="44" spans="1:19" x14ac:dyDescent="0.25">
      <c r="A44" s="66" t="s">
        <v>82</v>
      </c>
      <c r="B44" s="4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51.43</v>
      </c>
      <c r="O44" s="102">
        <v>359634.15</v>
      </c>
      <c r="P44" s="111">
        <f>+O44-M44</f>
        <v>-10169.139999999956</v>
      </c>
      <c r="Q44" s="49">
        <v>-2.75E-2</v>
      </c>
      <c r="R44" s="68">
        <v>1.2107840096636869E-2</v>
      </c>
      <c r="S44" s="20" t="s">
        <v>167</v>
      </c>
    </row>
    <row r="45" spans="1:19" x14ac:dyDescent="0.25">
      <c r="A45" s="98"/>
      <c r="B45" s="24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27181494.789999999</v>
      </c>
      <c r="L45" s="24"/>
      <c r="M45" s="39">
        <v>27209872.280000001</v>
      </c>
      <c r="N45" s="24"/>
      <c r="O45" s="39">
        <v>27663197.41</v>
      </c>
      <c r="P45" s="90">
        <v>453325.14</v>
      </c>
      <c r="Q45" s="91">
        <v>1.67E-2</v>
      </c>
      <c r="R45" s="99">
        <v>0.93133972622449557</v>
      </c>
      <c r="S45" s="74"/>
    </row>
    <row r="46" spans="1:19" x14ac:dyDescent="0.25">
      <c r="A46" s="100"/>
      <c r="B46" s="21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1"/>
      <c r="S46" s="72"/>
    </row>
    <row r="47" spans="1:19" x14ac:dyDescent="0.25">
      <c r="A47" s="66" t="s">
        <v>63</v>
      </c>
      <c r="B47" s="44" t="s">
        <v>85</v>
      </c>
      <c r="C47" s="44" t="s">
        <v>140</v>
      </c>
      <c r="D47" s="44">
        <v>280907</v>
      </c>
      <c r="E47" s="44" t="s">
        <v>21</v>
      </c>
      <c r="F47" s="20">
        <v>3</v>
      </c>
      <c r="G47" s="20">
        <v>7.2</v>
      </c>
      <c r="H47" s="20">
        <v>3</v>
      </c>
      <c r="I47" s="34">
        <v>11340</v>
      </c>
      <c r="J47" s="88">
        <v>101.60075500000001</v>
      </c>
      <c r="K47" s="52">
        <v>1152152.57</v>
      </c>
      <c r="L47" s="88">
        <v>101.600756</v>
      </c>
      <c r="M47" s="52">
        <v>1152152.57</v>
      </c>
      <c r="N47" s="89">
        <v>101.600756</v>
      </c>
      <c r="O47" s="102">
        <v>1152152.57</v>
      </c>
      <c r="P47" s="55">
        <v>0</v>
      </c>
      <c r="Q47" s="35"/>
      <c r="R47" s="68">
        <v>3.8789639650431466E-2</v>
      </c>
      <c r="S47" s="20"/>
    </row>
    <row r="48" spans="1:19" x14ac:dyDescent="0.25">
      <c r="A48" s="66" t="s">
        <v>63</v>
      </c>
      <c r="B48" s="44" t="s">
        <v>86</v>
      </c>
      <c r="C48" s="44" t="s">
        <v>140</v>
      </c>
      <c r="D48" s="44">
        <v>280907</v>
      </c>
      <c r="E48" s="44" t="s">
        <v>21</v>
      </c>
      <c r="F48" s="20">
        <v>3</v>
      </c>
      <c r="G48" s="20">
        <v>7.2</v>
      </c>
      <c r="H48" s="20">
        <v>3</v>
      </c>
      <c r="I48" s="34">
        <v>597</v>
      </c>
      <c r="J48" s="88">
        <v>101.60075500000001</v>
      </c>
      <c r="K48" s="52">
        <v>60655.65</v>
      </c>
      <c r="L48" s="88">
        <v>101.600756</v>
      </c>
      <c r="M48" s="52">
        <v>60655.65</v>
      </c>
      <c r="N48" s="89">
        <v>101.600756</v>
      </c>
      <c r="O48" s="102">
        <v>60655.65</v>
      </c>
      <c r="P48" s="55">
        <v>0</v>
      </c>
      <c r="Q48" s="35"/>
      <c r="R48" s="68">
        <v>2.0421000373784639E-3</v>
      </c>
      <c r="S48" s="20"/>
    </row>
    <row r="49" spans="1:19" x14ac:dyDescent="0.25">
      <c r="A49" s="66" t="s">
        <v>63</v>
      </c>
      <c r="B49" s="44" t="s">
        <v>121</v>
      </c>
      <c r="C49" s="44" t="s">
        <v>140</v>
      </c>
      <c r="D49" s="44">
        <v>280907</v>
      </c>
      <c r="E49" s="44" t="s">
        <v>21</v>
      </c>
      <c r="F49" s="20">
        <v>3</v>
      </c>
      <c r="G49" s="20">
        <v>7.2</v>
      </c>
      <c r="H49" s="20">
        <v>3</v>
      </c>
      <c r="I49" s="34">
        <v>8135</v>
      </c>
      <c r="J49" s="88">
        <v>101.60075500000001</v>
      </c>
      <c r="K49" s="52">
        <v>826522.15</v>
      </c>
      <c r="L49" s="88">
        <v>101.600756</v>
      </c>
      <c r="M49" s="52">
        <v>826522.15</v>
      </c>
      <c r="N49" s="89">
        <v>101.600756</v>
      </c>
      <c r="O49" s="102">
        <v>826522.15</v>
      </c>
      <c r="P49" s="55">
        <v>0</v>
      </c>
      <c r="Q49" s="35"/>
      <c r="R49" s="68">
        <v>2.7826606646027669E-2</v>
      </c>
      <c r="S49" s="20"/>
    </row>
    <row r="50" spans="1:19" x14ac:dyDescent="0.25">
      <c r="A50" s="98"/>
      <c r="B50" s="24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2039330.37</v>
      </c>
      <c r="L50" s="24"/>
      <c r="M50" s="39">
        <v>2039330.37</v>
      </c>
      <c r="N50" s="24"/>
      <c r="O50" s="39">
        <v>2039330.37</v>
      </c>
      <c r="P50" s="75">
        <v>0</v>
      </c>
      <c r="Q50" s="26"/>
      <c r="R50" s="99">
        <v>6.8657999999999997E-2</v>
      </c>
      <c r="S50" s="20"/>
    </row>
    <row r="51" spans="1:19" x14ac:dyDescent="0.25">
      <c r="A51" s="105"/>
      <c r="B51" s="106"/>
      <c r="C51" s="106"/>
      <c r="D51" s="106"/>
      <c r="E51" s="106"/>
      <c r="F51" s="107"/>
      <c r="G51" s="107"/>
      <c r="H51" s="107"/>
      <c r="I51" s="107"/>
      <c r="J51" s="106"/>
      <c r="K51" s="106"/>
      <c r="L51" s="106"/>
      <c r="M51" s="106"/>
      <c r="N51" s="106"/>
      <c r="O51" s="106"/>
      <c r="P51" s="108"/>
      <c r="Q51" s="108"/>
      <c r="R51" s="109"/>
    </row>
    <row r="52" spans="1:19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-42.44</v>
      </c>
      <c r="P52" s="23"/>
      <c r="Q52" s="23"/>
      <c r="R52" s="22"/>
    </row>
    <row r="53" spans="1:19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49.54</v>
      </c>
      <c r="P53" s="23"/>
      <c r="Q53" s="23"/>
      <c r="R53" s="22"/>
    </row>
    <row r="54" spans="1:19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50.15</v>
      </c>
      <c r="P54" s="23"/>
      <c r="Q54" s="23"/>
      <c r="R54" s="22"/>
    </row>
    <row r="56" spans="1:19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8" spans="1:19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29702585.030000001</v>
      </c>
      <c r="P58" s="29"/>
      <c r="Q58" s="29"/>
      <c r="R58" s="28"/>
    </row>
    <row r="60" spans="1:19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57.25</v>
      </c>
      <c r="P60" s="23"/>
      <c r="Q60" s="23"/>
      <c r="R60" s="22"/>
    </row>
    <row r="61" spans="1:19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2039387.62</v>
      </c>
      <c r="P61" s="23"/>
      <c r="Q61" s="23"/>
      <c r="R61" s="22"/>
    </row>
    <row r="62" spans="1:19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autoFilter ref="A8:S45" xr:uid="{BF9AADAF-708D-4F34-8403-F2D542164DE6}"/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6209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666750</xdr:colOff>
                    <xdr:row>0</xdr:row>
                    <xdr:rowOff>123825</xdr:rowOff>
                  </from>
                  <to>
                    <xdr:col>20</xdr:col>
                    <xdr:colOff>409575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210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666750</xdr:colOff>
                    <xdr:row>1</xdr:row>
                    <xdr:rowOff>38100</xdr:rowOff>
                  </from>
                  <to>
                    <xdr:col>20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211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666750</xdr:colOff>
                    <xdr:row>3</xdr:row>
                    <xdr:rowOff>171450</xdr:rowOff>
                  </from>
                  <to>
                    <xdr:col>20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133</v>
      </c>
      <c r="B23" s="44" t="s">
        <v>89</v>
      </c>
      <c r="C23" s="44" t="s">
        <v>137</v>
      </c>
    </row>
    <row r="24" spans="1:3" x14ac:dyDescent="0.25">
      <c r="A24" s="44" t="s">
        <v>134</v>
      </c>
      <c r="B24" s="44">
        <v>13</v>
      </c>
      <c r="C24" s="44" t="s">
        <v>137</v>
      </c>
    </row>
    <row r="25" spans="1:3" x14ac:dyDescent="0.25">
      <c r="A25" s="44" t="s">
        <v>135</v>
      </c>
      <c r="B25" s="44">
        <v>18</v>
      </c>
      <c r="C25" s="44" t="s">
        <v>137</v>
      </c>
    </row>
    <row r="26" spans="1:3" x14ac:dyDescent="0.25">
      <c r="A26" s="77" t="s">
        <v>136</v>
      </c>
      <c r="B26" s="77" t="s">
        <v>94</v>
      </c>
      <c r="C26" s="44" t="s">
        <v>137</v>
      </c>
    </row>
    <row r="27" spans="1:3" x14ac:dyDescent="0.25">
      <c r="A27" s="44" t="s">
        <v>141</v>
      </c>
      <c r="B27" s="44">
        <v>11</v>
      </c>
      <c r="C27" s="44" t="s">
        <v>137</v>
      </c>
    </row>
    <row r="28" spans="1:3" x14ac:dyDescent="0.25">
      <c r="A28" s="44" t="s">
        <v>131</v>
      </c>
      <c r="B28" s="77" t="s">
        <v>94</v>
      </c>
      <c r="C28" s="44" t="s">
        <v>142</v>
      </c>
    </row>
    <row r="29" spans="1:3" x14ac:dyDescent="0.25">
      <c r="A29" s="44" t="s">
        <v>146</v>
      </c>
      <c r="B29" s="77">
        <v>12</v>
      </c>
      <c r="C29" s="44" t="s">
        <v>137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2025-10-23T19:19:59Z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