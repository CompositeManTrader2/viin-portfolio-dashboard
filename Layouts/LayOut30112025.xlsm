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08F8316C-122A-49E7-B0A4-1F0EFD33102A}" xr6:coauthVersionLast="47" xr6:coauthVersionMax="47" xr10:uidLastSave="{00000000-0000-0000-0000-000000000000}"/>
  <bookViews>
    <workbookView xWindow="-120" yWindow="-120" windowWidth="19440" windowHeight="14880" tabRatio="641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90" r:id="rId4"/>
    <sheet name="Movimientos" sheetId="1691" r:id="rId5"/>
    <sheet name="Posición" sheetId="1692" r:id="rId6"/>
    <sheet name="Estrategias" sheetId="1305" r:id="rId7"/>
  </sheets>
  <functionGroups builtInGroupCount="19"/>
  <definedNames>
    <definedName name="_xlnm.Print_Area" localSheetId="2">Hoja1!$A$1:$R$58</definedName>
    <definedName name="_xlnm.Print_Area" localSheetId="4">Movimientos!$A$1:$R$149</definedName>
    <definedName name="_xlnm.Print_Area" localSheetId="5">Posición!$A$1:$R$63</definedName>
    <definedName name="_xlnm.Print_Area" localSheetId="3">'Posición del mes anterior'!$A$1:$R$63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5" i="1692" l="1"/>
  <c r="P44" i="1692"/>
  <c r="P43" i="1692"/>
  <c r="P42" i="1692"/>
  <c r="P41" i="1692"/>
  <c r="P40" i="1692"/>
  <c r="P39" i="1692"/>
  <c r="P38" i="1692"/>
  <c r="P37" i="1692"/>
  <c r="P36" i="1692"/>
  <c r="P35" i="1692"/>
  <c r="P34" i="1692"/>
  <c r="P33" i="1692"/>
  <c r="P32" i="1692"/>
  <c r="P31" i="1692"/>
  <c r="P30" i="1692"/>
  <c r="P29" i="1692"/>
  <c r="P28" i="1692"/>
  <c r="P27" i="1692"/>
  <c r="P26" i="1692"/>
  <c r="P25" i="1692"/>
  <c r="P24" i="1692"/>
  <c r="P23" i="1692"/>
  <c r="P22" i="1692"/>
  <c r="P21" i="1692"/>
  <c r="P20" i="1692"/>
  <c r="P19" i="1692"/>
  <c r="P18" i="1692"/>
  <c r="P17" i="1692"/>
  <c r="P16" i="1692"/>
  <c r="P15" i="1692"/>
  <c r="P14" i="1692"/>
  <c r="P13" i="1692"/>
  <c r="P12" i="1692"/>
  <c r="P11" i="1692"/>
  <c r="P10" i="1692"/>
  <c r="P9" i="1692"/>
  <c r="B15" i="4" l="1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<sst xmlns="http://schemas.openxmlformats.org/spreadsheetml/2006/main" count="1547" uniqueCount="168">
  <si>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</si>
  <si>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</si>
  <si>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</si>
  <si>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</si>
  <si>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</si>
  <si>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</si>
  <si>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</si>
  <si>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</si>
  <si>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</si>
  <si>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</si>
  <si>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</si>
  <si>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</si>
  <si>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</si>
  <si>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</si>
  <si>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</si>
  <si>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</si>
  <si>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</si>
  <si>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</si>
  <si>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</si>
  <si>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</si>
  <si>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</si>
  <si>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</si>
  <si>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</si>
  <si>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</si>
  <si>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</si>
  <si>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</si>
  <si>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</si>
  <si>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</si>
  <si>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</si>
  <si>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</si>
  <si>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</si>
  <si>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</si>
  <si>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</si>
  <si>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</si>
  <si>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</si>
  <si>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</si>
  <si>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</si>
  <si>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</si>
  <si>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</si>
  <si>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</si>
  <si>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</si>
  <si>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</si>
  <si>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</si>
  <si>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</si>
  <si>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</si>
  <si>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</si>
  <si>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</si>
  <si>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</si>
  <si>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</si>
  <si>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</si>
  <si>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</si>
  <si>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</si>
  <si>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</si>
  <si>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</si>
  <si>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</si>
  <si>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</si>
  <si>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</si>
  <si>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</si>
  <si>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</si>
  <si>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</si>
  <si>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</si>
  <si>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</si>
  <si>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</si>
  <si>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</si>
  <si>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</si>
  <si>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</si>
  <si>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</si>
  <si>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</si>
  <si>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</si>
  <si>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</si>
  <si>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</si>
  <si>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</si>
  <si>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</si>
  <si>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</si>
  <si>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</si>
  <si>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</si>
  <si>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</si>
  <si>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</si>
  <si>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</si>
  <si>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</si>
  <si>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</si>
  <si>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</si>
  <si>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</si>
  <si>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</si>
  <si>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</si>
  <si>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</si>
  <si>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</si>
  <si>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</si>
  <si>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</si>
  <si>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</si>
  <si>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</si>
  <si>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</si>
  <si>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</si>
  <si>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</si>
  <si>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</si>
  <si>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</si>
  <si>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</si>
  <si>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</si>
  <si>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</si>
  <si>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</si>
  <si>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</si>
  <si>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</si>
  <si>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</si>
  <si>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</si>
  <si>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</si>
  <si>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</si>
  <si>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</si>
  <si>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</si>
  <si>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</si>
  <si>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</si>
  <si>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</si>
  <si>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</si>
  <si>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</si>
  <si>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</si>
  <si>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</si>
  <si>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</si>
  <si>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</si>
  <si>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</si>
  <si>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</si>
  <si>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</si>
  <si>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</si>
  <si>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</si>
  <si>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</si>
  <si>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</si>
  <si>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</si>
  <si>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</si>
  <si>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</si>
  <si>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</si>
  <si>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</si>
  <si>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</si>
  <si>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</si>
  <si>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</si>
  <si>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</si>
  <si>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</si>
  <si>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</si>
  <si>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</si>
  <si>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</si>
  <si>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</si>
  <si>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</si>
  <si>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</si>
  <si>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</si>
  <si>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</si>
  <si>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</si>
  <si>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</si>
  <si>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</si>
  <si>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</si>
  <si>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</si>
  <si>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</si>
  <si>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PAGO ENTRAD DIVID. EFTVO</t>
  </si>
  <si>
    <t>SHV</t>
  </si>
  <si>
    <t>PE&amp;OLES</t>
  </si>
  <si>
    <t>HYG</t>
  </si>
  <si>
    <t>SPHY</t>
  </si>
  <si>
    <t>CUOTA DE ADM Y CUST E IVA</t>
  </si>
  <si>
    <t xml:space="preserve"> </t>
  </si>
  <si>
    <t>UNH</t>
  </si>
  <si>
    <t>FX (MES ANTERIOR)</t>
  </si>
  <si>
    <t>FX (MES)</t>
  </si>
  <si>
    <t>MONEDA</t>
  </si>
  <si>
    <t>USD</t>
  </si>
  <si>
    <t>Origen</t>
  </si>
  <si>
    <t>MX</t>
  </si>
  <si>
    <t>US</t>
  </si>
  <si>
    <t>PAGO ENTRADA REEMBOLSO</t>
  </si>
  <si>
    <t>BPAG28</t>
  </si>
  <si>
    <t>PAGO ENTRADA DISTRIBUCION EFECTIVO</t>
  </si>
  <si>
    <t>Noviembre</t>
  </si>
  <si>
    <t>30/11/2025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</si>
</sst>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&quot;$&quot;#,##0.000000"/>
    <numFmt numFmtId="168" formatCode="&quot;$&quot;#,##0.0000"/>
    <numFmt numFmtId="169" formatCode="&quot;$&quot;#,##0.00_);[Red]\(&quot;$&quot;#,##0.00\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5" fillId="5" borderId="2" xfId="0" applyFont="1" applyFill="1" applyBorder="1"/>
    <xf numFmtId="10" fontId="15" fillId="5" borderId="3" xfId="0" applyNumberFormat="1" applyFont="1" applyFill="1" applyBorder="1" applyAlignment="1">
      <alignment horizontal="center"/>
    </xf>
    <xf numFmtId="0" fontId="15" fillId="0" borderId="2" xfId="0" applyFont="1" applyBorder="1"/>
    <xf numFmtId="10" fontId="15" fillId="0" borderId="3" xfId="0" applyNumberFormat="1" applyFont="1" applyBorder="1" applyAlignment="1">
      <alignment horizontal="center"/>
    </xf>
    <xf numFmtId="169" fontId="12" fillId="0" borderId="0" xfId="0" applyNumberFormat="1" applyFont="1"/>
    <xf numFmtId="164" fontId="12" fillId="0" borderId="5" xfId="0" applyNumberFormat="1" applyFont="1" applyBorder="1"/>
    <xf numFmtId="0" fontId="15" fillId="0" borderId="4" xfId="0" applyFont="1" applyBorder="1"/>
    <xf numFmtId="0" fontId="15" fillId="0" borderId="5" xfId="0" applyFont="1" applyBorder="1"/>
    <xf numFmtId="0" fontId="15" fillId="0" borderId="5" xfId="0" applyFont="1" applyBorder="1" applyAlignment="1">
      <alignment horizontal="center"/>
    </xf>
    <xf numFmtId="0" fontId="16" fillId="0" borderId="5" xfId="0" applyFont="1" applyBorder="1"/>
    <xf numFmtId="0" fontId="15" fillId="0" borderId="6" xfId="0" applyFont="1" applyBorder="1" applyAlignment="1">
      <alignment horizontal="center"/>
    </xf>
    <xf numFmtId="169" fontId="21" fillId="0" borderId="0" xfId="0" applyNumberFormat="1" applyFont="1"/>
    <xf numFmtId="169" fontId="18" fillId="0" borderId="0" xfId="0" applyNumberFormat="1" applyFont="1"/>
    <xf numFmtId="0" fontId="0" fillId="0" borderId="1" xfId="0" applyBorder="1"/>
    <xf numFmtId="0" fontId="3" fillId="2" borderId="0" xfId="0" applyFont="1" applyFill="1" applyAlignment="1">
      <alignment horizontal="center" vertical="center" wrapText="1"/>
    </xf>
    <xf numFmtId="0" fontId="0" fillId="0" borderId="0" xfId="0" applyBorder="1"/>
    <xf numFmtId="0" fontId="19" fillId="0" borderId="0" xfId="0" applyFont="1" applyBorder="1"/>
    <xf numFmtId="0" fontId="11" fillId="4" borderId="0" xfId="0" applyFont="1" applyFill="1" applyBorder="1" applyAlignment="1">
      <alignment horizontal="center"/>
    </xf>
    <xf numFmtId="0" fontId="12" fillId="0" borderId="0" xfId="0" applyFont="1" applyBorder="1"/>
    <xf numFmtId="0" fontId="13" fillId="0" borderId="0" xfId="0" applyFont="1" applyBorder="1"/>
    <xf numFmtId="0" fontId="15" fillId="5" borderId="0" xfId="0" applyFont="1" applyFill="1" applyBorder="1"/>
    <xf numFmtId="0" fontId="15" fillId="0" borderId="0" xfId="0" applyFont="1" applyBorder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MovimientosCliente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491109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E9D2386-F772-48D1-B0B8-D76974114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57474" name="Button 2" hidden="1">
              <a:extLst>
                <a:ext uri="{63B3BB69-23CF-44E3-9099-C40C66FF867C}">
                  <a14:compatExt spid="_x0000_s1257474"/>
                </a:ext>
                <a:ext uri="{FF2B5EF4-FFF2-40B4-BE49-F238E27FC236}">
                  <a16:creationId xmlns:a16="http://schemas.microsoft.com/office/drawing/2014/main" id="{00000000-0008-0000-0500-0000023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171450</xdr:rowOff>
        </xdr:from>
        <xdr:to>
          <xdr:col>20</xdr:col>
          <xdr:colOff>381000</xdr:colOff>
          <xdr:row>5</xdr:row>
          <xdr:rowOff>171450</xdr:rowOff>
        </xdr:to>
        <xdr:sp macro="" textlink="">
          <xdr:nvSpPr>
            <xdr:cNvPr id="1257475" name="Button 3" hidden="1">
              <a:extLst>
                <a:ext uri="{63B3BB69-23CF-44E3-9099-C40C66FF867C}">
                  <a14:compatExt spid="_x0000_s1257475"/>
                </a:ext>
                <a:ext uri="{FF2B5EF4-FFF2-40B4-BE49-F238E27FC236}">
                  <a16:creationId xmlns:a16="http://schemas.microsoft.com/office/drawing/2014/main" id="{00000000-0008-0000-0500-0000033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57476" name="Button 4" hidden="1">
              <a:extLst>
                <a:ext uri="{63B3BB69-23CF-44E3-9099-C40C66FF867C}">
                  <a14:compatExt spid="_x0000_s1257476"/>
                </a:ext>
                <a:ext uri="{FF2B5EF4-FFF2-40B4-BE49-F238E27FC236}">
                  <a16:creationId xmlns:a16="http://schemas.microsoft.com/office/drawing/2014/main" id="{844C3F9B-2EBF-ADB5-2837-FC3FF2A78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106136</xdr:colOff>
      <xdr:row>1</xdr:row>
      <xdr:rowOff>179471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3C514E7-DEC3-45B3-8767-A928A80D7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907236" cy="7700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0</xdr:row>
          <xdr:rowOff>381000</xdr:rowOff>
        </xdr:from>
        <xdr:to>
          <xdr:col>19</xdr:col>
          <xdr:colOff>685800</xdr:colOff>
          <xdr:row>1</xdr:row>
          <xdr:rowOff>180975</xdr:rowOff>
        </xdr:to>
        <xdr:sp macro="" textlink="">
          <xdr:nvSpPr>
            <xdr:cNvPr id="1260545" name="Button 1" hidden="1">
              <a:extLst>
                <a:ext uri="{63B3BB69-23CF-44E3-9099-C40C66FF867C}">
                  <a14:compatExt spid="_x0000_s1260545"/>
                </a:ext>
                <a:ext uri="{FF2B5EF4-FFF2-40B4-BE49-F238E27FC236}">
                  <a16:creationId xmlns:a16="http://schemas.microsoft.com/office/drawing/2014/main" id="{E1990AD8-0091-E436-CB0C-DEC86FBCB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742950</xdr:colOff>
          <xdr:row>0</xdr:row>
          <xdr:rowOff>381000</xdr:rowOff>
        </xdr:from>
        <xdr:to>
          <xdr:col>21</xdr:col>
          <xdr:colOff>438150</xdr:colOff>
          <xdr:row>1</xdr:row>
          <xdr:rowOff>180975</xdr:rowOff>
        </xdr:to>
        <xdr:sp macro="" textlink="">
          <xdr:nvSpPr>
            <xdr:cNvPr id="1260546" name="Button 2" hidden="1">
              <a:extLst>
                <a:ext uri="{63B3BB69-23CF-44E3-9099-C40C66FF867C}">
                  <a14:compatExt spid="_x0000_s1260546"/>
                </a:ext>
                <a:ext uri="{FF2B5EF4-FFF2-40B4-BE49-F238E27FC236}">
                  <a16:creationId xmlns:a16="http://schemas.microsoft.com/office/drawing/2014/main" id="{E21D0371-874A-5E51-A6B3-8CE907EF9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2</xdr:row>
          <xdr:rowOff>104775</xdr:rowOff>
        </xdr:from>
        <xdr:to>
          <xdr:col>19</xdr:col>
          <xdr:colOff>685800</xdr:colOff>
          <xdr:row>4</xdr:row>
          <xdr:rowOff>114300</xdr:rowOff>
        </xdr:to>
        <xdr:sp macro="" textlink="">
          <xdr:nvSpPr>
            <xdr:cNvPr id="1260547" name="Button 3" hidden="1">
              <a:extLst>
                <a:ext uri="{63B3BB69-23CF-44E3-9099-C40C66FF867C}">
                  <a14:compatExt spid="_x0000_s1260547"/>
                </a:ext>
                <a:ext uri="{FF2B5EF4-FFF2-40B4-BE49-F238E27FC236}">
                  <a16:creationId xmlns:a16="http://schemas.microsoft.com/office/drawing/2014/main" id="{745B5B0E-5889-08AB-4AF1-E52474C0D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742950</xdr:colOff>
          <xdr:row>2</xdr:row>
          <xdr:rowOff>104775</xdr:rowOff>
        </xdr:from>
        <xdr:to>
          <xdr:col>22</xdr:col>
          <xdr:colOff>28575</xdr:colOff>
          <xdr:row>4</xdr:row>
          <xdr:rowOff>114300</xdr:rowOff>
        </xdr:to>
        <xdr:sp macro="" textlink="">
          <xdr:nvSpPr>
            <xdr:cNvPr id="1260548" name="Button 4" hidden="1">
              <a:extLst>
                <a:ext uri="{63B3BB69-23CF-44E3-9099-C40C66FF867C}">
                  <a14:compatExt spid="_x0000_s1260548"/>
                </a:ext>
                <a:ext uri="{FF2B5EF4-FFF2-40B4-BE49-F238E27FC236}">
                  <a16:creationId xmlns:a16="http://schemas.microsoft.com/office/drawing/2014/main" id="{706EB5B9-7B60-EAB7-8F74-78539CAF0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0</xdr:row>
          <xdr:rowOff>123825</xdr:rowOff>
        </xdr:from>
        <xdr:to>
          <xdr:col>20</xdr:col>
          <xdr:colOff>381000</xdr:colOff>
          <xdr:row>0</xdr:row>
          <xdr:rowOff>504825</xdr:rowOff>
        </xdr:to>
        <xdr:sp macro="" textlink="">
          <xdr:nvSpPr>
            <xdr:cNvPr id="1261569" name="Button 1" hidden="1">
              <a:extLst>
                <a:ext uri="{63B3BB69-23CF-44E3-9099-C40C66FF867C}">
                  <a14:compatExt spid="_x0000_s1261569"/>
                </a:ext>
                <a:ext uri="{FF2B5EF4-FFF2-40B4-BE49-F238E27FC236}">
                  <a16:creationId xmlns:a16="http://schemas.microsoft.com/office/drawing/2014/main" id="{3BD502DE-ECA6-6F4E-DCF0-E57971122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61570" name="Button 2" hidden="1">
              <a:extLst>
                <a:ext uri="{63B3BB69-23CF-44E3-9099-C40C66FF867C}">
                  <a14:compatExt spid="_x0000_s1261570"/>
                </a:ext>
                <a:ext uri="{FF2B5EF4-FFF2-40B4-BE49-F238E27FC236}">
                  <a16:creationId xmlns:a16="http://schemas.microsoft.com/office/drawing/2014/main" id="{FF57D7F2-C2A3-E77F-2977-07C1A1DAB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171450</xdr:rowOff>
        </xdr:from>
        <xdr:to>
          <xdr:col>20</xdr:col>
          <xdr:colOff>381000</xdr:colOff>
          <xdr:row>5</xdr:row>
          <xdr:rowOff>171450</xdr:rowOff>
        </xdr:to>
        <xdr:sp macro="" textlink="">
          <xdr:nvSpPr>
            <xdr:cNvPr id="1261571" name="Button 3" hidden="1">
              <a:extLst>
                <a:ext uri="{63B3BB69-23CF-44E3-9099-C40C66FF867C}">
                  <a14:compatExt spid="_x0000_s1261571"/>
                </a:ext>
                <a:ext uri="{FF2B5EF4-FFF2-40B4-BE49-F238E27FC236}">
                  <a16:creationId xmlns:a16="http://schemas.microsoft.com/office/drawing/2014/main" id="{0A33DB89-7F7E-DD6D-A97E-1B51E666F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N25"/>
  <sheetViews>
    <sheetView showGridLines="0" tabSelected="1" topLeftCell="D1" zoomScale="85" zoomScaleNormal="85" workbookViewId="0">
      <selection activeCell="D1" sqref="D1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4" ht="21" x14ac:dyDescent="0.35">
      <c r="A1" s="1" t="s">
        <v>0</v>
      </c>
    </row>
    <row r="2" spans="1:14" ht="21" x14ac:dyDescent="0.35">
      <c r="A2" s="1"/>
    </row>
    <row r="3" spans="1:14" x14ac:dyDescent="0.25">
      <c r="A3" t="s">
        <v>1</v>
      </c>
      <c r="E3"/>
      <c r="F3"/>
      <c r="G3"/>
      <c r="H3"/>
      <c r="I3"/>
      <c r="J3"/>
      <c r="K3"/>
    </row>
    <row r="4" spans="1:14" x14ac:dyDescent="0.25">
      <c r="B4" t="s">
        <v>6</v>
      </c>
      <c r="E4"/>
      <c r="F4"/>
      <c r="G4"/>
      <c r="H4"/>
      <c r="I4"/>
      <c r="J4"/>
      <c r="K4"/>
    </row>
    <row r="5" spans="1:14" x14ac:dyDescent="0.25">
      <c r="E5"/>
      <c r="F5"/>
      <c r="G5"/>
      <c r="H5"/>
      <c r="I5"/>
      <c r="J5"/>
      <c r="K5"/>
    </row>
    <row r="6" spans="1:14" x14ac:dyDescent="0.25">
      <c r="A6" s="112" t="s">
        <v>2</v>
      </c>
      <c r="B6" s="3"/>
      <c r="E6"/>
      <c r="F6"/>
      <c r="G6"/>
      <c r="H6"/>
      <c r="I6"/>
      <c r="J6"/>
      <c r="K6"/>
    </row>
    <row r="7" spans="1:14" x14ac:dyDescent="0.25">
      <c r="A7" s="112"/>
      <c r="B7" s="3" t="s">
        <v>11</v>
      </c>
      <c r="E7"/>
      <c r="F7"/>
      <c r="G7"/>
      <c r="H7"/>
      <c r="I7"/>
      <c r="J7"/>
      <c r="K7"/>
    </row>
    <row r="8" spans="1:14" x14ac:dyDescent="0.25">
      <c r="E8"/>
      <c r="F8"/>
      <c r="G8"/>
      <c r="H8"/>
      <c r="I8"/>
      <c r="J8"/>
      <c r="K8"/>
    </row>
    <row r="9" spans="1:14" ht="21" x14ac:dyDescent="0.35">
      <c r="A9" s="1"/>
    </row>
    <row r="10" spans="1:14" ht="21" x14ac:dyDescent="0.35">
      <c r="A10" s="1"/>
    </row>
    <row r="11" spans="1:14" x14ac:dyDescent="0.25">
      <c r="A11" s="4"/>
    </row>
    <row r="12" spans="1:14" ht="21" x14ac:dyDescent="0.35">
      <c r="A12" s="1"/>
    </row>
    <row r="13" spans="1:14" ht="21" x14ac:dyDescent="0.35">
      <c r="A13" s="1"/>
    </row>
    <row r="15" spans="1:14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4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  <c r="L16" s="33" t="s">
        <v>156</v>
      </c>
      <c r="M16" s="33" t="s">
        <v>157</v>
      </c>
      <c r="N16" s="33" t="s">
        <v>158</v>
      </c>
    </row>
    <row r="17" spans="1:14" x14ac:dyDescent="0.25">
      <c r="A17" s="8"/>
      <c r="B17" s="9" t="s">
        <v>85</v>
      </c>
      <c r="C17" s="10"/>
      <c r="D17" s="48" t="s">
        <v>167</v>
      </c>
      <c r="E17" s="57">
        <v>16185517.140000001</v>
      </c>
      <c r="F17" s="43">
        <v>0</v>
      </c>
      <c r="G17" s="42">
        <v>-70927.179999999993</v>
      </c>
      <c r="H17" s="11"/>
      <c r="I17" s="58">
        <v>0</v>
      </c>
      <c r="J17" s="58">
        <v>26006.32</v>
      </c>
      <c r="K17" s="57">
        <v>16088583.640000001</v>
      </c>
      <c r="L17" s="111">
        <v>18.55</v>
      </c>
      <c r="M17" s="111">
        <v>18.295500000000001</v>
      </c>
      <c r="N17" s="9" t="s">
        <v>159</v>
      </c>
    </row>
    <row r="18" spans="1:14" x14ac:dyDescent="0.25">
      <c r="A18" s="8"/>
      <c r="B18" s="9" t="s">
        <v>86</v>
      </c>
      <c r="C18" s="10"/>
      <c r="D18" s="48" t="s">
        <v>167</v>
      </c>
      <c r="E18" s="57">
        <v>61167.82</v>
      </c>
      <c r="F18" s="43">
        <v>0</v>
      </c>
      <c r="G18" s="58">
        <v>322.52</v>
      </c>
      <c r="H18" s="11"/>
      <c r="I18" s="58">
        <v>0</v>
      </c>
      <c r="J18" s="58">
        <v>98.31</v>
      </c>
      <c r="K18" s="57">
        <v>61392.03</v>
      </c>
      <c r="L18" s="111">
        <v>18.55</v>
      </c>
      <c r="M18" s="111">
        <v>18.295500000000001</v>
      </c>
      <c r="N18" s="9" t="s">
        <v>159</v>
      </c>
    </row>
    <row r="19" spans="1:14" x14ac:dyDescent="0.25">
      <c r="A19" s="8"/>
      <c r="B19" s="9" t="s">
        <v>121</v>
      </c>
      <c r="C19" s="10"/>
      <c r="D19" s="48" t="s">
        <v>167</v>
      </c>
      <c r="E19" s="57">
        <v>13646433.699999999</v>
      </c>
      <c r="F19" s="43">
        <v>0</v>
      </c>
      <c r="G19" s="42">
        <v>-25304.51</v>
      </c>
      <c r="H19" s="11"/>
      <c r="I19" s="58">
        <v>0</v>
      </c>
      <c r="J19" s="42">
        <v>21952.880000000001</v>
      </c>
      <c r="K19" s="57">
        <v>13599176.310000001</v>
      </c>
      <c r="L19" s="111">
        <v>18.55</v>
      </c>
      <c r="M19" s="111">
        <v>18.295500000000001</v>
      </c>
      <c r="N19" s="9" t="s">
        <v>159</v>
      </c>
    </row>
    <row r="20" spans="1:14" x14ac:dyDescent="0.25">
      <c r="D20"/>
      <c r="E20"/>
      <c r="F20"/>
      <c r="G20"/>
      <c r="H20"/>
      <c r="I20"/>
      <c r="J20"/>
      <c r="K20"/>
    </row>
    <row r="21" spans="1:14" x14ac:dyDescent="0.25">
      <c r="D21"/>
      <c r="E21"/>
      <c r="F21"/>
      <c r="G21"/>
      <c r="H21"/>
      <c r="I21"/>
      <c r="J21"/>
      <c r="K21"/>
    </row>
    <row r="22" spans="1:14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4" x14ac:dyDescent="0.25">
      <c r="A23" s="4"/>
      <c r="F23" s="31" t="s">
        <v>56</v>
      </c>
      <c r="G23" s="31" t="s">
        <v>57</v>
      </c>
      <c r="I23" s="31" t="s">
        <v>58</v>
      </c>
    </row>
    <row r="24" spans="1:14" x14ac:dyDescent="0.25">
      <c r="A24" s="12"/>
    </row>
    <row r="25" spans="1:14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77</v>
      </c>
    </row>
    <row r="9" spans="1:2" x14ac:dyDescent="0.25">
      <c r="B9">
        <v>101.015052977555</v>
      </c>
    </row>
    <row r="10" spans="1:2" x14ac:dyDescent="0.25">
      <c r="B10">
        <v>95.33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134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134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135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135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139</v>
      </c>
      <c r="B32" s="44" t="s">
        <v>85</v>
      </c>
      <c r="C32" s="44" t="s">
        <v>131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139</v>
      </c>
      <c r="B36" s="77" t="s">
        <v>85</v>
      </c>
      <c r="C36" s="77" t="s">
        <v>136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132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140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140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140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DBFDB-5AED-4016-82E4-6A504CA84C34}">
  <dimension ref="A1:S63"/>
  <sheetViews>
    <sheetView topLeftCell="C1" workbookViewId="0">
      <selection activeCell="U15" sqref="U15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5703125" bestFit="1" customWidth="1"/>
    <col min="14" max="14" width="10.7109375" customWidth="1"/>
    <col min="15" max="15" width="11.85546875" bestFit="1" customWidth="1"/>
    <col min="16" max="16" width="10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45961</v>
      </c>
      <c r="N4" s="14" t="s">
        <v>24</v>
      </c>
      <c r="O4" s="16">
        <v>45961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160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10433</v>
      </c>
      <c r="J9" s="88">
        <v>11.105845</v>
      </c>
      <c r="K9" s="52">
        <v>115867.28</v>
      </c>
      <c r="L9" s="88">
        <v>11.11744</v>
      </c>
      <c r="M9" s="52">
        <v>115988.25</v>
      </c>
      <c r="N9" s="89">
        <v>9.4</v>
      </c>
      <c r="O9" s="102">
        <v>97967.82</v>
      </c>
      <c r="P9" s="109">
        <v>-18020.429999999993</v>
      </c>
      <c r="Q9" s="49">
        <v>-0.15540000000000001</v>
      </c>
      <c r="R9" s="68">
        <v>3.2772699646606432E-3</v>
      </c>
      <c r="S9" s="20" t="s">
        <v>161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3400</v>
      </c>
      <c r="J10" s="88">
        <v>11.105845</v>
      </c>
      <c r="K10" s="52">
        <v>37759.870000000003</v>
      </c>
      <c r="L10" s="88">
        <v>11.11744</v>
      </c>
      <c r="M10" s="52">
        <v>37799.300000000003</v>
      </c>
      <c r="N10" s="89">
        <v>9.4</v>
      </c>
      <c r="O10" s="102">
        <v>31926.63</v>
      </c>
      <c r="P10" s="109">
        <v>-5872.6700000000019</v>
      </c>
      <c r="Q10" s="49">
        <v>-0.15540000000000001</v>
      </c>
      <c r="R10" s="68">
        <v>1.0680260678642582E-3</v>
      </c>
      <c r="S10" s="20" t="s">
        <v>161</v>
      </c>
    </row>
    <row r="11" spans="1:19" x14ac:dyDescent="0.25">
      <c r="A11" s="66" t="s">
        <v>82</v>
      </c>
      <c r="B11" s="4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3.53</v>
      </c>
      <c r="O11" s="102">
        <v>279767.23</v>
      </c>
      <c r="P11" s="110">
        <v>9226.8699999999953</v>
      </c>
      <c r="Q11" s="50">
        <v>3.4099999999999998E-2</v>
      </c>
      <c r="R11" s="68">
        <v>9.3589174483550402E-3</v>
      </c>
      <c r="S11" s="20" t="s">
        <v>161</v>
      </c>
    </row>
    <row r="12" spans="1:19" x14ac:dyDescent="0.25">
      <c r="A12" s="66" t="s">
        <v>82</v>
      </c>
      <c r="B12" s="4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3.53</v>
      </c>
      <c r="O12" s="102">
        <v>67962.66</v>
      </c>
      <c r="P12" s="110">
        <v>2241.4400000000023</v>
      </c>
      <c r="Q12" s="50">
        <v>3.4099999999999998E-2</v>
      </c>
      <c r="R12" s="68">
        <v>2.2735219007266193E-3</v>
      </c>
      <c r="S12" s="20" t="s">
        <v>161</v>
      </c>
    </row>
    <row r="13" spans="1:19" x14ac:dyDescent="0.25">
      <c r="A13" s="66" t="s">
        <v>82</v>
      </c>
      <c r="B13" s="4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9075</v>
      </c>
      <c r="J13" s="88">
        <v>35.412551000000001</v>
      </c>
      <c r="K13" s="52">
        <v>321368.90000000002</v>
      </c>
      <c r="L13" s="88">
        <v>35.449522999999999</v>
      </c>
      <c r="M13" s="52">
        <v>321704.42</v>
      </c>
      <c r="N13" s="89">
        <v>35.46</v>
      </c>
      <c r="O13" s="102">
        <v>321463.53999999998</v>
      </c>
      <c r="P13" s="109">
        <v>-240.88000000000466</v>
      </c>
      <c r="Q13" s="49">
        <v>-6.9999999999999999E-4</v>
      </c>
      <c r="R13" s="68">
        <v>1.0753763882624775E-2</v>
      </c>
      <c r="S13" s="20" t="s">
        <v>161</v>
      </c>
    </row>
    <row r="14" spans="1:19" x14ac:dyDescent="0.25">
      <c r="A14" s="66" t="s">
        <v>82</v>
      </c>
      <c r="B14" s="4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9075</v>
      </c>
      <c r="J14" s="88">
        <v>35.412551000000001</v>
      </c>
      <c r="K14" s="52">
        <v>321368.90000000002</v>
      </c>
      <c r="L14" s="88">
        <v>35.449522999999999</v>
      </c>
      <c r="M14" s="52">
        <v>321704.42</v>
      </c>
      <c r="N14" s="89">
        <v>35.46</v>
      </c>
      <c r="O14" s="102">
        <v>321463.53999999998</v>
      </c>
      <c r="P14" s="109">
        <v>-240.88000000000466</v>
      </c>
      <c r="Q14" s="49">
        <v>-6.9999999999999999E-4</v>
      </c>
      <c r="R14" s="68">
        <v>1.0753763882624775E-2</v>
      </c>
      <c r="S14" s="20" t="s">
        <v>161</v>
      </c>
    </row>
    <row r="15" spans="1:19" x14ac:dyDescent="0.25">
      <c r="A15" s="66" t="s">
        <v>82</v>
      </c>
      <c r="B15" s="44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28.76</v>
      </c>
      <c r="O15" s="102">
        <v>136783.41</v>
      </c>
      <c r="P15" s="110">
        <v>37386.100000000006</v>
      </c>
      <c r="Q15" s="50">
        <v>0.37609999999999999</v>
      </c>
      <c r="R15" s="68">
        <v>4.57574907001975E-3</v>
      </c>
      <c r="S15" s="20" t="s">
        <v>161</v>
      </c>
    </row>
    <row r="16" spans="1:19" x14ac:dyDescent="0.25">
      <c r="A16" s="66" t="s">
        <v>82</v>
      </c>
      <c r="B16" s="44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28.76</v>
      </c>
      <c r="O16" s="102">
        <v>57459.95</v>
      </c>
      <c r="P16" s="110">
        <v>15705.149999999994</v>
      </c>
      <c r="Q16" s="50">
        <v>0.37609999999999999</v>
      </c>
      <c r="R16" s="68">
        <v>1.922179837276182E-3</v>
      </c>
      <c r="S16" s="20" t="s">
        <v>161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22107</v>
      </c>
      <c r="J17" s="88">
        <v>26.328993000000001</v>
      </c>
      <c r="K17" s="52">
        <v>582055.05000000005</v>
      </c>
      <c r="L17" s="88">
        <v>26.356480999999999</v>
      </c>
      <c r="M17" s="52">
        <v>582662.73</v>
      </c>
      <c r="N17" s="89">
        <v>21.98</v>
      </c>
      <c r="O17" s="102">
        <v>485404.57</v>
      </c>
      <c r="P17" s="109">
        <v>-97258.159999999974</v>
      </c>
      <c r="Q17" s="49">
        <v>-0.16689999999999999</v>
      </c>
      <c r="R17" s="68">
        <v>1.6238003642114467E-2</v>
      </c>
      <c r="S17" s="20" t="s">
        <v>161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21679</v>
      </c>
      <c r="J18" s="88">
        <v>26.328993000000001</v>
      </c>
      <c r="K18" s="52">
        <v>570786.24</v>
      </c>
      <c r="L18" s="88">
        <v>26.356480999999999</v>
      </c>
      <c r="M18" s="52">
        <v>571382.15</v>
      </c>
      <c r="N18" s="89">
        <v>21.98</v>
      </c>
      <c r="O18" s="102">
        <v>476006.95</v>
      </c>
      <c r="P18" s="109">
        <v>-95375.200000000012</v>
      </c>
      <c r="Q18" s="49">
        <v>-0.16689999999999999</v>
      </c>
      <c r="R18" s="68">
        <v>1.5923629618426954E-2</v>
      </c>
      <c r="S18" s="20" t="s">
        <v>161</v>
      </c>
    </row>
    <row r="19" spans="1:19" x14ac:dyDescent="0.25">
      <c r="A19" s="66" t="s">
        <v>82</v>
      </c>
      <c r="B19" s="44" t="s">
        <v>121</v>
      </c>
      <c r="C19" s="44" t="s">
        <v>101</v>
      </c>
      <c r="D19" s="44" t="s">
        <v>102</v>
      </c>
      <c r="E19" s="44">
        <v>19</v>
      </c>
      <c r="F19" s="20">
        <v>0</v>
      </c>
      <c r="G19" s="20">
        <v>0</v>
      </c>
      <c r="H19" s="20">
        <v>0</v>
      </c>
      <c r="I19" s="34">
        <v>2845</v>
      </c>
      <c r="J19" s="88">
        <v>188.60163</v>
      </c>
      <c r="K19" s="52">
        <v>536571.64</v>
      </c>
      <c r="L19" s="88">
        <v>188.798531</v>
      </c>
      <c r="M19" s="52">
        <v>537131.81999999995</v>
      </c>
      <c r="N19" s="89">
        <v>175.26</v>
      </c>
      <c r="O19" s="102">
        <v>498094.14</v>
      </c>
      <c r="P19" s="109">
        <v>-39037.679999999935</v>
      </c>
      <c r="Q19" s="49">
        <v>-7.2700000000000001E-2</v>
      </c>
      <c r="R19" s="68">
        <v>1.6662501672441762E-2</v>
      </c>
      <c r="S19" s="20" t="s">
        <v>161</v>
      </c>
    </row>
    <row r="20" spans="1:19" x14ac:dyDescent="0.25">
      <c r="A20" s="66" t="s">
        <v>82</v>
      </c>
      <c r="B20" s="44" t="s">
        <v>85</v>
      </c>
      <c r="C20" s="44" t="s">
        <v>101</v>
      </c>
      <c r="D20" s="44" t="s">
        <v>102</v>
      </c>
      <c r="E20" s="44">
        <v>19</v>
      </c>
      <c r="F20" s="20">
        <v>0</v>
      </c>
      <c r="G20" s="20">
        <v>0</v>
      </c>
      <c r="H20" s="20">
        <v>0</v>
      </c>
      <c r="I20" s="34">
        <v>3040</v>
      </c>
      <c r="J20" s="88">
        <v>188.60163</v>
      </c>
      <c r="K20" s="52">
        <v>573348.96</v>
      </c>
      <c r="L20" s="88">
        <v>188.798531</v>
      </c>
      <c r="M20" s="52">
        <v>573947.53</v>
      </c>
      <c r="N20" s="89">
        <v>175.26</v>
      </c>
      <c r="O20" s="102">
        <v>532234.17000000004</v>
      </c>
      <c r="P20" s="109">
        <v>-41713.359999999986</v>
      </c>
      <c r="Q20" s="49">
        <v>-7.2700000000000001E-2</v>
      </c>
      <c r="R20" s="68">
        <v>1.7804571536930051E-2</v>
      </c>
      <c r="S20" s="20" t="s">
        <v>161</v>
      </c>
    </row>
    <row r="21" spans="1:19" x14ac:dyDescent="0.25">
      <c r="A21" s="66" t="s">
        <v>82</v>
      </c>
      <c r="B21" s="44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33835</v>
      </c>
      <c r="J21" s="88">
        <v>9.3137659999999993</v>
      </c>
      <c r="K21" s="52">
        <v>315131.27</v>
      </c>
      <c r="L21" s="88">
        <v>9.3234899999999996</v>
      </c>
      <c r="M21" s="52">
        <v>315460.28000000003</v>
      </c>
      <c r="N21" s="89">
        <v>8.5</v>
      </c>
      <c r="O21" s="102">
        <v>287297.25</v>
      </c>
      <c r="P21" s="109">
        <v>-28163.030000000028</v>
      </c>
      <c r="Q21" s="49">
        <v>-8.9300000000000004E-2</v>
      </c>
      <c r="R21" s="68">
        <v>9.6108155550934972E-3</v>
      </c>
      <c r="S21" s="20" t="s">
        <v>161</v>
      </c>
    </row>
    <row r="22" spans="1:19" x14ac:dyDescent="0.25">
      <c r="A22" s="66" t="s">
        <v>82</v>
      </c>
      <c r="B22" s="44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26525</v>
      </c>
      <c r="J22" s="88">
        <v>9.3137659999999993</v>
      </c>
      <c r="K22" s="52">
        <v>247047.64</v>
      </c>
      <c r="L22" s="88">
        <v>9.3234899999999996</v>
      </c>
      <c r="M22" s="52">
        <v>247305.57</v>
      </c>
      <c r="N22" s="89">
        <v>8.5</v>
      </c>
      <c r="O22" s="102">
        <v>225227.11</v>
      </c>
      <c r="P22" s="109">
        <v>-22078.460000000021</v>
      </c>
      <c r="Q22" s="49">
        <v>-8.9300000000000004E-2</v>
      </c>
      <c r="R22" s="68">
        <v>7.5344132678497764E-3</v>
      </c>
      <c r="S22" s="20" t="s">
        <v>161</v>
      </c>
    </row>
    <row r="23" spans="1:19" x14ac:dyDescent="0.25">
      <c r="A23" s="66" t="s">
        <v>82</v>
      </c>
      <c r="B23" s="44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26.96</v>
      </c>
      <c r="O23" s="102">
        <v>520808.19</v>
      </c>
      <c r="P23" s="110">
        <v>12683</v>
      </c>
      <c r="Q23" s="50">
        <v>2.5000000000000001E-2</v>
      </c>
      <c r="R23" s="68">
        <v>1.7422343769987667E-2</v>
      </c>
      <c r="S23" s="20" t="s">
        <v>161</v>
      </c>
    </row>
    <row r="24" spans="1:19" x14ac:dyDescent="0.25">
      <c r="A24" s="66" t="s">
        <v>82</v>
      </c>
      <c r="B24" s="44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26.96</v>
      </c>
      <c r="O24" s="102">
        <v>358139.79</v>
      </c>
      <c r="P24" s="110">
        <v>8721.609999999986</v>
      </c>
      <c r="Q24" s="50">
        <v>2.5000000000000001E-2</v>
      </c>
      <c r="R24" s="68">
        <v>1.1980676684618174E-2</v>
      </c>
      <c r="S24" s="20" t="s">
        <v>161</v>
      </c>
    </row>
    <row r="25" spans="1:19" x14ac:dyDescent="0.25">
      <c r="A25" s="66" t="s">
        <v>82</v>
      </c>
      <c r="B25" s="4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174.85</v>
      </c>
      <c r="O25" s="102">
        <v>90827.08</v>
      </c>
      <c r="P25" s="110">
        <v>4654.1600000000035</v>
      </c>
      <c r="Q25" s="50">
        <v>5.3999999999999999E-2</v>
      </c>
      <c r="R25" s="68">
        <v>3.0383942529478495E-3</v>
      </c>
      <c r="S25" s="20" t="s">
        <v>161</v>
      </c>
    </row>
    <row r="26" spans="1:19" x14ac:dyDescent="0.25">
      <c r="A26" s="66" t="s">
        <v>82</v>
      </c>
      <c r="B26" s="4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174.85</v>
      </c>
      <c r="O26" s="102">
        <v>108293.82</v>
      </c>
      <c r="P26" s="110">
        <v>5549.1900000000023</v>
      </c>
      <c r="Q26" s="50">
        <v>5.3999999999999999E-2</v>
      </c>
      <c r="R26" s="68">
        <v>3.6227006341915747E-3</v>
      </c>
      <c r="S26" s="20" t="s">
        <v>161</v>
      </c>
    </row>
    <row r="27" spans="1:19" x14ac:dyDescent="0.25">
      <c r="A27" s="66" t="s">
        <v>139</v>
      </c>
      <c r="B27" s="44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258</v>
      </c>
      <c r="J27" s="88">
        <v>1520.5979159999999</v>
      </c>
      <c r="K27" s="52">
        <v>392314.26</v>
      </c>
      <c r="L27" s="88">
        <v>1522.1854209999999</v>
      </c>
      <c r="M27" s="52">
        <v>392723.84</v>
      </c>
      <c r="N27" s="89">
        <v>1500.6579999999999</v>
      </c>
      <c r="O27" s="102">
        <v>386765.56</v>
      </c>
      <c r="P27" s="109">
        <v>-5958.2800000000279</v>
      </c>
      <c r="Q27" s="49">
        <v>-1.52E-2</v>
      </c>
      <c r="R27" s="68">
        <v>1.2938280683934314E-2</v>
      </c>
      <c r="S27" s="20" t="s">
        <v>162</v>
      </c>
    </row>
    <row r="28" spans="1:19" x14ac:dyDescent="0.25">
      <c r="A28" s="66" t="s">
        <v>139</v>
      </c>
      <c r="B28" s="44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222</v>
      </c>
      <c r="J28" s="88">
        <v>1520.5979159999999</v>
      </c>
      <c r="K28" s="52">
        <v>337572.74</v>
      </c>
      <c r="L28" s="88">
        <v>1522.1854209999999</v>
      </c>
      <c r="M28" s="52">
        <v>337925.16</v>
      </c>
      <c r="N28" s="89">
        <v>1500.6579999999999</v>
      </c>
      <c r="O28" s="102">
        <v>332798.27</v>
      </c>
      <c r="P28" s="109">
        <v>-5126.8899999999558</v>
      </c>
      <c r="Q28" s="49">
        <v>-1.52E-2</v>
      </c>
      <c r="R28" s="68">
        <v>1.1132939107576581E-2</v>
      </c>
      <c r="S28" s="20" t="s">
        <v>162</v>
      </c>
    </row>
    <row r="29" spans="1:19" x14ac:dyDescent="0.25">
      <c r="A29" s="66" t="s">
        <v>82</v>
      </c>
      <c r="B29" s="44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850</v>
      </c>
      <c r="J29" s="88">
        <v>232.99238</v>
      </c>
      <c r="K29" s="52">
        <v>198043.51999999999</v>
      </c>
      <c r="L29" s="88">
        <v>233.235624</v>
      </c>
      <c r="M29" s="52">
        <v>198250.28</v>
      </c>
      <c r="N29" s="89">
        <v>769.09</v>
      </c>
      <c r="O29" s="102">
        <v>653044.01</v>
      </c>
      <c r="P29" s="110">
        <v>454793.73</v>
      </c>
      <c r="Q29" s="50">
        <v>2.294</v>
      </c>
      <c r="R29" s="68">
        <v>2.1845964517476703E-2</v>
      </c>
      <c r="S29" s="20" t="s">
        <v>161</v>
      </c>
    </row>
    <row r="30" spans="1:19" x14ac:dyDescent="0.25">
      <c r="A30" s="66" t="s">
        <v>139</v>
      </c>
      <c r="B30" s="44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457.81212499999998</v>
      </c>
      <c r="O30" s="102">
        <v>571667.71</v>
      </c>
      <c r="P30" s="110">
        <v>7298.1199999999953</v>
      </c>
      <c r="Q30" s="50">
        <v>1.29E-2</v>
      </c>
      <c r="R30" s="68">
        <v>1.9123722623911918E-2</v>
      </c>
      <c r="S30" s="20" t="s">
        <v>162</v>
      </c>
    </row>
    <row r="31" spans="1:19" x14ac:dyDescent="0.25">
      <c r="A31" s="66" t="s">
        <v>139</v>
      </c>
      <c r="B31" s="44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457.81212499999998</v>
      </c>
      <c r="O31" s="102">
        <v>571667.71</v>
      </c>
      <c r="P31" s="110">
        <v>7298.1199999999953</v>
      </c>
      <c r="Q31" s="50">
        <v>1.29E-2</v>
      </c>
      <c r="R31" s="68">
        <v>1.9123722623911918E-2</v>
      </c>
      <c r="S31" s="20" t="s">
        <v>162</v>
      </c>
    </row>
    <row r="32" spans="1:19" x14ac:dyDescent="0.25">
      <c r="A32" s="66" t="s">
        <v>139</v>
      </c>
      <c r="B32" s="44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5696119.9199999999</v>
      </c>
      <c r="N32" s="89">
        <v>2052.0755250000002</v>
      </c>
      <c r="O32" s="102">
        <v>5432322.8700000001</v>
      </c>
      <c r="P32" s="109">
        <v>-263797.04999999981</v>
      </c>
      <c r="Q32" s="49">
        <v>-4.6300000000000001E-2</v>
      </c>
      <c r="R32" s="68">
        <v>0.18172486210461866</v>
      </c>
      <c r="S32" s="20" t="s">
        <v>162</v>
      </c>
    </row>
    <row r="33" spans="1:19" x14ac:dyDescent="0.25">
      <c r="A33" s="66" t="s">
        <v>139</v>
      </c>
      <c r="B33" s="44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7010730.46</v>
      </c>
      <c r="L33" s="88">
        <v>2149.4792130000001</v>
      </c>
      <c r="M33" s="52">
        <v>7018049.6399999997</v>
      </c>
      <c r="N33" s="89">
        <v>2052.0755250000002</v>
      </c>
      <c r="O33" s="102">
        <v>6693031.7699999996</v>
      </c>
      <c r="P33" s="109">
        <v>-325017.87000000011</v>
      </c>
      <c r="Q33" s="49">
        <v>-4.6300000000000001E-2</v>
      </c>
      <c r="R33" s="68">
        <v>0.22389874544866323</v>
      </c>
      <c r="S33" s="20" t="s">
        <v>162</v>
      </c>
    </row>
    <row r="34" spans="1:19" x14ac:dyDescent="0.25">
      <c r="A34" s="66" t="s">
        <v>139</v>
      </c>
      <c r="B34" s="44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2861</v>
      </c>
      <c r="J34" s="88">
        <v>1385.182047</v>
      </c>
      <c r="K34" s="52">
        <v>3963005.86</v>
      </c>
      <c r="L34" s="88">
        <v>1386.6281779999999</v>
      </c>
      <c r="M34" s="52">
        <v>3967143.23</v>
      </c>
      <c r="N34" s="89">
        <v>1541.1460500000001</v>
      </c>
      <c r="O34" s="102">
        <v>4404615.63</v>
      </c>
      <c r="P34" s="110">
        <v>437472.39999999991</v>
      </c>
      <c r="Q34" s="50">
        <v>0.1103</v>
      </c>
      <c r="R34" s="68">
        <v>0.14734547027864675</v>
      </c>
      <c r="S34" s="20" t="s">
        <v>162</v>
      </c>
    </row>
    <row r="35" spans="1:19" x14ac:dyDescent="0.25">
      <c r="A35" s="66" t="s">
        <v>139</v>
      </c>
      <c r="B35" s="44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237</v>
      </c>
      <c r="J35" s="88">
        <v>1385.182047</v>
      </c>
      <c r="K35" s="52">
        <v>328288.15000000002</v>
      </c>
      <c r="L35" s="88">
        <v>1386.6281779999999</v>
      </c>
      <c r="M35" s="52">
        <v>328630.88</v>
      </c>
      <c r="N35" s="89">
        <v>1541.1460500000001</v>
      </c>
      <c r="O35" s="102">
        <v>364870.29</v>
      </c>
      <c r="P35" s="110">
        <v>36239.409999999974</v>
      </c>
      <c r="Q35" s="50">
        <v>0.1103</v>
      </c>
      <c r="R35" s="68">
        <v>1.2205828836591631E-2</v>
      </c>
      <c r="S35" s="20" t="s">
        <v>162</v>
      </c>
    </row>
    <row r="36" spans="1:19" x14ac:dyDescent="0.25">
      <c r="A36" s="66" t="s">
        <v>139</v>
      </c>
      <c r="B36" s="44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77</v>
      </c>
      <c r="J36" s="88">
        <v>2823</v>
      </c>
      <c r="K36" s="52">
        <v>217371</v>
      </c>
      <c r="L36" s="88">
        <v>2825.947212</v>
      </c>
      <c r="M36" s="52">
        <v>217597.94</v>
      </c>
      <c r="N36" s="89">
        <v>3264.3026</v>
      </c>
      <c r="O36" s="102">
        <v>251088.89</v>
      </c>
      <c r="P36" s="110">
        <v>33490.950000000012</v>
      </c>
      <c r="Q36" s="50">
        <v>0.15390000000000001</v>
      </c>
      <c r="R36" s="68">
        <v>8.3995548503271802E-3</v>
      </c>
      <c r="S36" s="20" t="s">
        <v>162</v>
      </c>
    </row>
    <row r="37" spans="1:19" x14ac:dyDescent="0.25">
      <c r="A37" s="66" t="s">
        <v>139</v>
      </c>
      <c r="B37" s="44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63</v>
      </c>
      <c r="J37" s="88">
        <v>2823</v>
      </c>
      <c r="K37" s="52">
        <v>177849</v>
      </c>
      <c r="L37" s="88">
        <v>2825.947212</v>
      </c>
      <c r="M37" s="52">
        <v>178034.67</v>
      </c>
      <c r="N37" s="89">
        <v>3264.3026</v>
      </c>
      <c r="O37" s="102">
        <v>205436.36</v>
      </c>
      <c r="P37" s="110">
        <v>27401.689999999973</v>
      </c>
      <c r="Q37" s="50">
        <v>0.15390000000000001</v>
      </c>
      <c r="R37" s="68">
        <v>6.8723629073017146E-3</v>
      </c>
      <c r="S37" s="20" t="s">
        <v>162</v>
      </c>
    </row>
    <row r="38" spans="1:19" x14ac:dyDescent="0.25">
      <c r="A38" s="66" t="s">
        <v>139</v>
      </c>
      <c r="B38" s="44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912</v>
      </c>
      <c r="J38" s="88">
        <v>450.28642500000001</v>
      </c>
      <c r="K38" s="52">
        <v>410661.22</v>
      </c>
      <c r="L38" s="88">
        <v>450.75652400000001</v>
      </c>
      <c r="M38" s="52">
        <v>411089.95</v>
      </c>
      <c r="N38" s="89">
        <v>442.02550000000002</v>
      </c>
      <c r="O38" s="102">
        <v>402706.39</v>
      </c>
      <c r="P38" s="109">
        <v>-8383.5599999999977</v>
      </c>
      <c r="Q38" s="49">
        <v>-2.0400000000000001E-2</v>
      </c>
      <c r="R38" s="68">
        <v>1.347154153806745E-2</v>
      </c>
      <c r="S38" s="20" t="s">
        <v>162</v>
      </c>
    </row>
    <row r="39" spans="1:19" x14ac:dyDescent="0.25">
      <c r="A39" s="66" t="s">
        <v>139</v>
      </c>
      <c r="B39" s="44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716</v>
      </c>
      <c r="J39" s="88">
        <v>450.28642500000001</v>
      </c>
      <c r="K39" s="52">
        <v>322405.08</v>
      </c>
      <c r="L39" s="88">
        <v>450.75652400000001</v>
      </c>
      <c r="M39" s="52">
        <v>322741.67</v>
      </c>
      <c r="N39" s="89">
        <v>442.02550000000002</v>
      </c>
      <c r="O39" s="102">
        <v>316159.84000000003</v>
      </c>
      <c r="P39" s="109">
        <v>-6581.8299999999581</v>
      </c>
      <c r="Q39" s="49">
        <v>-2.0400000000000001E-2</v>
      </c>
      <c r="R39" s="68">
        <v>1.0576341779003703E-2</v>
      </c>
      <c r="S39" s="20" t="s">
        <v>162</v>
      </c>
    </row>
    <row r="40" spans="1:19" x14ac:dyDescent="0.25">
      <c r="A40" s="66" t="s">
        <v>139</v>
      </c>
      <c r="B40" s="44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459.669375</v>
      </c>
      <c r="O40" s="102">
        <v>252554.22</v>
      </c>
      <c r="P40" s="110">
        <v>95711.65</v>
      </c>
      <c r="Q40" s="50">
        <v>0.61019999999999996</v>
      </c>
      <c r="R40" s="68">
        <v>8.4485738240811757E-3</v>
      </c>
      <c r="S40" s="20" t="s">
        <v>162</v>
      </c>
    </row>
    <row r="41" spans="1:19" x14ac:dyDescent="0.25">
      <c r="A41" s="66" t="s">
        <v>139</v>
      </c>
      <c r="B41" s="44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459.669375</v>
      </c>
      <c r="O41" s="102">
        <v>252554.22</v>
      </c>
      <c r="P41" s="110">
        <v>95711.65</v>
      </c>
      <c r="Q41" s="50">
        <v>0.61019999999999996</v>
      </c>
      <c r="R41" s="68">
        <v>8.4485738240811757E-3</v>
      </c>
      <c r="S41" s="20" t="s">
        <v>162</v>
      </c>
    </row>
    <row r="42" spans="1:19" x14ac:dyDescent="0.25">
      <c r="A42" s="66" t="s">
        <v>139</v>
      </c>
      <c r="B42" s="44" t="s">
        <v>85</v>
      </c>
      <c r="C42" s="44" t="s">
        <v>155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70</v>
      </c>
      <c r="J42" s="88">
        <v>6249.7647049999996</v>
      </c>
      <c r="K42" s="52">
        <v>437483.53</v>
      </c>
      <c r="L42" s="88">
        <v>6256.28946</v>
      </c>
      <c r="M42" s="52">
        <v>437940.26</v>
      </c>
      <c r="N42" s="89">
        <v>6343.6230999999998</v>
      </c>
      <c r="O42" s="102">
        <v>443590.02</v>
      </c>
      <c r="P42" s="110">
        <v>5649.7600000000093</v>
      </c>
      <c r="Q42" s="50">
        <v>1.29E-2</v>
      </c>
      <c r="R42" s="68">
        <v>1.4839201782475244E-2</v>
      </c>
      <c r="S42" s="20" t="s">
        <v>162</v>
      </c>
    </row>
    <row r="43" spans="1:19" x14ac:dyDescent="0.25">
      <c r="A43" s="66" t="s">
        <v>139</v>
      </c>
      <c r="B43" s="44" t="s">
        <v>121</v>
      </c>
      <c r="C43" s="44" t="s">
        <v>155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15</v>
      </c>
      <c r="J43" s="88">
        <v>6249.7647049999996</v>
      </c>
      <c r="K43" s="52">
        <v>93746.47</v>
      </c>
      <c r="L43" s="88">
        <v>6256.28946</v>
      </c>
      <c r="M43" s="52">
        <v>93844.34</v>
      </c>
      <c r="N43" s="89">
        <v>6343.6230999999998</v>
      </c>
      <c r="O43" s="102">
        <v>95055</v>
      </c>
      <c r="P43" s="110">
        <v>1210.6600000000035</v>
      </c>
      <c r="Q43" s="50">
        <v>1.29E-2</v>
      </c>
      <c r="R43" s="68">
        <v>3.1798288100196308E-3</v>
      </c>
      <c r="S43" s="20" t="s">
        <v>162</v>
      </c>
    </row>
    <row r="44" spans="1:19" x14ac:dyDescent="0.25">
      <c r="A44" s="66" t="s">
        <v>82</v>
      </c>
      <c r="B44" s="44" t="s">
        <v>121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11800</v>
      </c>
      <c r="J44" s="88">
        <v>52.596811000000002</v>
      </c>
      <c r="K44" s="52">
        <v>620642.37</v>
      </c>
      <c r="L44" s="88">
        <v>52.651722999999997</v>
      </c>
      <c r="M44" s="52">
        <v>621290.32999999996</v>
      </c>
      <c r="N44" s="89">
        <v>56.4</v>
      </c>
      <c r="O44" s="102">
        <v>664825.18999999994</v>
      </c>
      <c r="P44" s="110">
        <v>43534.859999999986</v>
      </c>
      <c r="Q44" s="50">
        <v>7.0099999999999996E-2</v>
      </c>
      <c r="R44" s="68">
        <v>2.224007461773473E-2</v>
      </c>
      <c r="S44" s="20" t="s">
        <v>161</v>
      </c>
    </row>
    <row r="45" spans="1:19" x14ac:dyDescent="0.25">
      <c r="A45" s="66" t="s">
        <v>82</v>
      </c>
      <c r="B45" s="44" t="s">
        <v>85</v>
      </c>
      <c r="C45" s="44" t="s">
        <v>115</v>
      </c>
      <c r="D45" s="44" t="s">
        <v>94</v>
      </c>
      <c r="E45" s="44">
        <v>0</v>
      </c>
      <c r="F45" s="20">
        <v>0</v>
      </c>
      <c r="G45" s="20">
        <v>0</v>
      </c>
      <c r="H45" s="20">
        <v>0</v>
      </c>
      <c r="I45" s="34">
        <v>8000</v>
      </c>
      <c r="J45" s="88">
        <v>52.596811000000002</v>
      </c>
      <c r="K45" s="52">
        <v>420774.49</v>
      </c>
      <c r="L45" s="88">
        <v>52.651722999999997</v>
      </c>
      <c r="M45" s="52">
        <v>421213.78</v>
      </c>
      <c r="N45" s="89">
        <v>56.4</v>
      </c>
      <c r="O45" s="102">
        <v>450728.95</v>
      </c>
      <c r="P45" s="110">
        <v>29515.169999999984</v>
      </c>
      <c r="Q45" s="50">
        <v>7.0099999999999996E-2</v>
      </c>
      <c r="R45" s="68">
        <v>1.507801694513595E-2</v>
      </c>
      <c r="S45" s="20" t="s">
        <v>161</v>
      </c>
    </row>
    <row r="46" spans="1:19" x14ac:dyDescent="0.25">
      <c r="A46" s="98"/>
      <c r="B46" s="24"/>
      <c r="C46" s="24" t="s">
        <v>116</v>
      </c>
      <c r="D46" s="24" t="s">
        <v>50</v>
      </c>
      <c r="E46" s="24"/>
      <c r="F46" s="25"/>
      <c r="G46" s="25"/>
      <c r="H46" s="25"/>
      <c r="I46" s="25"/>
      <c r="J46" s="24"/>
      <c r="K46" s="39">
        <v>27205578.68</v>
      </c>
      <c r="L46" s="24"/>
      <c r="M46" s="39">
        <v>27233981.309999999</v>
      </c>
      <c r="N46" s="24"/>
      <c r="O46" s="39">
        <v>27642610.75</v>
      </c>
      <c r="P46" s="90">
        <v>408629.45</v>
      </c>
      <c r="Q46" s="91">
        <v>1.4999999999999999E-2</v>
      </c>
      <c r="R46" s="99">
        <v>0.92471484979231344</v>
      </c>
      <c r="S46" s="74"/>
    </row>
    <row r="47" spans="1:19" x14ac:dyDescent="0.25">
      <c r="A47" s="100"/>
      <c r="B47" s="21"/>
      <c r="C47" s="21"/>
      <c r="D47" s="21"/>
      <c r="E47" s="21"/>
      <c r="F47" s="22"/>
      <c r="G47" s="22"/>
      <c r="H47" s="22"/>
      <c r="I47" s="22"/>
      <c r="J47" s="21"/>
      <c r="K47" s="21"/>
      <c r="L47" s="21"/>
      <c r="M47" s="21"/>
      <c r="N47" s="21"/>
      <c r="O47" s="21"/>
      <c r="P47" s="23"/>
      <c r="Q47" s="23"/>
      <c r="R47" s="101"/>
      <c r="S47" s="72"/>
    </row>
    <row r="48" spans="1:19" x14ac:dyDescent="0.25">
      <c r="A48" s="66" t="s">
        <v>63</v>
      </c>
      <c r="B48" s="44" t="s">
        <v>85</v>
      </c>
      <c r="C48" s="44" t="s">
        <v>140</v>
      </c>
      <c r="D48" s="44">
        <v>280907</v>
      </c>
      <c r="E48" s="44" t="s">
        <v>21</v>
      </c>
      <c r="F48" s="20">
        <v>3</v>
      </c>
      <c r="G48" s="20">
        <v>6.95</v>
      </c>
      <c r="H48" s="20">
        <v>3</v>
      </c>
      <c r="I48" s="34">
        <v>11853</v>
      </c>
      <c r="J48" s="88">
        <v>100.726955</v>
      </c>
      <c r="K48" s="52">
        <v>1193916.6100000001</v>
      </c>
      <c r="L48" s="88">
        <v>100.726956</v>
      </c>
      <c r="M48" s="52">
        <v>1193916.6100000001</v>
      </c>
      <c r="N48" s="89">
        <v>100.726956</v>
      </c>
      <c r="O48" s="102">
        <v>1193916.6100000001</v>
      </c>
      <c r="P48" s="109">
        <v>0</v>
      </c>
      <c r="Q48" s="35"/>
      <c r="R48" s="68">
        <v>3.9939513263257821E-2</v>
      </c>
      <c r="S48" s="20"/>
    </row>
    <row r="49" spans="1:19" x14ac:dyDescent="0.25">
      <c r="A49" s="66" t="s">
        <v>63</v>
      </c>
      <c r="B49" s="44" t="s">
        <v>86</v>
      </c>
      <c r="C49" s="44" t="s">
        <v>140</v>
      </c>
      <c r="D49" s="44">
        <v>280907</v>
      </c>
      <c r="E49" s="44" t="s">
        <v>21</v>
      </c>
      <c r="F49" s="20">
        <v>3</v>
      </c>
      <c r="G49" s="20">
        <v>6.95</v>
      </c>
      <c r="H49" s="20">
        <v>3</v>
      </c>
      <c r="I49" s="34">
        <v>607</v>
      </c>
      <c r="J49" s="88">
        <v>100.726955</v>
      </c>
      <c r="K49" s="52">
        <v>61141.26</v>
      </c>
      <c r="L49" s="88">
        <v>100.726956</v>
      </c>
      <c r="M49" s="52">
        <v>61141.26</v>
      </c>
      <c r="N49" s="89">
        <v>100.726956</v>
      </c>
      <c r="O49" s="102">
        <v>61141.26</v>
      </c>
      <c r="P49" s="109">
        <v>0</v>
      </c>
      <c r="Q49" s="35"/>
      <c r="R49" s="68">
        <v>2.0453289151428212E-3</v>
      </c>
      <c r="S49" s="20"/>
    </row>
    <row r="50" spans="1:19" x14ac:dyDescent="0.25">
      <c r="A50" s="66" t="s">
        <v>63</v>
      </c>
      <c r="B50" s="44" t="s">
        <v>121</v>
      </c>
      <c r="C50" s="44" t="s">
        <v>140</v>
      </c>
      <c r="D50" s="44">
        <v>280907</v>
      </c>
      <c r="E50" s="44" t="s">
        <v>21</v>
      </c>
      <c r="F50" s="20">
        <v>3</v>
      </c>
      <c r="G50" s="20">
        <v>6.95</v>
      </c>
      <c r="H50" s="20">
        <v>3</v>
      </c>
      <c r="I50" s="34">
        <v>9882</v>
      </c>
      <c r="J50" s="88">
        <v>100.726955</v>
      </c>
      <c r="K50" s="52">
        <v>995383.78</v>
      </c>
      <c r="L50" s="88">
        <v>100.726956</v>
      </c>
      <c r="M50" s="52">
        <v>995383.78</v>
      </c>
      <c r="N50" s="89">
        <v>100.726956</v>
      </c>
      <c r="O50" s="102">
        <v>995383.78</v>
      </c>
      <c r="P50" s="109">
        <v>0</v>
      </c>
      <c r="Q50" s="35"/>
      <c r="R50" s="68">
        <v>3.3298090796593995E-2</v>
      </c>
      <c r="S50" s="20"/>
    </row>
    <row r="51" spans="1:19" x14ac:dyDescent="0.25">
      <c r="A51" s="98"/>
      <c r="B51" s="24"/>
      <c r="C51" s="24" t="s">
        <v>49</v>
      </c>
      <c r="D51" s="24" t="s">
        <v>50</v>
      </c>
      <c r="E51" s="24"/>
      <c r="F51" s="25"/>
      <c r="G51" s="25"/>
      <c r="H51" s="25"/>
      <c r="I51" s="25"/>
      <c r="J51" s="24"/>
      <c r="K51" s="39">
        <v>2250441.65</v>
      </c>
      <c r="L51" s="24"/>
      <c r="M51" s="39">
        <v>2250441.65</v>
      </c>
      <c r="N51" s="24"/>
      <c r="O51" s="39">
        <v>2250441.65</v>
      </c>
      <c r="P51" s="75">
        <v>0</v>
      </c>
      <c r="Q51" s="26"/>
      <c r="R51" s="99">
        <v>7.5283000000000003E-2</v>
      </c>
      <c r="S51" s="74"/>
    </row>
    <row r="52" spans="1:19" x14ac:dyDescent="0.25">
      <c r="A52" s="104"/>
      <c r="B52" s="105"/>
      <c r="C52" s="105"/>
      <c r="D52" s="105"/>
      <c r="E52" s="105"/>
      <c r="F52" s="106"/>
      <c r="G52" s="106"/>
      <c r="H52" s="106"/>
      <c r="I52" s="106"/>
      <c r="J52" s="105"/>
      <c r="K52" s="105"/>
      <c r="L52" s="105"/>
      <c r="M52" s="105"/>
      <c r="N52" s="105"/>
      <c r="O52" s="105"/>
      <c r="P52" s="107"/>
      <c r="Q52" s="107"/>
      <c r="R52" s="108"/>
    </row>
    <row r="53" spans="1:19" x14ac:dyDescent="0.25">
      <c r="A53" s="21"/>
      <c r="B53" s="21" t="s">
        <v>85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13.26</v>
      </c>
      <c r="P53" s="23"/>
      <c r="Q53" s="23"/>
      <c r="R53" s="22"/>
    </row>
    <row r="54" spans="1:19" x14ac:dyDescent="0.25">
      <c r="A54" s="21"/>
      <c r="B54" s="21" t="s">
        <v>86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26.56</v>
      </c>
      <c r="P54" s="23"/>
      <c r="Q54" s="23"/>
      <c r="R54" s="22"/>
    </row>
    <row r="55" spans="1:19" x14ac:dyDescent="0.25">
      <c r="A55" s="21"/>
      <c r="B55" s="21" t="s">
        <v>121</v>
      </c>
      <c r="C55" s="21" t="s">
        <v>51</v>
      </c>
      <c r="D55" s="21" t="s">
        <v>50</v>
      </c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40">
        <v>26.44</v>
      </c>
      <c r="P55" s="23"/>
      <c r="Q55" s="23"/>
      <c r="R55" s="22"/>
    </row>
    <row r="57" spans="1:19" x14ac:dyDescent="0.25">
      <c r="A57" s="24"/>
      <c r="B57" s="24"/>
      <c r="C57" s="24" t="s">
        <v>52</v>
      </c>
      <c r="D57" s="24" t="s">
        <v>50</v>
      </c>
      <c r="E57" s="24"/>
      <c r="F57" s="25"/>
      <c r="G57" s="25"/>
      <c r="H57" s="25"/>
      <c r="I57" s="25"/>
      <c r="J57" s="24"/>
      <c r="K57" s="24"/>
      <c r="L57" s="24"/>
      <c r="M57" s="24"/>
      <c r="N57" s="24"/>
      <c r="O57" s="39">
        <v>0</v>
      </c>
      <c r="P57" s="26"/>
      <c r="Q57" s="26"/>
      <c r="R57" s="25"/>
    </row>
    <row r="59" spans="1:19" x14ac:dyDescent="0.25">
      <c r="A59" s="27"/>
      <c r="B59" s="27"/>
      <c r="C59" s="27" t="s">
        <v>53</v>
      </c>
      <c r="D59" s="27"/>
      <c r="E59" s="27"/>
      <c r="F59" s="28"/>
      <c r="G59" s="28"/>
      <c r="H59" s="28"/>
      <c r="I59" s="28"/>
      <c r="J59" s="27"/>
      <c r="K59" s="27"/>
      <c r="L59" s="27"/>
      <c r="M59" s="27"/>
      <c r="N59" s="27"/>
      <c r="O59" s="41">
        <v>29893118.68</v>
      </c>
      <c r="P59" s="29"/>
      <c r="Q59" s="29"/>
      <c r="R59" s="28"/>
    </row>
    <row r="61" spans="1:19" x14ac:dyDescent="0.25">
      <c r="A61" s="21"/>
      <c r="B61" s="21"/>
      <c r="C61" s="21" t="s">
        <v>26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66.27</v>
      </c>
      <c r="P61" s="23"/>
      <c r="Q61" s="23"/>
      <c r="R61" s="22"/>
    </row>
    <row r="62" spans="1:19" x14ac:dyDescent="0.25">
      <c r="A62" s="21"/>
      <c r="B62" s="21"/>
      <c r="C62" s="21" t="s">
        <v>54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2250507.92</v>
      </c>
      <c r="P62" s="23"/>
      <c r="Q62" s="23"/>
      <c r="R62" s="22"/>
    </row>
    <row r="63" spans="1:19" x14ac:dyDescent="0.25">
      <c r="A63" s="21"/>
      <c r="B63" s="21"/>
      <c r="C63" s="21" t="s">
        <v>55</v>
      </c>
      <c r="D63" s="21"/>
      <c r="E63" s="21"/>
      <c r="F63" s="22"/>
      <c r="G63" s="22"/>
      <c r="H63" s="22"/>
      <c r="I63" s="22"/>
      <c r="J63" s="21"/>
      <c r="K63" s="21"/>
      <c r="L63" s="21"/>
      <c r="M63" s="21"/>
      <c r="N63" s="21"/>
      <c r="O63" s="40">
        <v>0</v>
      </c>
      <c r="P63" s="23"/>
      <c r="Q63" s="23"/>
      <c r="R63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7474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475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638175</xdr:colOff>
                    <xdr:row>3</xdr:row>
                    <xdr:rowOff>171450</xdr:rowOff>
                  </from>
                  <to>
                    <xdr:col>20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476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8DEE5-CB64-452B-94D7-00827F8A71DE}">
  <dimension ref="A1:R150"/>
  <sheetViews>
    <sheetView workbookViewId="0">
      <selection activeCell="Q3" sqref="Q3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21.7109375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B3" s="113"/>
      <c r="R3" s="65"/>
    </row>
    <row r="4" spans="1:18" x14ac:dyDescent="0.25">
      <c r="A4" s="69" t="s">
        <v>12</v>
      </c>
      <c r="B4" s="114"/>
      <c r="C4" s="36">
        <v>105433</v>
      </c>
      <c r="D4" s="37" t="s">
        <v>13</v>
      </c>
      <c r="F4" s="38" t="s">
        <v>123</v>
      </c>
      <c r="K4" s="37" t="s">
        <v>118</v>
      </c>
      <c r="L4" t="s">
        <v>166</v>
      </c>
      <c r="R4" s="65"/>
    </row>
    <row r="5" spans="1:18" x14ac:dyDescent="0.25">
      <c r="A5" s="69" t="s">
        <v>14</v>
      </c>
      <c r="B5" s="114"/>
      <c r="C5" s="36" t="s">
        <v>15</v>
      </c>
      <c r="D5" s="37" t="s">
        <v>16</v>
      </c>
      <c r="F5" s="38" t="s">
        <v>143</v>
      </c>
      <c r="R5" s="65"/>
    </row>
    <row r="6" spans="1:18" x14ac:dyDescent="0.25">
      <c r="A6" s="64"/>
      <c r="B6" s="113"/>
      <c r="R6" s="65"/>
    </row>
    <row r="7" spans="1:18" x14ac:dyDescent="0.25">
      <c r="A7" s="17" t="s">
        <v>64</v>
      </c>
      <c r="B7" s="115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15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116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61"/>
      <c r="L9" s="44"/>
      <c r="M9" s="44"/>
      <c r="N9" s="44"/>
      <c r="O9" s="59"/>
      <c r="P9" s="44" t="s">
        <v>21</v>
      </c>
      <c r="Q9" s="44">
        <v>0</v>
      </c>
      <c r="R9" s="70">
        <v>13.26</v>
      </c>
    </row>
    <row r="10" spans="1:18" x14ac:dyDescent="0.25">
      <c r="A10" s="66" t="s">
        <v>80</v>
      </c>
      <c r="B10" s="116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61"/>
      <c r="L10" s="44"/>
      <c r="M10" s="44"/>
      <c r="N10" s="44"/>
      <c r="O10" s="59"/>
      <c r="P10" s="44" t="s">
        <v>21</v>
      </c>
      <c r="Q10" s="44">
        <v>0</v>
      </c>
      <c r="R10" s="70">
        <v>26.56</v>
      </c>
    </row>
    <row r="11" spans="1:18" x14ac:dyDescent="0.25">
      <c r="A11" s="66" t="s">
        <v>80</v>
      </c>
      <c r="B11" s="116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61"/>
      <c r="L11" s="44"/>
      <c r="M11" s="44"/>
      <c r="N11" s="44"/>
      <c r="O11" s="59"/>
      <c r="P11" s="44" t="s">
        <v>21</v>
      </c>
      <c r="Q11" s="44">
        <v>0</v>
      </c>
      <c r="R11" s="70">
        <v>26.44</v>
      </c>
    </row>
    <row r="12" spans="1:18" x14ac:dyDescent="0.25">
      <c r="A12" s="66" t="s">
        <v>82</v>
      </c>
      <c r="B12" s="116" t="s">
        <v>85</v>
      </c>
      <c r="C12" s="60">
        <v>45961</v>
      </c>
      <c r="D12" s="60">
        <v>45964</v>
      </c>
      <c r="E12" s="44">
        <v>627554</v>
      </c>
      <c r="F12" s="44" t="s">
        <v>83</v>
      </c>
      <c r="G12" s="44" t="s">
        <v>140</v>
      </c>
      <c r="H12" s="44">
        <v>280907</v>
      </c>
      <c r="I12" s="44">
        <v>3</v>
      </c>
      <c r="J12" s="52">
        <v>691.47628412854647</v>
      </c>
      <c r="K12" s="61">
        <v>100.78529399999999</v>
      </c>
      <c r="L12" s="44">
        <v>11853</v>
      </c>
      <c r="M12" s="52">
        <v>1194608.0852470659</v>
      </c>
      <c r="N12" s="44"/>
      <c r="O12" s="59"/>
      <c r="P12" s="44" t="s">
        <v>81</v>
      </c>
      <c r="Q12" s="52">
        <v>1194608.0852470659</v>
      </c>
      <c r="R12" s="71">
        <v>1194621.3500000001</v>
      </c>
    </row>
    <row r="13" spans="1:18" x14ac:dyDescent="0.25">
      <c r="A13" s="66" t="s">
        <v>82</v>
      </c>
      <c r="B13" s="116" t="s">
        <v>86</v>
      </c>
      <c r="C13" s="60">
        <v>45961</v>
      </c>
      <c r="D13" s="60">
        <v>45964</v>
      </c>
      <c r="E13" s="44">
        <v>627554</v>
      </c>
      <c r="F13" s="44" t="s">
        <v>83</v>
      </c>
      <c r="G13" s="44" t="s">
        <v>140</v>
      </c>
      <c r="H13" s="44">
        <v>280907</v>
      </c>
      <c r="I13" s="44">
        <v>3</v>
      </c>
      <c r="J13" s="52">
        <v>35.41095962760717</v>
      </c>
      <c r="K13" s="61">
        <v>100.78529399999999</v>
      </c>
      <c r="L13" s="44">
        <v>607</v>
      </c>
      <c r="M13" s="52">
        <v>61176.673225763014</v>
      </c>
      <c r="N13" s="44"/>
      <c r="O13" s="59"/>
      <c r="P13" s="44" t="s">
        <v>81</v>
      </c>
      <c r="Q13" s="52">
        <v>61176.673225763014</v>
      </c>
      <c r="R13" s="71">
        <v>61203.23</v>
      </c>
    </row>
    <row r="14" spans="1:18" x14ac:dyDescent="0.25">
      <c r="A14" s="66" t="s">
        <v>82</v>
      </c>
      <c r="B14" s="116" t="s">
        <v>121</v>
      </c>
      <c r="C14" s="60">
        <v>45961</v>
      </c>
      <c r="D14" s="60">
        <v>45964</v>
      </c>
      <c r="E14" s="44">
        <v>627554</v>
      </c>
      <c r="F14" s="44" t="s">
        <v>83</v>
      </c>
      <c r="G14" s="44" t="s">
        <v>140</v>
      </c>
      <c r="H14" s="44">
        <v>280907</v>
      </c>
      <c r="I14" s="44">
        <v>3</v>
      </c>
      <c r="J14" s="52">
        <v>576.49275624384518</v>
      </c>
      <c r="K14" s="61">
        <v>100.78529399999999</v>
      </c>
      <c r="L14" s="44">
        <v>9882</v>
      </c>
      <c r="M14" s="52">
        <v>995960.27152716659</v>
      </c>
      <c r="N14" s="44"/>
      <c r="O14" s="59"/>
      <c r="P14" s="44" t="s">
        <v>81</v>
      </c>
      <c r="Q14" s="52">
        <v>995960.27152716659</v>
      </c>
      <c r="R14" s="71">
        <v>995986.71</v>
      </c>
    </row>
    <row r="15" spans="1:18" x14ac:dyDescent="0.25">
      <c r="A15" s="66" t="s">
        <v>82</v>
      </c>
      <c r="B15" s="116" t="s">
        <v>85</v>
      </c>
      <c r="C15" s="60">
        <v>45964</v>
      </c>
      <c r="D15" s="60">
        <v>45964</v>
      </c>
      <c r="E15" s="44">
        <v>630081</v>
      </c>
      <c r="F15" s="44" t="s">
        <v>124</v>
      </c>
      <c r="G15" s="44" t="s">
        <v>140</v>
      </c>
      <c r="H15" s="44">
        <v>280907</v>
      </c>
      <c r="I15" s="44">
        <v>1</v>
      </c>
      <c r="J15" s="44">
        <v>6.95</v>
      </c>
      <c r="K15" s="61">
        <v>100.78428599999999</v>
      </c>
      <c r="L15" s="44">
        <v>11903</v>
      </c>
      <c r="M15" s="52">
        <v>1199635.3543732197</v>
      </c>
      <c r="N15" s="44"/>
      <c r="O15" s="59"/>
      <c r="P15" s="44" t="s">
        <v>125</v>
      </c>
      <c r="Q15" s="52">
        <v>1199635.3543732197</v>
      </c>
      <c r="R15" s="71">
        <v>-5014</v>
      </c>
    </row>
    <row r="16" spans="1:18" x14ac:dyDescent="0.25">
      <c r="A16" s="66" t="s">
        <v>82</v>
      </c>
      <c r="B16" s="116" t="s">
        <v>86</v>
      </c>
      <c r="C16" s="60">
        <v>45964</v>
      </c>
      <c r="D16" s="60">
        <v>45964</v>
      </c>
      <c r="E16" s="44">
        <v>630081</v>
      </c>
      <c r="F16" s="44" t="s">
        <v>124</v>
      </c>
      <c r="G16" s="44" t="s">
        <v>140</v>
      </c>
      <c r="H16" s="44">
        <v>280907</v>
      </c>
      <c r="I16" s="44">
        <v>1</v>
      </c>
      <c r="J16" s="44">
        <v>6.95</v>
      </c>
      <c r="K16" s="61">
        <v>100.78428599999999</v>
      </c>
      <c r="L16" s="44">
        <v>607</v>
      </c>
      <c r="M16" s="52">
        <v>61176.061505884587</v>
      </c>
      <c r="N16" s="44"/>
      <c r="O16" s="59"/>
      <c r="P16" s="44" t="s">
        <v>125</v>
      </c>
      <c r="Q16" s="52">
        <v>61176.061505884587</v>
      </c>
      <c r="R16" s="71">
        <v>27.17</v>
      </c>
    </row>
    <row r="17" spans="1:18" x14ac:dyDescent="0.25">
      <c r="A17" s="66" t="s">
        <v>82</v>
      </c>
      <c r="B17" s="116" t="s">
        <v>121</v>
      </c>
      <c r="C17" s="60">
        <v>45964</v>
      </c>
      <c r="D17" s="60">
        <v>45964</v>
      </c>
      <c r="E17" s="44">
        <v>630081</v>
      </c>
      <c r="F17" s="44" t="s">
        <v>124</v>
      </c>
      <c r="G17" s="44" t="s">
        <v>140</v>
      </c>
      <c r="H17" s="44">
        <v>280907</v>
      </c>
      <c r="I17" s="44">
        <v>1</v>
      </c>
      <c r="J17" s="44">
        <v>6.95</v>
      </c>
      <c r="K17" s="61">
        <v>100.78428599999999</v>
      </c>
      <c r="L17" s="44">
        <v>9922</v>
      </c>
      <c r="M17" s="52">
        <v>999981.68412090081</v>
      </c>
      <c r="N17" s="44"/>
      <c r="O17" s="59"/>
      <c r="P17" s="44" t="s">
        <v>125</v>
      </c>
      <c r="Q17" s="52">
        <v>999981.68412090081</v>
      </c>
      <c r="R17" s="71">
        <v>-3994.97</v>
      </c>
    </row>
    <row r="18" spans="1:18" x14ac:dyDescent="0.25">
      <c r="A18" s="66" t="s">
        <v>80</v>
      </c>
      <c r="B18" s="116" t="s">
        <v>85</v>
      </c>
      <c r="C18" s="60">
        <v>45964</v>
      </c>
      <c r="D18" s="60">
        <v>45964</v>
      </c>
      <c r="E18" s="44">
        <v>856197</v>
      </c>
      <c r="F18" s="44" t="s">
        <v>163</v>
      </c>
      <c r="G18" s="44" t="s">
        <v>146</v>
      </c>
      <c r="H18" s="44">
        <v>12</v>
      </c>
      <c r="I18" s="44"/>
      <c r="J18" s="44"/>
      <c r="K18" s="61"/>
      <c r="L18" s="44"/>
      <c r="M18" s="52">
        <v>5075.25</v>
      </c>
      <c r="N18" s="44"/>
      <c r="O18" s="59"/>
      <c r="P18" s="44" t="s">
        <v>81</v>
      </c>
      <c r="Q18" s="52">
        <v>5075.25</v>
      </c>
      <c r="R18" s="70">
        <v>61.25</v>
      </c>
    </row>
    <row r="19" spans="1:18" x14ac:dyDescent="0.25">
      <c r="A19" s="66" t="s">
        <v>80</v>
      </c>
      <c r="B19" s="116" t="s">
        <v>121</v>
      </c>
      <c r="C19" s="60">
        <v>45964</v>
      </c>
      <c r="D19" s="60">
        <v>45964</v>
      </c>
      <c r="E19" s="44">
        <v>856197</v>
      </c>
      <c r="F19" s="44" t="s">
        <v>163</v>
      </c>
      <c r="G19" s="44" t="s">
        <v>146</v>
      </c>
      <c r="H19" s="44">
        <v>12</v>
      </c>
      <c r="I19" s="44"/>
      <c r="J19" s="44"/>
      <c r="K19" s="61"/>
      <c r="L19" s="44"/>
      <c r="M19" s="52">
        <v>3978.75</v>
      </c>
      <c r="N19" s="44"/>
      <c r="O19" s="59"/>
      <c r="P19" s="44" t="s">
        <v>81</v>
      </c>
      <c r="Q19" s="52">
        <v>3978.75</v>
      </c>
      <c r="R19" s="70">
        <v>-16.22</v>
      </c>
    </row>
    <row r="20" spans="1:18" x14ac:dyDescent="0.25">
      <c r="A20" s="66" t="s">
        <v>82</v>
      </c>
      <c r="B20" s="116" t="s">
        <v>85</v>
      </c>
      <c r="C20" s="60">
        <v>45964</v>
      </c>
      <c r="D20" s="60">
        <v>45965</v>
      </c>
      <c r="E20" s="44">
        <v>630081</v>
      </c>
      <c r="F20" s="44" t="s">
        <v>83</v>
      </c>
      <c r="G20" s="44" t="s">
        <v>140</v>
      </c>
      <c r="H20" s="44">
        <v>280907</v>
      </c>
      <c r="I20" s="44">
        <v>1</v>
      </c>
      <c r="J20" s="44">
        <v>231.59167038159748</v>
      </c>
      <c r="K20" s="61">
        <v>100.803742</v>
      </c>
      <c r="L20" s="44">
        <v>11903</v>
      </c>
      <c r="M20" s="52">
        <v>1199866.9460436024</v>
      </c>
      <c r="N20" s="44"/>
      <c r="O20" s="59"/>
      <c r="P20" s="44" t="s">
        <v>81</v>
      </c>
      <c r="Q20" s="52">
        <v>1199866.9460436024</v>
      </c>
      <c r="R20" s="71">
        <v>1199928.2</v>
      </c>
    </row>
    <row r="21" spans="1:18" x14ac:dyDescent="0.25">
      <c r="A21" s="66" t="s">
        <v>82</v>
      </c>
      <c r="B21" s="116" t="s">
        <v>86</v>
      </c>
      <c r="C21" s="60">
        <v>45964</v>
      </c>
      <c r="D21" s="60">
        <v>45965</v>
      </c>
      <c r="E21" s="44">
        <v>630081</v>
      </c>
      <c r="F21" s="44" t="s">
        <v>83</v>
      </c>
      <c r="G21" s="44" t="s">
        <v>140</v>
      </c>
      <c r="H21" s="44">
        <v>280907</v>
      </c>
      <c r="I21" s="44">
        <v>1</v>
      </c>
      <c r="J21" s="44">
        <v>11.810143990727521</v>
      </c>
      <c r="K21" s="61">
        <v>100.803742</v>
      </c>
      <c r="L21" s="44">
        <v>607</v>
      </c>
      <c r="M21" s="52">
        <v>61187.871649875386</v>
      </c>
      <c r="N21" s="44"/>
      <c r="O21" s="59"/>
      <c r="P21" s="44" t="s">
        <v>81</v>
      </c>
      <c r="Q21" s="52">
        <v>61187.871649875386</v>
      </c>
      <c r="R21" s="71">
        <v>61215.040000000001</v>
      </c>
    </row>
    <row r="22" spans="1:18" x14ac:dyDescent="0.25">
      <c r="A22" s="66" t="s">
        <v>82</v>
      </c>
      <c r="B22" s="116" t="s">
        <v>121</v>
      </c>
      <c r="C22" s="60">
        <v>45964</v>
      </c>
      <c r="D22" s="60">
        <v>45965</v>
      </c>
      <c r="E22" s="44">
        <v>630081</v>
      </c>
      <c r="F22" s="44" t="s">
        <v>83</v>
      </c>
      <c r="G22" s="44" t="s">
        <v>140</v>
      </c>
      <c r="H22" s="44">
        <v>280907</v>
      </c>
      <c r="I22" s="44">
        <v>1</v>
      </c>
      <c r="J22" s="44">
        <v>193.04818562767457</v>
      </c>
      <c r="K22" s="61">
        <v>100.803742</v>
      </c>
      <c r="L22" s="44">
        <v>9922</v>
      </c>
      <c r="M22" s="52">
        <v>1000174.7323065298</v>
      </c>
      <c r="N22" s="44"/>
      <c r="O22" s="59"/>
      <c r="P22" s="44" t="s">
        <v>81</v>
      </c>
      <c r="Q22" s="52">
        <v>1000174.7323065298</v>
      </c>
      <c r="R22" s="71">
        <v>1000158.51</v>
      </c>
    </row>
    <row r="23" spans="1:18" x14ac:dyDescent="0.25">
      <c r="A23" s="66" t="s">
        <v>82</v>
      </c>
      <c r="B23" s="116" t="s">
        <v>85</v>
      </c>
      <c r="C23" s="60">
        <v>45965</v>
      </c>
      <c r="D23" s="60">
        <v>45965</v>
      </c>
      <c r="E23" s="44">
        <v>631078</v>
      </c>
      <c r="F23" s="44" t="s">
        <v>124</v>
      </c>
      <c r="G23" s="44" t="s">
        <v>140</v>
      </c>
      <c r="H23" s="44">
        <v>280907</v>
      </c>
      <c r="I23" s="44">
        <v>1</v>
      </c>
      <c r="J23" s="44">
        <v>6.95</v>
      </c>
      <c r="K23" s="61">
        <v>100.796868</v>
      </c>
      <c r="L23" s="44">
        <v>11924</v>
      </c>
      <c r="M23" s="52">
        <v>1201901.8516103788</v>
      </c>
      <c r="N23" s="44"/>
      <c r="O23" s="59"/>
      <c r="P23" s="44" t="s">
        <v>125</v>
      </c>
      <c r="Q23" s="52">
        <v>1201901.8516103788</v>
      </c>
      <c r="R23" s="71">
        <v>-1973.65</v>
      </c>
    </row>
    <row r="24" spans="1:18" x14ac:dyDescent="0.25">
      <c r="A24" s="66" t="s">
        <v>82</v>
      </c>
      <c r="B24" s="116" t="s">
        <v>86</v>
      </c>
      <c r="C24" s="60">
        <v>45965</v>
      </c>
      <c r="D24" s="60">
        <v>45965</v>
      </c>
      <c r="E24" s="44">
        <v>631078</v>
      </c>
      <c r="F24" s="44" t="s">
        <v>124</v>
      </c>
      <c r="G24" s="44" t="s">
        <v>140</v>
      </c>
      <c r="H24" s="44">
        <v>280907</v>
      </c>
      <c r="I24" s="44">
        <v>1</v>
      </c>
      <c r="J24" s="44">
        <v>6.95</v>
      </c>
      <c r="K24" s="61">
        <v>100.796868</v>
      </c>
      <c r="L24" s="44">
        <v>607</v>
      </c>
      <c r="M24" s="52">
        <v>61183.698752725584</v>
      </c>
      <c r="N24" s="44"/>
      <c r="O24" s="59"/>
      <c r="P24" s="44" t="s">
        <v>125</v>
      </c>
      <c r="Q24" s="52">
        <v>61183.698752725584</v>
      </c>
      <c r="R24" s="71">
        <v>31.34</v>
      </c>
    </row>
    <row r="25" spans="1:18" x14ac:dyDescent="0.25">
      <c r="A25" s="66" t="s">
        <v>82</v>
      </c>
      <c r="B25" s="116" t="s">
        <v>121</v>
      </c>
      <c r="C25" s="60">
        <v>45965</v>
      </c>
      <c r="D25" s="60">
        <v>45965</v>
      </c>
      <c r="E25" s="44">
        <v>631078</v>
      </c>
      <c r="F25" s="44" t="s">
        <v>124</v>
      </c>
      <c r="G25" s="44" t="s">
        <v>140</v>
      </c>
      <c r="H25" s="44">
        <v>280907</v>
      </c>
      <c r="I25" s="44">
        <v>1</v>
      </c>
      <c r="J25" s="44">
        <v>6.95</v>
      </c>
      <c r="K25" s="61">
        <v>100.796868</v>
      </c>
      <c r="L25" s="44">
        <v>9942</v>
      </c>
      <c r="M25" s="52">
        <v>1002122.4596368991</v>
      </c>
      <c r="N25" s="44"/>
      <c r="O25" s="59"/>
      <c r="P25" s="44" t="s">
        <v>125</v>
      </c>
      <c r="Q25" s="52">
        <v>1002122.4596368991</v>
      </c>
      <c r="R25" s="71">
        <v>-1963.95</v>
      </c>
    </row>
    <row r="26" spans="1:18" x14ac:dyDescent="0.25">
      <c r="A26" s="66" t="s">
        <v>80</v>
      </c>
      <c r="B26" s="116" t="s">
        <v>85</v>
      </c>
      <c r="C26" s="60">
        <v>45965</v>
      </c>
      <c r="D26" s="60">
        <v>45965</v>
      </c>
      <c r="E26" s="44">
        <v>856210</v>
      </c>
      <c r="F26" s="44" t="s">
        <v>148</v>
      </c>
      <c r="G26" s="44" t="s">
        <v>145</v>
      </c>
      <c r="H26" s="44" t="s">
        <v>94</v>
      </c>
      <c r="I26" s="44"/>
      <c r="J26" s="44"/>
      <c r="K26" s="61"/>
      <c r="L26" s="44"/>
      <c r="M26" s="52">
        <v>1975.78</v>
      </c>
      <c r="N26" s="44"/>
      <c r="O26" s="59"/>
      <c r="P26" s="44" t="s">
        <v>81</v>
      </c>
      <c r="Q26" s="52">
        <v>1975.78</v>
      </c>
      <c r="R26" s="70">
        <v>2.13</v>
      </c>
    </row>
    <row r="27" spans="1:18" x14ac:dyDescent="0.25">
      <c r="A27" s="66" t="s">
        <v>80</v>
      </c>
      <c r="B27" s="116" t="s">
        <v>121</v>
      </c>
      <c r="C27" s="60">
        <v>45965</v>
      </c>
      <c r="D27" s="60">
        <v>45965</v>
      </c>
      <c r="E27" s="44">
        <v>856210</v>
      </c>
      <c r="F27" s="44" t="s">
        <v>148</v>
      </c>
      <c r="G27" s="44" t="s">
        <v>145</v>
      </c>
      <c r="H27" s="44" t="s">
        <v>94</v>
      </c>
      <c r="I27" s="44"/>
      <c r="J27" s="44"/>
      <c r="K27" s="61"/>
      <c r="L27" s="44"/>
      <c r="M27" s="52">
        <v>1975.7759000000001</v>
      </c>
      <c r="N27" s="44"/>
      <c r="O27" s="59"/>
      <c r="P27" s="44" t="s">
        <v>81</v>
      </c>
      <c r="Q27" s="52">
        <v>1975.7759000000001</v>
      </c>
      <c r="R27" s="70">
        <v>11.83</v>
      </c>
    </row>
    <row r="28" spans="1:18" x14ac:dyDescent="0.25">
      <c r="A28" s="66" t="s">
        <v>82</v>
      </c>
      <c r="B28" s="116" t="s">
        <v>85</v>
      </c>
      <c r="C28" s="60">
        <v>45965</v>
      </c>
      <c r="D28" s="60">
        <v>45966</v>
      </c>
      <c r="E28" s="44">
        <v>631078</v>
      </c>
      <c r="F28" s="44" t="s">
        <v>83</v>
      </c>
      <c r="G28" s="44" t="s">
        <v>140</v>
      </c>
      <c r="H28" s="44">
        <v>280907</v>
      </c>
      <c r="I28" s="44">
        <v>1</v>
      </c>
      <c r="J28" s="44">
        <v>232.03330396475823</v>
      </c>
      <c r="K28" s="61">
        <v>100.816327</v>
      </c>
      <c r="L28" s="44">
        <v>11924</v>
      </c>
      <c r="M28" s="52">
        <v>1202133.8849143379</v>
      </c>
      <c r="N28" s="44"/>
      <c r="O28" s="59"/>
      <c r="P28" s="44" t="s">
        <v>81</v>
      </c>
      <c r="Q28" s="52">
        <v>1202133.8849143379</v>
      </c>
      <c r="R28" s="71">
        <v>1202136.01</v>
      </c>
    </row>
    <row r="29" spans="1:18" x14ac:dyDescent="0.25">
      <c r="A29" s="66" t="s">
        <v>82</v>
      </c>
      <c r="B29" s="116" t="s">
        <v>86</v>
      </c>
      <c r="C29" s="60">
        <v>45965</v>
      </c>
      <c r="D29" s="60">
        <v>45966</v>
      </c>
      <c r="E29" s="44">
        <v>631078</v>
      </c>
      <c r="F29" s="44" t="s">
        <v>83</v>
      </c>
      <c r="G29" s="44" t="s">
        <v>140</v>
      </c>
      <c r="H29" s="44">
        <v>280907</v>
      </c>
      <c r="I29" s="44">
        <v>1</v>
      </c>
      <c r="J29" s="44">
        <v>11.811826191429741</v>
      </c>
      <c r="K29" s="61">
        <v>100.816327</v>
      </c>
      <c r="L29" s="44">
        <v>607</v>
      </c>
      <c r="M29" s="52">
        <v>61195.510578916728</v>
      </c>
      <c r="N29" s="44"/>
      <c r="O29" s="59"/>
      <c r="P29" s="44" t="s">
        <v>81</v>
      </c>
      <c r="Q29" s="52">
        <v>61195.510578916728</v>
      </c>
      <c r="R29" s="71">
        <v>61226.85</v>
      </c>
    </row>
    <row r="30" spans="1:18" x14ac:dyDescent="0.25">
      <c r="A30" s="66" t="s">
        <v>82</v>
      </c>
      <c r="B30" s="116" t="s">
        <v>121</v>
      </c>
      <c r="C30" s="60">
        <v>45965</v>
      </c>
      <c r="D30" s="60">
        <v>45966</v>
      </c>
      <c r="E30" s="44">
        <v>631078</v>
      </c>
      <c r="F30" s="44" t="s">
        <v>83</v>
      </c>
      <c r="G30" s="44" t="s">
        <v>140</v>
      </c>
      <c r="H30" s="44">
        <v>280907</v>
      </c>
      <c r="I30" s="44">
        <v>1</v>
      </c>
      <c r="J30" s="44">
        <v>193.46486984381301</v>
      </c>
      <c r="K30" s="61">
        <v>100.816327</v>
      </c>
      <c r="L30" s="44">
        <v>9942</v>
      </c>
      <c r="M30" s="52">
        <v>1002315.9245067383</v>
      </c>
      <c r="N30" s="44"/>
      <c r="O30" s="59"/>
      <c r="P30" s="44" t="s">
        <v>81</v>
      </c>
      <c r="Q30" s="52">
        <v>1002315.9245067383</v>
      </c>
      <c r="R30" s="71">
        <v>1002327.75</v>
      </c>
    </row>
    <row r="31" spans="1:18" x14ac:dyDescent="0.25">
      <c r="A31" s="66" t="s">
        <v>82</v>
      </c>
      <c r="B31" s="116" t="s">
        <v>85</v>
      </c>
      <c r="C31" s="60">
        <v>45966</v>
      </c>
      <c r="D31" s="60">
        <v>45966</v>
      </c>
      <c r="E31" s="44">
        <v>632370</v>
      </c>
      <c r="F31" s="44" t="s">
        <v>124</v>
      </c>
      <c r="G31" s="44" t="s">
        <v>140</v>
      </c>
      <c r="H31" s="44">
        <v>280907</v>
      </c>
      <c r="I31" s="44">
        <v>1</v>
      </c>
      <c r="J31" s="44">
        <v>6.95</v>
      </c>
      <c r="K31" s="61">
        <v>100.825873</v>
      </c>
      <c r="L31" s="44">
        <v>11923</v>
      </c>
      <c r="M31" s="52">
        <v>1202146.8826207162</v>
      </c>
      <c r="N31" s="44"/>
      <c r="O31" s="59"/>
      <c r="P31" s="44" t="s">
        <v>125</v>
      </c>
      <c r="Q31" s="52">
        <v>1202146.8826207162</v>
      </c>
      <c r="R31" s="70">
        <v>-10.87</v>
      </c>
    </row>
    <row r="32" spans="1:18" x14ac:dyDescent="0.25">
      <c r="A32" s="66" t="s">
        <v>82</v>
      </c>
      <c r="B32" s="116" t="s">
        <v>86</v>
      </c>
      <c r="C32" s="60">
        <v>45966</v>
      </c>
      <c r="D32" s="60">
        <v>45966</v>
      </c>
      <c r="E32" s="44">
        <v>632370</v>
      </c>
      <c r="F32" s="44" t="s">
        <v>124</v>
      </c>
      <c r="G32" s="44" t="s">
        <v>140</v>
      </c>
      <c r="H32" s="44">
        <v>280907</v>
      </c>
      <c r="I32" s="44">
        <v>1</v>
      </c>
      <c r="J32" s="44">
        <v>6.95</v>
      </c>
      <c r="K32" s="61">
        <v>100.825873</v>
      </c>
      <c r="L32" s="44">
        <v>607</v>
      </c>
      <c r="M32" s="52">
        <v>61201.304852031768</v>
      </c>
      <c r="N32" s="44"/>
      <c r="O32" s="59"/>
      <c r="P32" s="44" t="s">
        <v>125</v>
      </c>
      <c r="Q32" s="52">
        <v>61201.304852031768</v>
      </c>
      <c r="R32" s="70">
        <v>25.55</v>
      </c>
    </row>
    <row r="33" spans="1:18" x14ac:dyDescent="0.25">
      <c r="A33" s="66" t="s">
        <v>82</v>
      </c>
      <c r="B33" s="116" t="s">
        <v>121</v>
      </c>
      <c r="C33" s="60">
        <v>45966</v>
      </c>
      <c r="D33" s="60">
        <v>45966</v>
      </c>
      <c r="E33" s="44">
        <v>632370</v>
      </c>
      <c r="F33" s="44" t="s">
        <v>124</v>
      </c>
      <c r="G33" s="44" t="s">
        <v>140</v>
      </c>
      <c r="H33" s="44">
        <v>280907</v>
      </c>
      <c r="I33" s="44">
        <v>1</v>
      </c>
      <c r="J33" s="44">
        <v>6.95</v>
      </c>
      <c r="K33" s="61">
        <v>100.825873</v>
      </c>
      <c r="L33" s="44">
        <v>9941</v>
      </c>
      <c r="M33" s="52">
        <v>1002310.0025272617</v>
      </c>
      <c r="N33" s="44"/>
      <c r="O33" s="59"/>
      <c r="P33" s="44" t="s">
        <v>125</v>
      </c>
      <c r="Q33" s="52">
        <v>1002310.0025272617</v>
      </c>
      <c r="R33" s="70">
        <v>17.75</v>
      </c>
    </row>
    <row r="34" spans="1:18" x14ac:dyDescent="0.25">
      <c r="A34" s="66" t="s">
        <v>82</v>
      </c>
      <c r="B34" s="116" t="s">
        <v>85</v>
      </c>
      <c r="C34" s="60">
        <v>45966</v>
      </c>
      <c r="D34" s="60">
        <v>45967</v>
      </c>
      <c r="E34" s="44">
        <v>632370</v>
      </c>
      <c r="F34" s="44" t="s">
        <v>83</v>
      </c>
      <c r="G34" s="44" t="s">
        <v>140</v>
      </c>
      <c r="H34" s="44">
        <v>280907</v>
      </c>
      <c r="I34" s="44">
        <v>1</v>
      </c>
      <c r="J34" s="44">
        <v>232.07694228116259</v>
      </c>
      <c r="K34" s="61">
        <v>100.845338</v>
      </c>
      <c r="L34" s="44">
        <v>11923</v>
      </c>
      <c r="M34" s="52">
        <v>1202378.9595629966</v>
      </c>
      <c r="N34" s="44"/>
      <c r="O34" s="59"/>
      <c r="P34" s="44" t="s">
        <v>81</v>
      </c>
      <c r="Q34" s="52">
        <v>1202378.9595629966</v>
      </c>
      <c r="R34" s="71">
        <v>1202368.0900000001</v>
      </c>
    </row>
    <row r="35" spans="1:18" x14ac:dyDescent="0.25">
      <c r="A35" s="66" t="s">
        <v>82</v>
      </c>
      <c r="B35" s="116" t="s">
        <v>86</v>
      </c>
      <c r="C35" s="60">
        <v>45966</v>
      </c>
      <c r="D35" s="60">
        <v>45967</v>
      </c>
      <c r="E35" s="44">
        <v>632370</v>
      </c>
      <c r="F35" s="44" t="s">
        <v>83</v>
      </c>
      <c r="G35" s="44" t="s">
        <v>140</v>
      </c>
      <c r="H35" s="44">
        <v>280907</v>
      </c>
      <c r="I35" s="44">
        <v>1</v>
      </c>
      <c r="J35" s="44">
        <v>11.815038494059021</v>
      </c>
      <c r="K35" s="61">
        <v>100.845338</v>
      </c>
      <c r="L35" s="44">
        <v>607</v>
      </c>
      <c r="M35" s="52">
        <v>61213.119890525799</v>
      </c>
      <c r="N35" s="44"/>
      <c r="O35" s="59"/>
      <c r="P35" s="44" t="s">
        <v>81</v>
      </c>
      <c r="Q35" s="52">
        <v>61213.119890525799</v>
      </c>
      <c r="R35" s="71">
        <v>61238.67</v>
      </c>
    </row>
    <row r="36" spans="1:18" x14ac:dyDescent="0.25">
      <c r="A36" s="66" t="s">
        <v>82</v>
      </c>
      <c r="B36" s="116" t="s">
        <v>121</v>
      </c>
      <c r="C36" s="60">
        <v>45966</v>
      </c>
      <c r="D36" s="60">
        <v>45967</v>
      </c>
      <c r="E36" s="44">
        <v>632370</v>
      </c>
      <c r="F36" s="44" t="s">
        <v>83</v>
      </c>
      <c r="G36" s="44" t="s">
        <v>140</v>
      </c>
      <c r="H36" s="44">
        <v>280907</v>
      </c>
      <c r="I36" s="44">
        <v>1</v>
      </c>
      <c r="J36" s="44">
        <v>193.4980192247788</v>
      </c>
      <c r="K36" s="61">
        <v>100.845338</v>
      </c>
      <c r="L36" s="44">
        <v>9941</v>
      </c>
      <c r="M36" s="52">
        <v>1002503.5005464859</v>
      </c>
      <c r="N36" s="44"/>
      <c r="O36" s="59"/>
      <c r="P36" s="44" t="s">
        <v>81</v>
      </c>
      <c r="Q36" s="52">
        <v>1002503.5005464859</v>
      </c>
      <c r="R36" s="71">
        <v>1002521.25</v>
      </c>
    </row>
    <row r="37" spans="1:18" x14ac:dyDescent="0.25">
      <c r="A37" s="66" t="s">
        <v>82</v>
      </c>
      <c r="B37" s="116" t="s">
        <v>85</v>
      </c>
      <c r="C37" s="60">
        <v>45967</v>
      </c>
      <c r="D37" s="60">
        <v>45967</v>
      </c>
      <c r="E37" s="44">
        <v>633729</v>
      </c>
      <c r="F37" s="44" t="s">
        <v>124</v>
      </c>
      <c r="G37" s="44" t="s">
        <v>140</v>
      </c>
      <c r="H37" s="44">
        <v>280907</v>
      </c>
      <c r="I37" s="44">
        <v>1</v>
      </c>
      <c r="J37" s="44">
        <v>6.95</v>
      </c>
      <c r="K37" s="61">
        <v>100.848989</v>
      </c>
      <c r="L37" s="44">
        <v>11922</v>
      </c>
      <c r="M37" s="52">
        <v>1202321.6453564719</v>
      </c>
      <c r="N37" s="44"/>
      <c r="O37" s="59"/>
      <c r="P37" s="44" t="s">
        <v>125</v>
      </c>
      <c r="Q37" s="52">
        <v>1202321.6453564719</v>
      </c>
      <c r="R37" s="70">
        <v>46.44</v>
      </c>
    </row>
    <row r="38" spans="1:18" x14ac:dyDescent="0.25">
      <c r="A38" s="66" t="s">
        <v>82</v>
      </c>
      <c r="B38" s="116" t="s">
        <v>86</v>
      </c>
      <c r="C38" s="60">
        <v>45967</v>
      </c>
      <c r="D38" s="60">
        <v>45967</v>
      </c>
      <c r="E38" s="44">
        <v>633729</v>
      </c>
      <c r="F38" s="44" t="s">
        <v>124</v>
      </c>
      <c r="G38" s="44" t="s">
        <v>140</v>
      </c>
      <c r="H38" s="44">
        <v>280907</v>
      </c>
      <c r="I38" s="44">
        <v>1</v>
      </c>
      <c r="J38" s="44">
        <v>6.95</v>
      </c>
      <c r="K38" s="61">
        <v>100.848989</v>
      </c>
      <c r="L38" s="44">
        <v>607</v>
      </c>
      <c r="M38" s="52">
        <v>61215.336246550774</v>
      </c>
      <c r="N38" s="44"/>
      <c r="O38" s="59"/>
      <c r="P38" s="44" t="s">
        <v>125</v>
      </c>
      <c r="Q38" s="52">
        <v>61215.336246550774</v>
      </c>
      <c r="R38" s="70">
        <v>23.33</v>
      </c>
    </row>
    <row r="39" spans="1:18" x14ac:dyDescent="0.25">
      <c r="A39" s="66" t="s">
        <v>82</v>
      </c>
      <c r="B39" s="116" t="s">
        <v>121</v>
      </c>
      <c r="C39" s="60">
        <v>45967</v>
      </c>
      <c r="D39" s="60">
        <v>45967</v>
      </c>
      <c r="E39" s="44">
        <v>633729</v>
      </c>
      <c r="F39" s="44" t="s">
        <v>124</v>
      </c>
      <c r="G39" s="44" t="s">
        <v>140</v>
      </c>
      <c r="H39" s="44">
        <v>280907</v>
      </c>
      <c r="I39" s="44">
        <v>1</v>
      </c>
      <c r="J39" s="44">
        <v>6.95</v>
      </c>
      <c r="K39" s="61">
        <v>100.848989</v>
      </c>
      <c r="L39" s="44">
        <v>9941</v>
      </c>
      <c r="M39" s="52">
        <v>1002539.7983969707</v>
      </c>
      <c r="N39" s="44"/>
      <c r="O39" s="59"/>
      <c r="P39" s="44" t="s">
        <v>125</v>
      </c>
      <c r="Q39" s="52">
        <v>1002539.7983969707</v>
      </c>
      <c r="R39" s="70">
        <v>-18.55</v>
      </c>
    </row>
    <row r="40" spans="1:18" x14ac:dyDescent="0.25">
      <c r="A40" s="66" t="s">
        <v>82</v>
      </c>
      <c r="B40" s="116" t="s">
        <v>85</v>
      </c>
      <c r="C40" s="60">
        <v>45967</v>
      </c>
      <c r="D40" s="60">
        <v>45968</v>
      </c>
      <c r="E40" s="44">
        <v>633729</v>
      </c>
      <c r="F40" s="44" t="s">
        <v>83</v>
      </c>
      <c r="G40" s="44" t="s">
        <v>140</v>
      </c>
      <c r="H40" s="44">
        <v>280907</v>
      </c>
      <c r="I40" s="44">
        <v>1</v>
      </c>
      <c r="J40" s="44">
        <v>232.11025100133475</v>
      </c>
      <c r="K40" s="61">
        <v>100.868458</v>
      </c>
      <c r="L40" s="44">
        <v>11922</v>
      </c>
      <c r="M40" s="52">
        <v>1202553.7556074739</v>
      </c>
      <c r="N40" s="44"/>
      <c r="O40" s="59"/>
      <c r="P40" s="44" t="s">
        <v>81</v>
      </c>
      <c r="Q40" s="52">
        <v>1202553.7556074739</v>
      </c>
      <c r="R40" s="71">
        <v>1202600.2</v>
      </c>
    </row>
    <row r="41" spans="1:18" x14ac:dyDescent="0.25">
      <c r="A41" s="66" t="s">
        <v>82</v>
      </c>
      <c r="B41" s="116" t="s">
        <v>86</v>
      </c>
      <c r="C41" s="60">
        <v>45967</v>
      </c>
      <c r="D41" s="60">
        <v>45968</v>
      </c>
      <c r="E41" s="44">
        <v>633729</v>
      </c>
      <c r="F41" s="44" t="s">
        <v>83</v>
      </c>
      <c r="G41" s="44" t="s">
        <v>140</v>
      </c>
      <c r="H41" s="44">
        <v>280907</v>
      </c>
      <c r="I41" s="44">
        <v>1</v>
      </c>
      <c r="J41" s="44">
        <v>11.817725411659971</v>
      </c>
      <c r="K41" s="61">
        <v>100.868458</v>
      </c>
      <c r="L41" s="44">
        <v>607</v>
      </c>
      <c r="M41" s="52">
        <v>61227.153971962471</v>
      </c>
      <c r="N41" s="44"/>
      <c r="O41" s="59"/>
      <c r="P41" s="44" t="s">
        <v>81</v>
      </c>
      <c r="Q41" s="52">
        <v>61227.153971962471</v>
      </c>
      <c r="R41" s="71">
        <v>61250.48</v>
      </c>
    </row>
    <row r="42" spans="1:18" x14ac:dyDescent="0.25">
      <c r="A42" s="66" t="s">
        <v>82</v>
      </c>
      <c r="B42" s="116" t="s">
        <v>121</v>
      </c>
      <c r="C42" s="60">
        <v>45967</v>
      </c>
      <c r="D42" s="60">
        <v>45968</v>
      </c>
      <c r="E42" s="44">
        <v>633729</v>
      </c>
      <c r="F42" s="44" t="s">
        <v>83</v>
      </c>
      <c r="G42" s="44" t="s">
        <v>140</v>
      </c>
      <c r="H42" s="44">
        <v>280907</v>
      </c>
      <c r="I42" s="44">
        <v>1</v>
      </c>
      <c r="J42" s="44">
        <v>193.54202358700462</v>
      </c>
      <c r="K42" s="61">
        <v>100.868458</v>
      </c>
      <c r="L42" s="44">
        <v>9941</v>
      </c>
      <c r="M42" s="52">
        <v>1002733.3404205585</v>
      </c>
      <c r="N42" s="44"/>
      <c r="O42" s="59"/>
      <c r="P42" s="44" t="s">
        <v>81</v>
      </c>
      <c r="Q42" s="52">
        <v>1002733.3404205585</v>
      </c>
      <c r="R42" s="71">
        <v>1002714.79</v>
      </c>
    </row>
    <row r="43" spans="1:18" x14ac:dyDescent="0.25">
      <c r="A43" s="66" t="s">
        <v>82</v>
      </c>
      <c r="B43" s="116" t="s">
        <v>85</v>
      </c>
      <c r="C43" s="60">
        <v>45968</v>
      </c>
      <c r="D43" s="60">
        <v>45968</v>
      </c>
      <c r="E43" s="44">
        <v>635017</v>
      </c>
      <c r="F43" s="44" t="s">
        <v>124</v>
      </c>
      <c r="G43" s="44" t="s">
        <v>164</v>
      </c>
      <c r="H43" s="44">
        <v>270805</v>
      </c>
      <c r="I43" s="44">
        <v>3</v>
      </c>
      <c r="J43" s="44">
        <v>6.7</v>
      </c>
      <c r="K43" s="61">
        <v>99.908958999999996</v>
      </c>
      <c r="L43" s="44">
        <v>12037</v>
      </c>
      <c r="M43" s="52">
        <v>1202604.1374274883</v>
      </c>
      <c r="N43" s="44"/>
      <c r="O43" s="59"/>
      <c r="P43" s="44" t="s">
        <v>125</v>
      </c>
      <c r="Q43" s="52">
        <v>1202604.1374274883</v>
      </c>
      <c r="R43" s="70">
        <v>-3.94</v>
      </c>
    </row>
    <row r="44" spans="1:18" x14ac:dyDescent="0.25">
      <c r="A44" s="66" t="s">
        <v>82</v>
      </c>
      <c r="B44" s="116" t="s">
        <v>86</v>
      </c>
      <c r="C44" s="60">
        <v>45968</v>
      </c>
      <c r="D44" s="60">
        <v>45968</v>
      </c>
      <c r="E44" s="44">
        <v>635017</v>
      </c>
      <c r="F44" s="44" t="s">
        <v>124</v>
      </c>
      <c r="G44" s="44" t="s">
        <v>164</v>
      </c>
      <c r="H44" s="44">
        <v>270805</v>
      </c>
      <c r="I44" s="44">
        <v>3</v>
      </c>
      <c r="J44" s="44">
        <v>6.7</v>
      </c>
      <c r="K44" s="61">
        <v>99.908958999999996</v>
      </c>
      <c r="L44" s="44">
        <v>613</v>
      </c>
      <c r="M44" s="52">
        <v>61244.191762320384</v>
      </c>
      <c r="N44" s="44"/>
      <c r="O44" s="59"/>
      <c r="P44" s="44" t="s">
        <v>125</v>
      </c>
      <c r="Q44" s="52">
        <v>61244.191762320384</v>
      </c>
      <c r="R44" s="70">
        <v>6.29</v>
      </c>
    </row>
    <row r="45" spans="1:18" x14ac:dyDescent="0.25">
      <c r="A45" s="66" t="s">
        <v>82</v>
      </c>
      <c r="B45" s="116" t="s">
        <v>121</v>
      </c>
      <c r="C45" s="60">
        <v>45968</v>
      </c>
      <c r="D45" s="60">
        <v>45968</v>
      </c>
      <c r="E45" s="44">
        <v>635017</v>
      </c>
      <c r="F45" s="44" t="s">
        <v>124</v>
      </c>
      <c r="G45" s="44" t="s">
        <v>164</v>
      </c>
      <c r="H45" s="44">
        <v>270805</v>
      </c>
      <c r="I45" s="44">
        <v>3</v>
      </c>
      <c r="J45" s="44">
        <v>6.7</v>
      </c>
      <c r="K45" s="61">
        <v>99.908958999999996</v>
      </c>
      <c r="L45" s="44">
        <v>10036</v>
      </c>
      <c r="M45" s="52">
        <v>1002686.3108101914</v>
      </c>
      <c r="N45" s="44"/>
      <c r="O45" s="59"/>
      <c r="P45" s="44" t="s">
        <v>125</v>
      </c>
      <c r="Q45" s="52">
        <v>1002686.3108101914</v>
      </c>
      <c r="R45" s="70">
        <v>28.48</v>
      </c>
    </row>
    <row r="46" spans="1:18" x14ac:dyDescent="0.25">
      <c r="A46" s="66" t="s">
        <v>82</v>
      </c>
      <c r="B46" s="116" t="s">
        <v>85</v>
      </c>
      <c r="C46" s="60">
        <v>45968</v>
      </c>
      <c r="D46" s="60">
        <v>45971</v>
      </c>
      <c r="E46" s="44">
        <v>635017</v>
      </c>
      <c r="F46" s="44" t="s">
        <v>83</v>
      </c>
      <c r="G46" s="44" t="s">
        <v>164</v>
      </c>
      <c r="H46" s="44">
        <v>270805</v>
      </c>
      <c r="I46" s="44">
        <v>3</v>
      </c>
      <c r="J46" s="52">
        <v>671.45300008816037</v>
      </c>
      <c r="K46" s="61">
        <v>99.964741000000004</v>
      </c>
      <c r="L46" s="44">
        <v>12037</v>
      </c>
      <c r="M46" s="52">
        <v>1203275.5904275766</v>
      </c>
      <c r="N46" s="44"/>
      <c r="O46" s="59"/>
      <c r="P46" s="44" t="s">
        <v>81</v>
      </c>
      <c r="Q46" s="52">
        <v>1203275.5904275766</v>
      </c>
      <c r="R46" s="71">
        <v>1203271.6499999999</v>
      </c>
    </row>
    <row r="47" spans="1:18" x14ac:dyDescent="0.25">
      <c r="A47" s="66" t="s">
        <v>82</v>
      </c>
      <c r="B47" s="116" t="s">
        <v>86</v>
      </c>
      <c r="C47" s="60">
        <v>45968</v>
      </c>
      <c r="D47" s="60">
        <v>45971</v>
      </c>
      <c r="E47" s="44">
        <v>635017</v>
      </c>
      <c r="F47" s="44" t="s">
        <v>83</v>
      </c>
      <c r="G47" s="44" t="s">
        <v>164</v>
      </c>
      <c r="H47" s="44">
        <v>270805</v>
      </c>
      <c r="I47" s="44">
        <v>3</v>
      </c>
      <c r="J47" s="52">
        <v>34.194623997178887</v>
      </c>
      <c r="K47" s="61">
        <v>99.964741000000004</v>
      </c>
      <c r="L47" s="44">
        <v>613</v>
      </c>
      <c r="M47" s="52">
        <v>61278.386386317557</v>
      </c>
      <c r="N47" s="44"/>
      <c r="O47" s="59"/>
      <c r="P47" s="44" t="s">
        <v>81</v>
      </c>
      <c r="Q47" s="52">
        <v>61278.386386317557</v>
      </c>
      <c r="R47" s="71">
        <v>61284.68</v>
      </c>
    </row>
    <row r="48" spans="1:18" x14ac:dyDescent="0.25">
      <c r="A48" s="66" t="s">
        <v>82</v>
      </c>
      <c r="B48" s="116" t="s">
        <v>121</v>
      </c>
      <c r="C48" s="60">
        <v>45968</v>
      </c>
      <c r="D48" s="60">
        <v>45971</v>
      </c>
      <c r="E48" s="44">
        <v>635017</v>
      </c>
      <c r="F48" s="44" t="s">
        <v>83</v>
      </c>
      <c r="G48" s="44" t="s">
        <v>164</v>
      </c>
      <c r="H48" s="44">
        <v>270805</v>
      </c>
      <c r="I48" s="44">
        <v>3</v>
      </c>
      <c r="J48" s="52">
        <v>559.83237591466116</v>
      </c>
      <c r="K48" s="61">
        <v>99.964741000000004</v>
      </c>
      <c r="L48" s="44">
        <v>10036</v>
      </c>
      <c r="M48" s="52">
        <v>1003246.143186106</v>
      </c>
      <c r="N48" s="44"/>
      <c r="O48" s="59"/>
      <c r="P48" s="44" t="s">
        <v>81</v>
      </c>
      <c r="Q48" s="52">
        <v>1003246.143186106</v>
      </c>
      <c r="R48" s="71">
        <v>1003274.62</v>
      </c>
    </row>
    <row r="49" spans="1:18" x14ac:dyDescent="0.25">
      <c r="A49" s="66" t="s">
        <v>82</v>
      </c>
      <c r="B49" s="116" t="s">
        <v>85</v>
      </c>
      <c r="C49" s="60">
        <v>45971</v>
      </c>
      <c r="D49" s="60">
        <v>45971</v>
      </c>
      <c r="E49" s="44">
        <v>637456</v>
      </c>
      <c r="F49" s="44" t="s">
        <v>124</v>
      </c>
      <c r="G49" s="44" t="s">
        <v>140</v>
      </c>
      <c r="H49" s="44">
        <v>280907</v>
      </c>
      <c r="I49" s="44">
        <v>1</v>
      </c>
      <c r="J49" s="44">
        <v>6.7</v>
      </c>
      <c r="K49" s="61">
        <v>100.9348</v>
      </c>
      <c r="L49" s="44">
        <v>12250</v>
      </c>
      <c r="M49" s="52">
        <v>1236451.2972423045</v>
      </c>
      <c r="N49" s="44"/>
      <c r="O49" s="59"/>
      <c r="P49" s="44" t="s">
        <v>125</v>
      </c>
      <c r="Q49" s="52">
        <v>1236451.2972423045</v>
      </c>
      <c r="R49" s="71">
        <v>-33179.65</v>
      </c>
    </row>
    <row r="50" spans="1:18" x14ac:dyDescent="0.25">
      <c r="A50" s="66" t="s">
        <v>82</v>
      </c>
      <c r="B50" s="116" t="s">
        <v>86</v>
      </c>
      <c r="C50" s="60">
        <v>45971</v>
      </c>
      <c r="D50" s="60">
        <v>45971</v>
      </c>
      <c r="E50" s="44">
        <v>637456</v>
      </c>
      <c r="F50" s="44" t="s">
        <v>124</v>
      </c>
      <c r="G50" s="44" t="s">
        <v>140</v>
      </c>
      <c r="H50" s="44">
        <v>280907</v>
      </c>
      <c r="I50" s="44">
        <v>1</v>
      </c>
      <c r="J50" s="44">
        <v>6.7</v>
      </c>
      <c r="K50" s="61">
        <v>100.9348</v>
      </c>
      <c r="L50" s="44">
        <v>607</v>
      </c>
      <c r="M50" s="52">
        <v>61267.423463353378</v>
      </c>
      <c r="N50" s="44"/>
      <c r="O50" s="59"/>
      <c r="P50" s="44" t="s">
        <v>125</v>
      </c>
      <c r="Q50" s="52">
        <v>61267.423463353378</v>
      </c>
      <c r="R50" s="71">
        <v>17.27</v>
      </c>
    </row>
    <row r="51" spans="1:18" x14ac:dyDescent="0.25">
      <c r="A51" s="66" t="s">
        <v>82</v>
      </c>
      <c r="B51" s="116" t="s">
        <v>121</v>
      </c>
      <c r="C51" s="60">
        <v>45971</v>
      </c>
      <c r="D51" s="60">
        <v>45971</v>
      </c>
      <c r="E51" s="44">
        <v>637456</v>
      </c>
      <c r="F51" s="44" t="s">
        <v>124</v>
      </c>
      <c r="G51" s="44" t="s">
        <v>140</v>
      </c>
      <c r="H51" s="44">
        <v>280907</v>
      </c>
      <c r="I51" s="44">
        <v>1</v>
      </c>
      <c r="J51" s="44">
        <v>6.7</v>
      </c>
      <c r="K51" s="61">
        <v>100.9348</v>
      </c>
      <c r="L51" s="44">
        <v>10242</v>
      </c>
      <c r="M51" s="52">
        <v>1033774.2192943415</v>
      </c>
      <c r="N51" s="44"/>
      <c r="O51" s="59"/>
      <c r="P51" s="44" t="s">
        <v>125</v>
      </c>
      <c r="Q51" s="52">
        <v>1033774.2192943415</v>
      </c>
      <c r="R51" s="71">
        <v>-30499.599999999999</v>
      </c>
    </row>
    <row r="52" spans="1:18" x14ac:dyDescent="0.25">
      <c r="A52" s="66" t="s">
        <v>80</v>
      </c>
      <c r="B52" s="116" t="s">
        <v>85</v>
      </c>
      <c r="C52" s="60">
        <v>45971</v>
      </c>
      <c r="D52" s="60">
        <v>45971</v>
      </c>
      <c r="E52" s="44">
        <v>856274</v>
      </c>
      <c r="F52" s="44" t="s">
        <v>165</v>
      </c>
      <c r="G52" s="44" t="s">
        <v>141</v>
      </c>
      <c r="H52" s="44">
        <v>11</v>
      </c>
      <c r="I52" s="44"/>
      <c r="J52" s="44"/>
      <c r="K52" s="61"/>
      <c r="L52" s="44"/>
      <c r="M52" s="52">
        <v>8045.29</v>
      </c>
      <c r="N52" s="44"/>
      <c r="O52" s="59"/>
      <c r="P52" s="44" t="s">
        <v>81</v>
      </c>
      <c r="Q52" s="52">
        <v>8045.29</v>
      </c>
      <c r="R52" s="71">
        <v>-25134.36</v>
      </c>
    </row>
    <row r="53" spans="1:18" x14ac:dyDescent="0.25">
      <c r="A53" s="66" t="s">
        <v>80</v>
      </c>
      <c r="B53" s="116" t="s">
        <v>121</v>
      </c>
      <c r="C53" s="60">
        <v>45971</v>
      </c>
      <c r="D53" s="60">
        <v>45971</v>
      </c>
      <c r="E53" s="44">
        <v>856274</v>
      </c>
      <c r="F53" s="44" t="s">
        <v>165</v>
      </c>
      <c r="G53" s="44" t="s">
        <v>141</v>
      </c>
      <c r="H53" s="44">
        <v>11</v>
      </c>
      <c r="I53" s="44"/>
      <c r="J53" s="44"/>
      <c r="K53" s="61"/>
      <c r="L53" s="44"/>
      <c r="M53" s="52">
        <v>11699.489999999998</v>
      </c>
      <c r="N53" s="44"/>
      <c r="O53" s="59"/>
      <c r="P53" s="44" t="s">
        <v>81</v>
      </c>
      <c r="Q53" s="52">
        <v>11699.489999999998</v>
      </c>
      <c r="R53" s="71">
        <v>-18800.11</v>
      </c>
    </row>
    <row r="54" spans="1:18" x14ac:dyDescent="0.25">
      <c r="A54" s="66" t="s">
        <v>80</v>
      </c>
      <c r="B54" s="116" t="s">
        <v>85</v>
      </c>
      <c r="C54" s="60">
        <v>45971</v>
      </c>
      <c r="D54" s="60">
        <v>45971</v>
      </c>
      <c r="E54" s="44">
        <v>856283</v>
      </c>
      <c r="F54" s="44" t="s">
        <v>148</v>
      </c>
      <c r="G54" s="44" t="s">
        <v>149</v>
      </c>
      <c r="H54" s="44" t="s">
        <v>94</v>
      </c>
      <c r="I54" s="44"/>
      <c r="J54" s="44"/>
      <c r="K54" s="61"/>
      <c r="L54" s="44"/>
      <c r="M54" s="52">
        <v>12564.41</v>
      </c>
      <c r="N54" s="44"/>
      <c r="O54" s="59"/>
      <c r="P54" s="44" t="s">
        <v>81</v>
      </c>
      <c r="Q54" s="52">
        <v>12564.41</v>
      </c>
      <c r="R54" s="71">
        <v>-12569.95</v>
      </c>
    </row>
    <row r="55" spans="1:18" x14ac:dyDescent="0.25">
      <c r="A55" s="66" t="s">
        <v>80</v>
      </c>
      <c r="B55" s="116" t="s">
        <v>121</v>
      </c>
      <c r="C55" s="60">
        <v>45971</v>
      </c>
      <c r="D55" s="60">
        <v>45971</v>
      </c>
      <c r="E55" s="44">
        <v>856283</v>
      </c>
      <c r="F55" s="44" t="s">
        <v>148</v>
      </c>
      <c r="G55" s="44" t="s">
        <v>149</v>
      </c>
      <c r="H55" s="44" t="s">
        <v>94</v>
      </c>
      <c r="I55" s="44"/>
      <c r="J55" s="44"/>
      <c r="K55" s="61"/>
      <c r="L55" s="44"/>
      <c r="M55" s="52">
        <v>15480.294399999999</v>
      </c>
      <c r="N55" s="44"/>
      <c r="O55" s="59"/>
      <c r="P55" s="44" t="s">
        <v>81</v>
      </c>
      <c r="Q55" s="52">
        <v>15480.294399999999</v>
      </c>
      <c r="R55" s="71">
        <v>-3319.82</v>
      </c>
    </row>
    <row r="56" spans="1:18" x14ac:dyDescent="0.25">
      <c r="A56" s="66" t="s">
        <v>80</v>
      </c>
      <c r="B56" s="116" t="s">
        <v>85</v>
      </c>
      <c r="C56" s="60">
        <v>45971</v>
      </c>
      <c r="D56" s="60">
        <v>45971</v>
      </c>
      <c r="E56" s="44">
        <v>856290</v>
      </c>
      <c r="F56" s="44" t="s">
        <v>148</v>
      </c>
      <c r="G56" s="44" t="s">
        <v>151</v>
      </c>
      <c r="H56" s="44" t="s">
        <v>94</v>
      </c>
      <c r="I56" s="44"/>
      <c r="J56" s="44"/>
      <c r="K56" s="61"/>
      <c r="L56" s="44"/>
      <c r="M56" s="52">
        <v>1352.7</v>
      </c>
      <c r="N56" s="44"/>
      <c r="O56" s="59"/>
      <c r="P56" s="44" t="s">
        <v>81</v>
      </c>
      <c r="Q56" s="52">
        <v>1352.7</v>
      </c>
      <c r="R56" s="71">
        <v>-11217.25</v>
      </c>
    </row>
    <row r="57" spans="1:18" x14ac:dyDescent="0.25">
      <c r="A57" s="66" t="s">
        <v>80</v>
      </c>
      <c r="B57" s="116" t="s">
        <v>121</v>
      </c>
      <c r="C57" s="60">
        <v>45971</v>
      </c>
      <c r="D57" s="60">
        <v>45971</v>
      </c>
      <c r="E57" s="44">
        <v>856290</v>
      </c>
      <c r="F57" s="44" t="s">
        <v>148</v>
      </c>
      <c r="G57" s="44" t="s">
        <v>151</v>
      </c>
      <c r="H57" s="44" t="s">
        <v>94</v>
      </c>
      <c r="I57" s="44"/>
      <c r="J57" s="44"/>
      <c r="K57" s="61"/>
      <c r="L57" s="44"/>
      <c r="M57" s="52">
        <v>1163.9594</v>
      </c>
      <c r="N57" s="44"/>
      <c r="O57" s="59"/>
      <c r="P57" s="44" t="s">
        <v>81</v>
      </c>
      <c r="Q57" s="52">
        <v>1163.9594</v>
      </c>
      <c r="R57" s="71">
        <v>-2155.86</v>
      </c>
    </row>
    <row r="58" spans="1:18" x14ac:dyDescent="0.25">
      <c r="A58" s="66" t="s">
        <v>80</v>
      </c>
      <c r="B58" s="116" t="s">
        <v>85</v>
      </c>
      <c r="C58" s="60">
        <v>45971</v>
      </c>
      <c r="D58" s="60">
        <v>45971</v>
      </c>
      <c r="E58" s="44">
        <v>856292</v>
      </c>
      <c r="F58" s="44" t="s">
        <v>148</v>
      </c>
      <c r="G58" s="44" t="s">
        <v>131</v>
      </c>
      <c r="H58" s="44" t="s">
        <v>94</v>
      </c>
      <c r="I58" s="44"/>
      <c r="J58" s="44"/>
      <c r="K58" s="61"/>
      <c r="L58" s="44"/>
      <c r="M58" s="52">
        <v>9618.11</v>
      </c>
      <c r="N58" s="44"/>
      <c r="O58" s="59"/>
      <c r="P58" s="44" t="s">
        <v>81</v>
      </c>
      <c r="Q58" s="52">
        <v>9618.11</v>
      </c>
      <c r="R58" s="71">
        <v>-1599.14</v>
      </c>
    </row>
    <row r="59" spans="1:18" x14ac:dyDescent="0.25">
      <c r="A59" s="66" t="s">
        <v>80</v>
      </c>
      <c r="B59" s="116" t="s">
        <v>121</v>
      </c>
      <c r="C59" s="60">
        <v>45971</v>
      </c>
      <c r="D59" s="60">
        <v>45971</v>
      </c>
      <c r="E59" s="44">
        <v>856292</v>
      </c>
      <c r="F59" s="44" t="s">
        <v>148</v>
      </c>
      <c r="G59" s="44" t="s">
        <v>131</v>
      </c>
      <c r="H59" s="44" t="s">
        <v>94</v>
      </c>
      <c r="I59" s="44"/>
      <c r="J59" s="44"/>
      <c r="K59" s="61"/>
      <c r="L59" s="44"/>
      <c r="M59" s="52">
        <v>796.74250000000029</v>
      </c>
      <c r="N59" s="44"/>
      <c r="O59" s="59"/>
      <c r="P59" s="44" t="s">
        <v>81</v>
      </c>
      <c r="Q59" s="52">
        <v>796.74250000000029</v>
      </c>
      <c r="R59" s="71">
        <v>-1359.12</v>
      </c>
    </row>
    <row r="60" spans="1:18" x14ac:dyDescent="0.25">
      <c r="A60" s="66" t="s">
        <v>80</v>
      </c>
      <c r="B60" s="116" t="s">
        <v>85</v>
      </c>
      <c r="C60" s="60">
        <v>45971</v>
      </c>
      <c r="D60" s="60">
        <v>45971</v>
      </c>
      <c r="E60" s="44">
        <v>856293</v>
      </c>
      <c r="F60" s="44" t="s">
        <v>148</v>
      </c>
      <c r="G60" s="44" t="s">
        <v>152</v>
      </c>
      <c r="H60" s="44" t="s">
        <v>94</v>
      </c>
      <c r="I60" s="44"/>
      <c r="J60" s="44"/>
      <c r="K60" s="61"/>
      <c r="L60" s="44"/>
      <c r="M60" s="52">
        <v>1663.8</v>
      </c>
      <c r="N60" s="44"/>
      <c r="O60" s="59"/>
      <c r="P60" s="44" t="s">
        <v>81</v>
      </c>
      <c r="Q60" s="52">
        <v>1663.8</v>
      </c>
      <c r="R60" s="70">
        <v>64.680000000000007</v>
      </c>
    </row>
    <row r="61" spans="1:18" x14ac:dyDescent="0.25">
      <c r="A61" s="66" t="s">
        <v>80</v>
      </c>
      <c r="B61" s="116" t="s">
        <v>121</v>
      </c>
      <c r="C61" s="60">
        <v>45971</v>
      </c>
      <c r="D61" s="60">
        <v>45971</v>
      </c>
      <c r="E61" s="44">
        <v>856293</v>
      </c>
      <c r="F61" s="44" t="s">
        <v>148</v>
      </c>
      <c r="G61" s="44" t="s">
        <v>152</v>
      </c>
      <c r="H61" s="44" t="s">
        <v>94</v>
      </c>
      <c r="I61" s="44"/>
      <c r="J61" s="44"/>
      <c r="K61" s="61"/>
      <c r="L61" s="44"/>
      <c r="M61" s="52">
        <v>1306.2273000000002</v>
      </c>
      <c r="N61" s="44"/>
      <c r="O61" s="59"/>
      <c r="P61" s="44" t="s">
        <v>81</v>
      </c>
      <c r="Q61" s="52">
        <v>1306.2273000000002</v>
      </c>
      <c r="R61" s="70">
        <v>-52.91</v>
      </c>
    </row>
    <row r="62" spans="1:18" x14ac:dyDescent="0.25">
      <c r="A62" s="66" t="s">
        <v>82</v>
      </c>
      <c r="B62" s="116" t="s">
        <v>85</v>
      </c>
      <c r="C62" s="60">
        <v>45971</v>
      </c>
      <c r="D62" s="60">
        <v>45972</v>
      </c>
      <c r="E62" s="44">
        <v>637456</v>
      </c>
      <c r="F62" s="44" t="s">
        <v>83</v>
      </c>
      <c r="G62" s="44" t="s">
        <v>140</v>
      </c>
      <c r="H62" s="44">
        <v>280907</v>
      </c>
      <c r="I62" s="44">
        <v>1</v>
      </c>
      <c r="J62" s="44">
        <v>230.11374951296636</v>
      </c>
      <c r="K62" s="61">
        <v>100.953585</v>
      </c>
      <c r="L62" s="44">
        <v>12250</v>
      </c>
      <c r="M62" s="52">
        <v>1236681.4109918224</v>
      </c>
      <c r="N62" s="44"/>
      <c r="O62" s="59"/>
      <c r="P62" s="44" t="s">
        <v>81</v>
      </c>
      <c r="Q62" s="52">
        <v>1236681.4109918224</v>
      </c>
      <c r="R62" s="71">
        <v>1236746.0900000001</v>
      </c>
    </row>
    <row r="63" spans="1:18" x14ac:dyDescent="0.25">
      <c r="A63" s="66" t="s">
        <v>82</v>
      </c>
      <c r="B63" s="116" t="s">
        <v>86</v>
      </c>
      <c r="C63" s="60">
        <v>45971</v>
      </c>
      <c r="D63" s="60">
        <v>45972</v>
      </c>
      <c r="E63" s="44">
        <v>637456</v>
      </c>
      <c r="F63" s="44" t="s">
        <v>83</v>
      </c>
      <c r="G63" s="44" t="s">
        <v>140</v>
      </c>
      <c r="H63" s="44">
        <v>280907</v>
      </c>
      <c r="I63" s="44">
        <v>1</v>
      </c>
      <c r="J63" s="44">
        <v>11.402371098315966</v>
      </c>
      <c r="K63" s="61">
        <v>100.953585</v>
      </c>
      <c r="L63" s="44">
        <v>607</v>
      </c>
      <c r="M63" s="52">
        <v>61278.825834451927</v>
      </c>
      <c r="N63" s="44"/>
      <c r="O63" s="59"/>
      <c r="P63" s="44" t="s">
        <v>81</v>
      </c>
      <c r="Q63" s="52">
        <v>61278.825834451927</v>
      </c>
      <c r="R63" s="71">
        <v>61296.1</v>
      </c>
    </row>
    <row r="64" spans="1:18" x14ac:dyDescent="0.25">
      <c r="A64" s="66" t="s">
        <v>82</v>
      </c>
      <c r="B64" s="116" t="s">
        <v>121</v>
      </c>
      <c r="C64" s="60">
        <v>45971</v>
      </c>
      <c r="D64" s="60">
        <v>45972</v>
      </c>
      <c r="E64" s="44">
        <v>637456</v>
      </c>
      <c r="F64" s="44" t="s">
        <v>83</v>
      </c>
      <c r="G64" s="44" t="s">
        <v>140</v>
      </c>
      <c r="H64" s="44">
        <v>280907</v>
      </c>
      <c r="I64" s="44">
        <v>1</v>
      </c>
      <c r="J64" s="44">
        <v>192.39387938871849</v>
      </c>
      <c r="K64" s="61">
        <v>100.953585</v>
      </c>
      <c r="L64" s="44">
        <v>10242</v>
      </c>
      <c r="M64" s="52">
        <v>1033966.6131737342</v>
      </c>
      <c r="N64" s="44"/>
      <c r="O64" s="59"/>
      <c r="P64" s="44" t="s">
        <v>81</v>
      </c>
      <c r="Q64" s="52">
        <v>1033966.6131737342</v>
      </c>
      <c r="R64" s="71">
        <v>1033913.7</v>
      </c>
    </row>
    <row r="65" spans="1:18" x14ac:dyDescent="0.25">
      <c r="A65" s="66" t="s">
        <v>82</v>
      </c>
      <c r="B65" s="116" t="s">
        <v>85</v>
      </c>
      <c r="C65" s="60">
        <v>45972</v>
      </c>
      <c r="D65" s="60">
        <v>45972</v>
      </c>
      <c r="E65" s="44">
        <v>637606</v>
      </c>
      <c r="F65" s="44" t="s">
        <v>124</v>
      </c>
      <c r="G65" s="44" t="s">
        <v>140</v>
      </c>
      <c r="H65" s="44">
        <v>280907</v>
      </c>
      <c r="I65" s="44">
        <v>1</v>
      </c>
      <c r="J65" s="44">
        <v>6.7</v>
      </c>
      <c r="K65" s="61">
        <v>100.972279</v>
      </c>
      <c r="L65" s="44">
        <v>12248</v>
      </c>
      <c r="M65" s="52">
        <v>1236708.4713331945</v>
      </c>
      <c r="N65" s="44"/>
      <c r="O65" s="59"/>
      <c r="P65" s="44" t="s">
        <v>125</v>
      </c>
      <c r="Q65" s="52">
        <v>1236708.4713331945</v>
      </c>
      <c r="R65" s="70">
        <v>37.619999999999997</v>
      </c>
    </row>
    <row r="66" spans="1:18" x14ac:dyDescent="0.25">
      <c r="A66" s="66" t="s">
        <v>82</v>
      </c>
      <c r="B66" s="116" t="s">
        <v>86</v>
      </c>
      <c r="C66" s="60">
        <v>45972</v>
      </c>
      <c r="D66" s="60">
        <v>45972</v>
      </c>
      <c r="E66" s="44">
        <v>637606</v>
      </c>
      <c r="F66" s="44" t="s">
        <v>124</v>
      </c>
      <c r="G66" s="44" t="s">
        <v>140</v>
      </c>
      <c r="H66" s="44">
        <v>280907</v>
      </c>
      <c r="I66" s="44">
        <v>1</v>
      </c>
      <c r="J66" s="44">
        <v>6.7</v>
      </c>
      <c r="K66" s="61">
        <v>100.972279</v>
      </c>
      <c r="L66" s="44">
        <v>607</v>
      </c>
      <c r="M66" s="52">
        <v>61290.173260879244</v>
      </c>
      <c r="N66" s="44"/>
      <c r="O66" s="59"/>
      <c r="P66" s="44" t="s">
        <v>125</v>
      </c>
      <c r="Q66" s="52">
        <v>61290.173260879244</v>
      </c>
      <c r="R66" s="70">
        <v>5.93</v>
      </c>
    </row>
    <row r="67" spans="1:18" x14ac:dyDescent="0.25">
      <c r="A67" s="66" t="s">
        <v>82</v>
      </c>
      <c r="B67" s="116" t="s">
        <v>121</v>
      </c>
      <c r="C67" s="60">
        <v>45972</v>
      </c>
      <c r="D67" s="60">
        <v>45972</v>
      </c>
      <c r="E67" s="44">
        <v>637606</v>
      </c>
      <c r="F67" s="44" t="s">
        <v>124</v>
      </c>
      <c r="G67" s="44" t="s">
        <v>140</v>
      </c>
      <c r="H67" s="44">
        <v>280907</v>
      </c>
      <c r="I67" s="44">
        <v>1</v>
      </c>
      <c r="J67" s="44">
        <v>6.7</v>
      </c>
      <c r="K67" s="61">
        <v>100.972279</v>
      </c>
      <c r="L67" s="44">
        <v>10240</v>
      </c>
      <c r="M67" s="52">
        <v>1033956.1354059366</v>
      </c>
      <c r="N67" s="44"/>
      <c r="O67" s="59"/>
      <c r="P67" s="44" t="s">
        <v>125</v>
      </c>
      <c r="Q67" s="52">
        <v>1033956.1354059366</v>
      </c>
      <c r="R67" s="70">
        <v>-42.44</v>
      </c>
    </row>
    <row r="68" spans="1:18" x14ac:dyDescent="0.25">
      <c r="A68" s="66" t="s">
        <v>82</v>
      </c>
      <c r="B68" s="116" t="s">
        <v>85</v>
      </c>
      <c r="C68" s="60">
        <v>45972</v>
      </c>
      <c r="D68" s="60">
        <v>45973</v>
      </c>
      <c r="E68" s="44">
        <v>637606</v>
      </c>
      <c r="F68" s="44" t="s">
        <v>83</v>
      </c>
      <c r="G68" s="44" t="s">
        <v>140</v>
      </c>
      <c r="H68" s="44">
        <v>280907</v>
      </c>
      <c r="I68" s="44">
        <v>1</v>
      </c>
      <c r="J68" s="44">
        <v>230.16375838926137</v>
      </c>
      <c r="K68" s="61">
        <v>100.99107100000001</v>
      </c>
      <c r="L68" s="44">
        <v>12248</v>
      </c>
      <c r="M68" s="52">
        <v>1236938.6350915749</v>
      </c>
      <c r="N68" s="44"/>
      <c r="O68" s="59"/>
      <c r="P68" s="44" t="s">
        <v>81</v>
      </c>
      <c r="Q68" s="52">
        <v>1236938.6350915749</v>
      </c>
      <c r="R68" s="71">
        <v>1236976.26</v>
      </c>
    </row>
    <row r="69" spans="1:18" x14ac:dyDescent="0.25">
      <c r="A69" s="66" t="s">
        <v>82</v>
      </c>
      <c r="B69" s="116" t="s">
        <v>86</v>
      </c>
      <c r="C69" s="60">
        <v>45972</v>
      </c>
      <c r="D69" s="60">
        <v>45973</v>
      </c>
      <c r="E69" s="44">
        <v>637606</v>
      </c>
      <c r="F69" s="44" t="s">
        <v>83</v>
      </c>
      <c r="G69" s="44" t="s">
        <v>140</v>
      </c>
      <c r="H69" s="44">
        <v>280907</v>
      </c>
      <c r="I69" s="44">
        <v>1</v>
      </c>
      <c r="J69" s="44">
        <v>11.406711409395953</v>
      </c>
      <c r="K69" s="61">
        <v>100.99107100000001</v>
      </c>
      <c r="L69" s="44">
        <v>607</v>
      </c>
      <c r="M69" s="52">
        <v>61301.579972288208</v>
      </c>
      <c r="N69" s="44"/>
      <c r="O69" s="59"/>
      <c r="P69" s="44" t="s">
        <v>81</v>
      </c>
      <c r="Q69" s="52">
        <v>61301.579972288208</v>
      </c>
      <c r="R69" s="71">
        <v>61307.51</v>
      </c>
    </row>
    <row r="70" spans="1:18" x14ac:dyDescent="0.25">
      <c r="A70" s="66" t="s">
        <v>82</v>
      </c>
      <c r="B70" s="116" t="s">
        <v>121</v>
      </c>
      <c r="C70" s="60">
        <v>45972</v>
      </c>
      <c r="D70" s="60">
        <v>45973</v>
      </c>
      <c r="E70" s="44">
        <v>637606</v>
      </c>
      <c r="F70" s="44" t="s">
        <v>83</v>
      </c>
      <c r="G70" s="44" t="s">
        <v>140</v>
      </c>
      <c r="H70" s="44">
        <v>280907</v>
      </c>
      <c r="I70" s="44">
        <v>1</v>
      </c>
      <c r="J70" s="44">
        <v>192.42953020134195</v>
      </c>
      <c r="K70" s="61">
        <v>100.99107100000001</v>
      </c>
      <c r="L70" s="44">
        <v>10240</v>
      </c>
      <c r="M70" s="52">
        <v>1034148.5649361305</v>
      </c>
      <c r="N70" s="44"/>
      <c r="O70" s="59"/>
      <c r="P70" s="44" t="s">
        <v>81</v>
      </c>
      <c r="Q70" s="52">
        <v>1034148.5649361305</v>
      </c>
      <c r="R70" s="71">
        <v>1034106.12</v>
      </c>
    </row>
    <row r="71" spans="1:18" x14ac:dyDescent="0.25">
      <c r="A71" s="66" t="s">
        <v>82</v>
      </c>
      <c r="B71" s="116" t="s">
        <v>85</v>
      </c>
      <c r="C71" s="60">
        <v>45973</v>
      </c>
      <c r="D71" s="60">
        <v>45973</v>
      </c>
      <c r="E71" s="44">
        <v>638978</v>
      </c>
      <c r="F71" s="44" t="s">
        <v>124</v>
      </c>
      <c r="G71" s="44" t="s">
        <v>140</v>
      </c>
      <c r="H71" s="44">
        <v>280907</v>
      </c>
      <c r="I71" s="44">
        <v>1</v>
      </c>
      <c r="J71" s="44">
        <v>6.7</v>
      </c>
      <c r="K71" s="61">
        <v>100.992199</v>
      </c>
      <c r="L71" s="44">
        <v>12248</v>
      </c>
      <c r="M71" s="52">
        <v>1236952.4513865022</v>
      </c>
      <c r="N71" s="44"/>
      <c r="O71" s="59"/>
      <c r="P71" s="44" t="s">
        <v>125</v>
      </c>
      <c r="Q71" s="52">
        <v>1236952.4513865022</v>
      </c>
      <c r="R71" s="70">
        <v>23.81</v>
      </c>
    </row>
    <row r="72" spans="1:18" x14ac:dyDescent="0.25">
      <c r="A72" s="66" t="s">
        <v>82</v>
      </c>
      <c r="B72" s="116" t="s">
        <v>86</v>
      </c>
      <c r="C72" s="60">
        <v>45973</v>
      </c>
      <c r="D72" s="60">
        <v>45973</v>
      </c>
      <c r="E72" s="44">
        <v>638978</v>
      </c>
      <c r="F72" s="44" t="s">
        <v>124</v>
      </c>
      <c r="G72" s="44" t="s">
        <v>140</v>
      </c>
      <c r="H72" s="44">
        <v>280907</v>
      </c>
      <c r="I72" s="44">
        <v>1</v>
      </c>
      <c r="J72" s="44">
        <v>6.7</v>
      </c>
      <c r="K72" s="61">
        <v>100.992199</v>
      </c>
      <c r="L72" s="44">
        <v>607</v>
      </c>
      <c r="M72" s="52">
        <v>61302.264695591672</v>
      </c>
      <c r="N72" s="44"/>
      <c r="O72" s="59"/>
      <c r="P72" s="44" t="s">
        <v>125</v>
      </c>
      <c r="Q72" s="52">
        <v>61302.264695591672</v>
      </c>
      <c r="R72" s="70">
        <v>5.25</v>
      </c>
    </row>
    <row r="73" spans="1:18" x14ac:dyDescent="0.25">
      <c r="A73" s="66" t="s">
        <v>82</v>
      </c>
      <c r="B73" s="116" t="s">
        <v>121</v>
      </c>
      <c r="C73" s="60">
        <v>45973</v>
      </c>
      <c r="D73" s="60">
        <v>45973</v>
      </c>
      <c r="E73" s="44">
        <v>638978</v>
      </c>
      <c r="F73" s="44" t="s">
        <v>124</v>
      </c>
      <c r="G73" s="44" t="s">
        <v>140</v>
      </c>
      <c r="H73" s="44">
        <v>280907</v>
      </c>
      <c r="I73" s="44">
        <v>1</v>
      </c>
      <c r="J73" s="44">
        <v>6.7</v>
      </c>
      <c r="K73" s="61">
        <v>100.992199</v>
      </c>
      <c r="L73" s="44">
        <v>10239</v>
      </c>
      <c r="M73" s="52">
        <v>1034059.1239178964</v>
      </c>
      <c r="N73" s="44"/>
      <c r="O73" s="59"/>
      <c r="P73" s="44" t="s">
        <v>125</v>
      </c>
      <c r="Q73" s="52">
        <v>1034059.1239178964</v>
      </c>
      <c r="R73" s="70">
        <v>47</v>
      </c>
    </row>
    <row r="74" spans="1:18" x14ac:dyDescent="0.25">
      <c r="A74" s="66" t="s">
        <v>82</v>
      </c>
      <c r="B74" s="116" t="s">
        <v>85</v>
      </c>
      <c r="C74" s="60">
        <v>45973</v>
      </c>
      <c r="D74" s="60">
        <v>45974</v>
      </c>
      <c r="E74" s="44">
        <v>638978</v>
      </c>
      <c r="F74" s="44" t="s">
        <v>83</v>
      </c>
      <c r="G74" s="44" t="s">
        <v>140</v>
      </c>
      <c r="H74" s="44">
        <v>280907</v>
      </c>
      <c r="I74" s="44">
        <v>1</v>
      </c>
      <c r="J74" s="44">
        <v>230.20554602927129</v>
      </c>
      <c r="K74" s="61">
        <v>101.010994</v>
      </c>
      <c r="L74" s="44">
        <v>12248</v>
      </c>
      <c r="M74" s="52">
        <v>1237182.6569325356</v>
      </c>
      <c r="N74" s="44"/>
      <c r="O74" s="59"/>
      <c r="P74" s="44" t="s">
        <v>81</v>
      </c>
      <c r="Q74" s="52">
        <v>1237182.6569325356</v>
      </c>
      <c r="R74" s="71">
        <v>1237206.47</v>
      </c>
    </row>
    <row r="75" spans="1:18" x14ac:dyDescent="0.25">
      <c r="A75" s="66" t="s">
        <v>82</v>
      </c>
      <c r="B75" s="116" t="s">
        <v>86</v>
      </c>
      <c r="C75" s="60">
        <v>45973</v>
      </c>
      <c r="D75" s="60">
        <v>45974</v>
      </c>
      <c r="E75" s="44">
        <v>638978</v>
      </c>
      <c r="F75" s="44" t="s">
        <v>83</v>
      </c>
      <c r="G75" s="44" t="s">
        <v>140</v>
      </c>
      <c r="H75" s="44">
        <v>280907</v>
      </c>
      <c r="I75" s="44">
        <v>1</v>
      </c>
      <c r="J75" s="44">
        <v>11.408782367714538</v>
      </c>
      <c r="K75" s="61">
        <v>101.010994</v>
      </c>
      <c r="L75" s="44">
        <v>607</v>
      </c>
      <c r="M75" s="52">
        <v>61313.673477959594</v>
      </c>
      <c r="N75" s="44"/>
      <c r="O75" s="59"/>
      <c r="P75" s="44" t="s">
        <v>81</v>
      </c>
      <c r="Q75" s="52">
        <v>61313.673477959594</v>
      </c>
      <c r="R75" s="71">
        <v>61318.92</v>
      </c>
    </row>
    <row r="76" spans="1:18" x14ac:dyDescent="0.25">
      <c r="A76" s="66" t="s">
        <v>82</v>
      </c>
      <c r="B76" s="116" t="s">
        <v>121</v>
      </c>
      <c r="C76" s="60">
        <v>45973</v>
      </c>
      <c r="D76" s="60">
        <v>45974</v>
      </c>
      <c r="E76" s="44">
        <v>638978</v>
      </c>
      <c r="F76" s="44" t="s">
        <v>83</v>
      </c>
      <c r="G76" s="44" t="s">
        <v>140</v>
      </c>
      <c r="H76" s="44">
        <v>280907</v>
      </c>
      <c r="I76" s="44">
        <v>1</v>
      </c>
      <c r="J76" s="44">
        <v>192.44567160301347</v>
      </c>
      <c r="K76" s="61">
        <v>101.010994</v>
      </c>
      <c r="L76" s="44">
        <v>10239</v>
      </c>
      <c r="M76" s="52">
        <v>1034251.5695895029</v>
      </c>
      <c r="N76" s="44"/>
      <c r="O76" s="59"/>
      <c r="P76" s="44" t="s">
        <v>81</v>
      </c>
      <c r="Q76" s="52">
        <v>1034251.5695895029</v>
      </c>
      <c r="R76" s="71">
        <v>1034298.57</v>
      </c>
    </row>
    <row r="77" spans="1:18" x14ac:dyDescent="0.25">
      <c r="A77" s="79" t="s">
        <v>82</v>
      </c>
      <c r="B77" s="77" t="s">
        <v>85</v>
      </c>
      <c r="C77" s="92">
        <v>45974</v>
      </c>
      <c r="D77" s="92">
        <v>45974</v>
      </c>
      <c r="E77" s="77">
        <v>640344</v>
      </c>
      <c r="F77" s="77" t="s">
        <v>124</v>
      </c>
      <c r="G77" s="77" t="s">
        <v>140</v>
      </c>
      <c r="H77" s="77">
        <v>280907</v>
      </c>
      <c r="I77" s="77">
        <v>1</v>
      </c>
      <c r="J77" s="77">
        <v>6.7</v>
      </c>
      <c r="K77" s="103">
        <v>101.01505299999999</v>
      </c>
      <c r="L77" s="77">
        <v>12268</v>
      </c>
      <c r="M77" s="78">
        <v>1239252.6699286448</v>
      </c>
      <c r="N77" s="77"/>
      <c r="O77" s="93"/>
      <c r="P77" s="77" t="s">
        <v>125</v>
      </c>
      <c r="Q77" s="78">
        <v>1239252.6699286448</v>
      </c>
      <c r="R77" s="94">
        <v>-2046.2</v>
      </c>
    </row>
    <row r="78" spans="1:18" x14ac:dyDescent="0.25">
      <c r="A78" s="79" t="s">
        <v>82</v>
      </c>
      <c r="B78" s="77" t="s">
        <v>86</v>
      </c>
      <c r="C78" s="92">
        <v>45974</v>
      </c>
      <c r="D78" s="92">
        <v>45974</v>
      </c>
      <c r="E78" s="77">
        <v>640344</v>
      </c>
      <c r="F78" s="77" t="s">
        <v>124</v>
      </c>
      <c r="G78" s="77" t="s">
        <v>140</v>
      </c>
      <c r="H78" s="77">
        <v>280907</v>
      </c>
      <c r="I78" s="77">
        <v>1</v>
      </c>
      <c r="J78" s="77">
        <v>6.7</v>
      </c>
      <c r="K78" s="103">
        <v>101.01505299999999</v>
      </c>
      <c r="L78" s="77">
        <v>607</v>
      </c>
      <c r="M78" s="78">
        <v>61316.137157375888</v>
      </c>
      <c r="N78" s="77"/>
      <c r="O78" s="93"/>
      <c r="P78" s="77" t="s">
        <v>125</v>
      </c>
      <c r="Q78" s="78">
        <v>61316.137157375888</v>
      </c>
      <c r="R78" s="94">
        <v>2.78</v>
      </c>
    </row>
    <row r="79" spans="1:18" x14ac:dyDescent="0.25">
      <c r="A79" s="79" t="s">
        <v>82</v>
      </c>
      <c r="B79" s="77" t="s">
        <v>121</v>
      </c>
      <c r="C79" s="92">
        <v>45974</v>
      </c>
      <c r="D79" s="92">
        <v>45974</v>
      </c>
      <c r="E79" s="77">
        <v>640344</v>
      </c>
      <c r="F79" s="77" t="s">
        <v>124</v>
      </c>
      <c r="G79" s="77" t="s">
        <v>140</v>
      </c>
      <c r="H79" s="77">
        <v>280907</v>
      </c>
      <c r="I79" s="77">
        <v>1</v>
      </c>
      <c r="J79" s="77">
        <v>6.7</v>
      </c>
      <c r="K79" s="103">
        <v>101.01505299999999</v>
      </c>
      <c r="L79" s="77">
        <v>10248</v>
      </c>
      <c r="M79" s="78">
        <v>1035202.2629139837</v>
      </c>
      <c r="N79" s="77"/>
      <c r="O79" s="93"/>
      <c r="P79" s="77" t="s">
        <v>125</v>
      </c>
      <c r="Q79" s="78">
        <v>1035202.2629139837</v>
      </c>
      <c r="R79" s="94">
        <v>-903.69</v>
      </c>
    </row>
    <row r="80" spans="1:18" x14ac:dyDescent="0.25">
      <c r="A80" s="66" t="s">
        <v>80</v>
      </c>
      <c r="B80" s="116" t="s">
        <v>85</v>
      </c>
      <c r="C80" s="60">
        <v>45974</v>
      </c>
      <c r="D80" s="60">
        <v>45974</v>
      </c>
      <c r="E80" s="44">
        <v>856353</v>
      </c>
      <c r="F80" s="44" t="s">
        <v>163</v>
      </c>
      <c r="G80" s="44" t="s">
        <v>134</v>
      </c>
      <c r="H80" s="44">
        <v>13</v>
      </c>
      <c r="I80" s="44"/>
      <c r="J80" s="44"/>
      <c r="K80" s="44"/>
      <c r="L80" s="44"/>
      <c r="M80" s="52">
        <v>943.03</v>
      </c>
      <c r="N80" s="44"/>
      <c r="O80" s="44"/>
      <c r="P80" s="44" t="s">
        <v>81</v>
      </c>
      <c r="Q80" s="52">
        <v>943.03</v>
      </c>
      <c r="R80" s="71">
        <v>-1103.17</v>
      </c>
    </row>
    <row r="81" spans="1:18" x14ac:dyDescent="0.25">
      <c r="A81" s="66" t="s">
        <v>80</v>
      </c>
      <c r="B81" s="116" t="s">
        <v>121</v>
      </c>
      <c r="C81" s="60">
        <v>45974</v>
      </c>
      <c r="D81" s="60">
        <v>45974</v>
      </c>
      <c r="E81" s="44">
        <v>856353</v>
      </c>
      <c r="F81" s="44" t="s">
        <v>163</v>
      </c>
      <c r="G81" s="44" t="s">
        <v>134</v>
      </c>
      <c r="H81" s="44">
        <v>13</v>
      </c>
      <c r="I81" s="44"/>
      <c r="J81" s="44"/>
      <c r="K81" s="44"/>
      <c r="L81" s="44"/>
      <c r="M81" s="52">
        <v>396.14830000000006</v>
      </c>
      <c r="N81" s="44"/>
      <c r="O81" s="44"/>
      <c r="P81" s="44" t="s">
        <v>81</v>
      </c>
      <c r="Q81" s="52">
        <v>396.14830000000006</v>
      </c>
      <c r="R81" s="71">
        <v>-507.54</v>
      </c>
    </row>
    <row r="82" spans="1:18" x14ac:dyDescent="0.25">
      <c r="A82" s="66" t="s">
        <v>80</v>
      </c>
      <c r="B82" s="116" t="s">
        <v>85</v>
      </c>
      <c r="C82" s="60">
        <v>45974</v>
      </c>
      <c r="D82" s="60">
        <v>45974</v>
      </c>
      <c r="E82" s="44">
        <v>856354</v>
      </c>
      <c r="F82" s="44" t="s">
        <v>165</v>
      </c>
      <c r="G82" s="44" t="s">
        <v>134</v>
      </c>
      <c r="H82" s="44">
        <v>13</v>
      </c>
      <c r="I82" s="44"/>
      <c r="J82" s="44"/>
      <c r="K82" s="61"/>
      <c r="L82" s="44"/>
      <c r="M82" s="52">
        <v>1199.42</v>
      </c>
      <c r="N82" s="44"/>
      <c r="O82" s="59"/>
      <c r="P82" s="44" t="s">
        <v>81</v>
      </c>
      <c r="Q82" s="52">
        <v>1199.42</v>
      </c>
      <c r="R82" s="70">
        <v>96.24</v>
      </c>
    </row>
    <row r="83" spans="1:18" x14ac:dyDescent="0.25">
      <c r="A83" s="66" t="s">
        <v>80</v>
      </c>
      <c r="B83" s="116" t="s">
        <v>121</v>
      </c>
      <c r="C83" s="60">
        <v>45974</v>
      </c>
      <c r="D83" s="60">
        <v>45974</v>
      </c>
      <c r="E83" s="44">
        <v>856354</v>
      </c>
      <c r="F83" s="44" t="s">
        <v>165</v>
      </c>
      <c r="G83" s="44" t="s">
        <v>134</v>
      </c>
      <c r="H83" s="44">
        <v>13</v>
      </c>
      <c r="I83" s="44"/>
      <c r="J83" s="44"/>
      <c r="K83" s="61"/>
      <c r="L83" s="44"/>
      <c r="M83" s="52">
        <v>503.85169999999994</v>
      </c>
      <c r="N83" s="44"/>
      <c r="O83" s="59"/>
      <c r="P83" s="44" t="s">
        <v>81</v>
      </c>
      <c r="Q83" s="52">
        <v>503.85169999999994</v>
      </c>
      <c r="R83" s="70">
        <v>-3.69</v>
      </c>
    </row>
    <row r="84" spans="1:18" x14ac:dyDescent="0.25">
      <c r="A84" s="66" t="s">
        <v>82</v>
      </c>
      <c r="B84" s="116" t="s">
        <v>85</v>
      </c>
      <c r="C84" s="60">
        <v>45974</v>
      </c>
      <c r="D84" s="60">
        <v>45975</v>
      </c>
      <c r="E84" s="44">
        <v>640344</v>
      </c>
      <c r="F84" s="44" t="s">
        <v>83</v>
      </c>
      <c r="G84" s="44" t="s">
        <v>140</v>
      </c>
      <c r="H84" s="44">
        <v>280907</v>
      </c>
      <c r="I84" s="44">
        <v>1</v>
      </c>
      <c r="J84" s="44">
        <v>230.63712667041418</v>
      </c>
      <c r="K84" s="61">
        <v>101.03385299999999</v>
      </c>
      <c r="L84" s="44">
        <v>12268</v>
      </c>
      <c r="M84" s="52">
        <v>1239483.3070553122</v>
      </c>
      <c r="N84" s="44"/>
      <c r="O84" s="59"/>
      <c r="P84" s="44" t="s">
        <v>81</v>
      </c>
      <c r="Q84" s="52">
        <v>1239483.3070553122</v>
      </c>
      <c r="R84" s="71">
        <v>1239579.55</v>
      </c>
    </row>
    <row r="85" spans="1:18" x14ac:dyDescent="0.25">
      <c r="A85" s="66" t="s">
        <v>82</v>
      </c>
      <c r="B85" s="116" t="s">
        <v>86</v>
      </c>
      <c r="C85" s="60">
        <v>45974</v>
      </c>
      <c r="D85" s="60">
        <v>45975</v>
      </c>
      <c r="E85" s="44">
        <v>640344</v>
      </c>
      <c r="F85" s="44" t="s">
        <v>83</v>
      </c>
      <c r="G85" s="44" t="s">
        <v>140</v>
      </c>
      <c r="H85" s="44">
        <v>280907</v>
      </c>
      <c r="I85" s="44">
        <v>1</v>
      </c>
      <c r="J85" s="44">
        <v>11.411536997794377</v>
      </c>
      <c r="K85" s="61">
        <v>101.03385299999999</v>
      </c>
      <c r="L85" s="44">
        <v>607</v>
      </c>
      <c r="M85" s="52">
        <v>61327.548694373538</v>
      </c>
      <c r="N85" s="44"/>
      <c r="O85" s="59"/>
      <c r="P85" s="44" t="s">
        <v>81</v>
      </c>
      <c r="Q85" s="52">
        <v>61327.548694373538</v>
      </c>
      <c r="R85" s="71">
        <v>61330.33</v>
      </c>
    </row>
    <row r="86" spans="1:18" x14ac:dyDescent="0.25">
      <c r="A86" s="66" t="s">
        <v>82</v>
      </c>
      <c r="B86" s="116" t="s">
        <v>121</v>
      </c>
      <c r="C86" s="60">
        <v>45974</v>
      </c>
      <c r="D86" s="60">
        <v>45975</v>
      </c>
      <c r="E86" s="44">
        <v>640344</v>
      </c>
      <c r="F86" s="44" t="s">
        <v>83</v>
      </c>
      <c r="G86" s="44" t="s">
        <v>140</v>
      </c>
      <c r="H86" s="44">
        <v>280907</v>
      </c>
      <c r="I86" s="44">
        <v>1</v>
      </c>
      <c r="J86" s="44">
        <v>192.66133633179038</v>
      </c>
      <c r="K86" s="61">
        <v>101.03385299999999</v>
      </c>
      <c r="L86" s="44">
        <v>10248</v>
      </c>
      <c r="M86" s="52">
        <v>1035394.924250313</v>
      </c>
      <c r="N86" s="44"/>
      <c r="O86" s="59"/>
      <c r="P86" s="44" t="s">
        <v>81</v>
      </c>
      <c r="Q86" s="52">
        <v>1035394.924250313</v>
      </c>
      <c r="R86" s="71">
        <v>1035391.23</v>
      </c>
    </row>
    <row r="87" spans="1:18" x14ac:dyDescent="0.25">
      <c r="A87" s="66" t="s">
        <v>82</v>
      </c>
      <c r="B87" s="116" t="s">
        <v>85</v>
      </c>
      <c r="C87" s="60">
        <v>45975</v>
      </c>
      <c r="D87" s="60">
        <v>45975</v>
      </c>
      <c r="E87" s="44">
        <v>641538</v>
      </c>
      <c r="F87" s="44" t="s">
        <v>124</v>
      </c>
      <c r="G87" s="44" t="s">
        <v>140</v>
      </c>
      <c r="H87" s="44">
        <v>280907</v>
      </c>
      <c r="I87" s="44">
        <v>4</v>
      </c>
      <c r="J87" s="44">
        <v>6.7</v>
      </c>
      <c r="K87" s="61">
        <v>101.034982</v>
      </c>
      <c r="L87" s="44">
        <v>12269</v>
      </c>
      <c r="M87" s="52">
        <v>1239598.1894961726</v>
      </c>
      <c r="N87" s="44"/>
      <c r="O87" s="59"/>
      <c r="P87" s="44" t="s">
        <v>125</v>
      </c>
      <c r="Q87" s="52">
        <v>1239598.1894961726</v>
      </c>
      <c r="R87" s="70">
        <v>-18.64</v>
      </c>
    </row>
    <row r="88" spans="1:18" x14ac:dyDescent="0.25">
      <c r="A88" s="66" t="s">
        <v>82</v>
      </c>
      <c r="B88" s="116" t="s">
        <v>86</v>
      </c>
      <c r="C88" s="60">
        <v>45975</v>
      </c>
      <c r="D88" s="60">
        <v>45975</v>
      </c>
      <c r="E88" s="44">
        <v>641538</v>
      </c>
      <c r="F88" s="44" t="s">
        <v>124</v>
      </c>
      <c r="G88" s="44" t="s">
        <v>140</v>
      </c>
      <c r="H88" s="44">
        <v>280907</v>
      </c>
      <c r="I88" s="44">
        <v>4</v>
      </c>
      <c r="J88" s="44">
        <v>6.7</v>
      </c>
      <c r="K88" s="61">
        <v>101.034982</v>
      </c>
      <c r="L88" s="44">
        <v>607</v>
      </c>
      <c r="M88" s="52">
        <v>61328.233843359427</v>
      </c>
      <c r="N88" s="44"/>
      <c r="O88" s="59"/>
      <c r="P88" s="44" t="s">
        <v>125</v>
      </c>
      <c r="Q88" s="52">
        <v>61328.233843359427</v>
      </c>
      <c r="R88" s="70">
        <v>2.1</v>
      </c>
    </row>
    <row r="89" spans="1:18" x14ac:dyDescent="0.25">
      <c r="A89" s="66" t="s">
        <v>82</v>
      </c>
      <c r="B89" s="116" t="s">
        <v>121</v>
      </c>
      <c r="C89" s="60">
        <v>45975</v>
      </c>
      <c r="D89" s="60">
        <v>45975</v>
      </c>
      <c r="E89" s="44">
        <v>641538</v>
      </c>
      <c r="F89" s="44" t="s">
        <v>124</v>
      </c>
      <c r="G89" s="44" t="s">
        <v>140</v>
      </c>
      <c r="H89" s="44">
        <v>280907</v>
      </c>
      <c r="I89" s="44">
        <v>4</v>
      </c>
      <c r="J89" s="44">
        <v>6.7</v>
      </c>
      <c r="K89" s="61">
        <v>101.034982</v>
      </c>
      <c r="L89" s="44">
        <v>10247</v>
      </c>
      <c r="M89" s="52">
        <v>1035305.456660468</v>
      </c>
      <c r="N89" s="44"/>
      <c r="O89" s="59"/>
      <c r="P89" s="44" t="s">
        <v>125</v>
      </c>
      <c r="Q89" s="52">
        <v>1035305.456660468</v>
      </c>
      <c r="R89" s="70">
        <v>85.77</v>
      </c>
    </row>
    <row r="90" spans="1:18" x14ac:dyDescent="0.25">
      <c r="A90" s="66" t="s">
        <v>82</v>
      </c>
      <c r="B90" s="116" t="s">
        <v>85</v>
      </c>
      <c r="C90" s="60">
        <v>45975</v>
      </c>
      <c r="D90" s="60">
        <v>45979</v>
      </c>
      <c r="E90" s="44">
        <v>641538</v>
      </c>
      <c r="F90" s="44" t="s">
        <v>83</v>
      </c>
      <c r="G90" s="44" t="s">
        <v>140</v>
      </c>
      <c r="H90" s="44">
        <v>280907</v>
      </c>
      <c r="I90" s="44">
        <v>4</v>
      </c>
      <c r="J90" s="52">
        <v>922.80941530078292</v>
      </c>
      <c r="K90" s="61">
        <v>101.110196</v>
      </c>
      <c r="L90" s="44">
        <v>12269</v>
      </c>
      <c r="M90" s="52">
        <v>1240520.9989114711</v>
      </c>
      <c r="N90" s="44"/>
      <c r="O90" s="59"/>
      <c r="P90" s="44" t="s">
        <v>81</v>
      </c>
      <c r="Q90" s="52">
        <v>1240520.9989114711</v>
      </c>
      <c r="R90" s="71">
        <v>1240502.3600000001</v>
      </c>
    </row>
    <row r="91" spans="1:18" x14ac:dyDescent="0.25">
      <c r="A91" s="66" t="s">
        <v>82</v>
      </c>
      <c r="B91" s="116" t="s">
        <v>86</v>
      </c>
      <c r="C91" s="60">
        <v>45975</v>
      </c>
      <c r="D91" s="60">
        <v>45979</v>
      </c>
      <c r="E91" s="44">
        <v>641538</v>
      </c>
      <c r="F91" s="44" t="s">
        <v>83</v>
      </c>
      <c r="G91" s="44" t="s">
        <v>140</v>
      </c>
      <c r="H91" s="44">
        <v>280907</v>
      </c>
      <c r="I91" s="44">
        <v>4</v>
      </c>
      <c r="J91" s="52">
        <v>45.655335812827062</v>
      </c>
      <c r="K91" s="61">
        <v>101.110196</v>
      </c>
      <c r="L91" s="44">
        <v>607</v>
      </c>
      <c r="M91" s="52">
        <v>61373.889179172133</v>
      </c>
      <c r="N91" s="44"/>
      <c r="O91" s="59"/>
      <c r="P91" s="44" t="s">
        <v>81</v>
      </c>
      <c r="Q91" s="52">
        <v>61373.889179172133</v>
      </c>
      <c r="R91" s="71">
        <v>61375.99</v>
      </c>
    </row>
    <row r="92" spans="1:18" x14ac:dyDescent="0.25">
      <c r="A92" s="66" t="s">
        <v>82</v>
      </c>
      <c r="B92" s="116" t="s">
        <v>121</v>
      </c>
      <c r="C92" s="60">
        <v>45975</v>
      </c>
      <c r="D92" s="60">
        <v>45979</v>
      </c>
      <c r="E92" s="44">
        <v>641538</v>
      </c>
      <c r="F92" s="44" t="s">
        <v>83</v>
      </c>
      <c r="G92" s="44" t="s">
        <v>140</v>
      </c>
      <c r="H92" s="44">
        <v>280907</v>
      </c>
      <c r="I92" s="44">
        <v>4</v>
      </c>
      <c r="J92" s="52">
        <v>770.72524888639032</v>
      </c>
      <c r="K92" s="61">
        <v>101.110196</v>
      </c>
      <c r="L92" s="44">
        <v>10247</v>
      </c>
      <c r="M92" s="52">
        <v>1036076.1819093523</v>
      </c>
      <c r="N92" s="44"/>
      <c r="O92" s="59"/>
      <c r="P92" s="44" t="s">
        <v>81</v>
      </c>
      <c r="Q92" s="52">
        <v>1036076.1819093523</v>
      </c>
      <c r="R92" s="71">
        <v>1036161.95</v>
      </c>
    </row>
    <row r="93" spans="1:18" x14ac:dyDescent="0.25">
      <c r="A93" s="66" t="s">
        <v>82</v>
      </c>
      <c r="B93" s="116" t="s">
        <v>85</v>
      </c>
      <c r="C93" s="60">
        <v>45979</v>
      </c>
      <c r="D93" s="60">
        <v>45979</v>
      </c>
      <c r="E93" s="44">
        <v>642836</v>
      </c>
      <c r="F93" s="44" t="s">
        <v>124</v>
      </c>
      <c r="G93" s="44" t="s">
        <v>140</v>
      </c>
      <c r="H93" s="44">
        <v>280907</v>
      </c>
      <c r="I93" s="44">
        <v>1</v>
      </c>
      <c r="J93" s="44">
        <v>6.7</v>
      </c>
      <c r="K93" s="61">
        <v>101.11645</v>
      </c>
      <c r="L93" s="44">
        <v>12268</v>
      </c>
      <c r="M93" s="52">
        <v>1240496.6049390202</v>
      </c>
      <c r="N93" s="44"/>
      <c r="O93" s="59"/>
      <c r="P93" s="44" t="s">
        <v>125</v>
      </c>
      <c r="Q93" s="52">
        <v>1240496.6049390202</v>
      </c>
      <c r="R93" s="70">
        <v>5.76</v>
      </c>
    </row>
    <row r="94" spans="1:18" x14ac:dyDescent="0.25">
      <c r="A94" s="66" t="s">
        <v>82</v>
      </c>
      <c r="B94" s="116" t="s">
        <v>86</v>
      </c>
      <c r="C94" s="60">
        <v>45979</v>
      </c>
      <c r="D94" s="60">
        <v>45979</v>
      </c>
      <c r="E94" s="44">
        <v>642836</v>
      </c>
      <c r="F94" s="44" t="s">
        <v>124</v>
      </c>
      <c r="G94" s="44" t="s">
        <v>140</v>
      </c>
      <c r="H94" s="44">
        <v>280907</v>
      </c>
      <c r="I94" s="44">
        <v>1</v>
      </c>
      <c r="J94" s="44">
        <v>6.7</v>
      </c>
      <c r="K94" s="61">
        <v>101.11645</v>
      </c>
      <c r="L94" s="44">
        <v>607</v>
      </c>
      <c r="M94" s="52">
        <v>61377.684968860878</v>
      </c>
      <c r="N94" s="44"/>
      <c r="O94" s="59"/>
      <c r="P94" s="44" t="s">
        <v>125</v>
      </c>
      <c r="Q94" s="52">
        <v>61377.684968860878</v>
      </c>
      <c r="R94" s="70">
        <v>-1.69</v>
      </c>
    </row>
    <row r="95" spans="1:18" x14ac:dyDescent="0.25">
      <c r="A95" s="66" t="s">
        <v>82</v>
      </c>
      <c r="B95" s="116" t="s">
        <v>121</v>
      </c>
      <c r="C95" s="60">
        <v>45979</v>
      </c>
      <c r="D95" s="60">
        <v>45979</v>
      </c>
      <c r="E95" s="44">
        <v>642836</v>
      </c>
      <c r="F95" s="44" t="s">
        <v>124</v>
      </c>
      <c r="G95" s="44" t="s">
        <v>140</v>
      </c>
      <c r="H95" s="44">
        <v>280907</v>
      </c>
      <c r="I95" s="44">
        <v>1</v>
      </c>
      <c r="J95" s="44">
        <v>6.7</v>
      </c>
      <c r="K95" s="61">
        <v>101.11645</v>
      </c>
      <c r="L95" s="44">
        <v>10247</v>
      </c>
      <c r="M95" s="52">
        <v>1036140.260092121</v>
      </c>
      <c r="N95" s="44"/>
      <c r="O95" s="59"/>
      <c r="P95" s="44" t="s">
        <v>125</v>
      </c>
      <c r="Q95" s="52">
        <v>1036140.260092121</v>
      </c>
      <c r="R95" s="70">
        <v>21.69</v>
      </c>
    </row>
    <row r="96" spans="1:18" x14ac:dyDescent="0.25">
      <c r="A96" s="66" t="s">
        <v>82</v>
      </c>
      <c r="B96" s="116" t="s">
        <v>85</v>
      </c>
      <c r="C96" s="60">
        <v>45979</v>
      </c>
      <c r="D96" s="60">
        <v>45980</v>
      </c>
      <c r="E96" s="44">
        <v>642836</v>
      </c>
      <c r="F96" s="44" t="s">
        <v>83</v>
      </c>
      <c r="G96" s="44" t="s">
        <v>140</v>
      </c>
      <c r="H96" s="44">
        <v>280907</v>
      </c>
      <c r="I96" s="44">
        <v>1</v>
      </c>
      <c r="J96" s="44">
        <v>230.86994377648989</v>
      </c>
      <c r="K96" s="61">
        <v>101.13526899999999</v>
      </c>
      <c r="L96" s="44">
        <v>12268</v>
      </c>
      <c r="M96" s="52">
        <v>1240727.4748827985</v>
      </c>
      <c r="N96" s="44"/>
      <c r="O96" s="59"/>
      <c r="P96" s="44" t="s">
        <v>81</v>
      </c>
      <c r="Q96" s="52">
        <v>1240727.4748827985</v>
      </c>
      <c r="R96" s="71">
        <v>1240733.23</v>
      </c>
    </row>
    <row r="97" spans="1:18" x14ac:dyDescent="0.25">
      <c r="A97" s="66" t="s">
        <v>82</v>
      </c>
      <c r="B97" s="116" t="s">
        <v>86</v>
      </c>
      <c r="C97" s="60">
        <v>45979</v>
      </c>
      <c r="D97" s="60">
        <v>45980</v>
      </c>
      <c r="E97" s="44">
        <v>642836</v>
      </c>
      <c r="F97" s="44" t="s">
        <v>83</v>
      </c>
      <c r="G97" s="44" t="s">
        <v>140</v>
      </c>
      <c r="H97" s="44">
        <v>280907</v>
      </c>
      <c r="I97" s="44">
        <v>1</v>
      </c>
      <c r="J97" s="44">
        <v>11.423056396505489</v>
      </c>
      <c r="K97" s="61">
        <v>101.13526899999999</v>
      </c>
      <c r="L97" s="44">
        <v>607</v>
      </c>
      <c r="M97" s="52">
        <v>61389.108025257483</v>
      </c>
      <c r="N97" s="44"/>
      <c r="O97" s="59"/>
      <c r="P97" s="44" t="s">
        <v>81</v>
      </c>
      <c r="Q97" s="52">
        <v>61389.108025257483</v>
      </c>
      <c r="R97" s="71">
        <v>61387.42</v>
      </c>
    </row>
    <row r="98" spans="1:18" x14ac:dyDescent="0.25">
      <c r="A98" s="66" t="s">
        <v>82</v>
      </c>
      <c r="B98" s="116" t="s">
        <v>121</v>
      </c>
      <c r="C98" s="60">
        <v>45979</v>
      </c>
      <c r="D98" s="60">
        <v>45980</v>
      </c>
      <c r="E98" s="44">
        <v>642836</v>
      </c>
      <c r="F98" s="44" t="s">
        <v>83</v>
      </c>
      <c r="G98" s="44" t="s">
        <v>140</v>
      </c>
      <c r="H98" s="44">
        <v>280907</v>
      </c>
      <c r="I98" s="44">
        <v>1</v>
      </c>
      <c r="J98" s="44">
        <v>192.83699982700455</v>
      </c>
      <c r="K98" s="61">
        <v>101.13526899999999</v>
      </c>
      <c r="L98" s="44">
        <v>10247</v>
      </c>
      <c r="M98" s="52">
        <v>1036333.0970919495</v>
      </c>
      <c r="N98" s="44"/>
      <c r="O98" s="59"/>
      <c r="P98" s="44" t="s">
        <v>81</v>
      </c>
      <c r="Q98" s="52">
        <v>1036333.0970919495</v>
      </c>
      <c r="R98" s="71">
        <v>1036354.79</v>
      </c>
    </row>
    <row r="99" spans="1:18" x14ac:dyDescent="0.25">
      <c r="A99" s="66" t="s">
        <v>82</v>
      </c>
      <c r="B99" s="116" t="s">
        <v>85</v>
      </c>
      <c r="C99" s="60">
        <v>45980</v>
      </c>
      <c r="D99" s="60">
        <v>45980</v>
      </c>
      <c r="E99" s="44">
        <v>644086</v>
      </c>
      <c r="F99" s="44" t="s">
        <v>124</v>
      </c>
      <c r="G99" s="44" t="s">
        <v>140</v>
      </c>
      <c r="H99" s="44">
        <v>280907</v>
      </c>
      <c r="I99" s="44">
        <v>1</v>
      </c>
      <c r="J99" s="44">
        <v>6.7</v>
      </c>
      <c r="K99" s="61">
        <v>101.137173</v>
      </c>
      <c r="L99" s="44">
        <v>12268</v>
      </c>
      <c r="M99" s="52">
        <v>1240750.8346853543</v>
      </c>
      <c r="N99" s="44"/>
      <c r="O99" s="59"/>
      <c r="P99" s="44" t="s">
        <v>125</v>
      </c>
      <c r="Q99" s="52">
        <v>1240750.8346853543</v>
      </c>
      <c r="R99" s="70">
        <v>-17.600000000000001</v>
      </c>
    </row>
    <row r="100" spans="1:18" x14ac:dyDescent="0.25">
      <c r="A100" s="66" t="s">
        <v>82</v>
      </c>
      <c r="B100" s="116" t="s">
        <v>86</v>
      </c>
      <c r="C100" s="60">
        <v>45980</v>
      </c>
      <c r="D100" s="60">
        <v>45980</v>
      </c>
      <c r="E100" s="44">
        <v>644086</v>
      </c>
      <c r="F100" s="44" t="s">
        <v>124</v>
      </c>
      <c r="G100" s="44" t="s">
        <v>140</v>
      </c>
      <c r="H100" s="44">
        <v>280907</v>
      </c>
      <c r="I100" s="44">
        <v>1</v>
      </c>
      <c r="J100" s="44">
        <v>6.7</v>
      </c>
      <c r="K100" s="61">
        <v>101.137173</v>
      </c>
      <c r="L100" s="44">
        <v>607</v>
      </c>
      <c r="M100" s="52">
        <v>61390.263828986797</v>
      </c>
      <c r="N100" s="44"/>
      <c r="O100" s="59"/>
      <c r="P100" s="44" t="s">
        <v>125</v>
      </c>
      <c r="Q100" s="52">
        <v>61390.263828986797</v>
      </c>
      <c r="R100" s="70">
        <v>-2.84</v>
      </c>
    </row>
    <row r="101" spans="1:18" x14ac:dyDescent="0.25">
      <c r="A101" s="66" t="s">
        <v>82</v>
      </c>
      <c r="B101" s="116" t="s">
        <v>121</v>
      </c>
      <c r="C101" s="60">
        <v>45980</v>
      </c>
      <c r="D101" s="60">
        <v>45980</v>
      </c>
      <c r="E101" s="44">
        <v>644086</v>
      </c>
      <c r="F101" s="44" t="s">
        <v>124</v>
      </c>
      <c r="G101" s="44" t="s">
        <v>140</v>
      </c>
      <c r="H101" s="44">
        <v>280907</v>
      </c>
      <c r="I101" s="44">
        <v>1</v>
      </c>
      <c r="J101" s="44">
        <v>6.7</v>
      </c>
      <c r="K101" s="61">
        <v>101.137173</v>
      </c>
      <c r="L101" s="44">
        <v>10246</v>
      </c>
      <c r="M101" s="52">
        <v>1036251.4714856652</v>
      </c>
      <c r="N101" s="44"/>
      <c r="O101" s="59"/>
      <c r="P101" s="44" t="s">
        <v>125</v>
      </c>
      <c r="Q101" s="52">
        <v>1036251.4714856652</v>
      </c>
      <c r="R101" s="70">
        <v>103.32</v>
      </c>
    </row>
    <row r="102" spans="1:18" x14ac:dyDescent="0.25">
      <c r="A102" s="66" t="s">
        <v>82</v>
      </c>
      <c r="B102" s="116" t="s">
        <v>85</v>
      </c>
      <c r="C102" s="60">
        <v>45980</v>
      </c>
      <c r="D102" s="60">
        <v>45981</v>
      </c>
      <c r="E102" s="44">
        <v>644086</v>
      </c>
      <c r="F102" s="44" t="s">
        <v>83</v>
      </c>
      <c r="G102" s="44" t="s">
        <v>140</v>
      </c>
      <c r="H102" s="44">
        <v>280907</v>
      </c>
      <c r="I102" s="44">
        <v>1</v>
      </c>
      <c r="J102" s="44">
        <v>230.91707106093966</v>
      </c>
      <c r="K102" s="61">
        <v>101.155995</v>
      </c>
      <c r="L102" s="44">
        <v>12268</v>
      </c>
      <c r="M102" s="52">
        <v>1240981.7517564094</v>
      </c>
      <c r="N102" s="44"/>
      <c r="O102" s="59"/>
      <c r="P102" s="44" t="s">
        <v>81</v>
      </c>
      <c r="Q102" s="52">
        <v>1240981.7517564094</v>
      </c>
      <c r="R102" s="71">
        <v>1240964.1499999999</v>
      </c>
    </row>
    <row r="103" spans="1:18" x14ac:dyDescent="0.25">
      <c r="A103" s="66" t="s">
        <v>82</v>
      </c>
      <c r="B103" s="116" t="s">
        <v>86</v>
      </c>
      <c r="C103" s="60">
        <v>45980</v>
      </c>
      <c r="D103" s="60">
        <v>45981</v>
      </c>
      <c r="E103" s="44">
        <v>644086</v>
      </c>
      <c r="F103" s="44" t="s">
        <v>83</v>
      </c>
      <c r="G103" s="44" t="s">
        <v>140</v>
      </c>
      <c r="H103" s="44">
        <v>280907</v>
      </c>
      <c r="I103" s="44">
        <v>1</v>
      </c>
      <c r="J103" s="44">
        <v>11.425388175251905</v>
      </c>
      <c r="K103" s="61">
        <v>101.155995</v>
      </c>
      <c r="L103" s="44">
        <v>607</v>
      </c>
      <c r="M103" s="52">
        <v>61401.689217161758</v>
      </c>
      <c r="N103" s="44"/>
      <c r="O103" s="59"/>
      <c r="P103" s="44" t="s">
        <v>81</v>
      </c>
      <c r="Q103" s="52">
        <v>61401.689217161758</v>
      </c>
      <c r="R103" s="71">
        <v>61398.85</v>
      </c>
    </row>
    <row r="104" spans="1:18" x14ac:dyDescent="0.25">
      <c r="A104" s="66" t="s">
        <v>82</v>
      </c>
      <c r="B104" s="116" t="s">
        <v>121</v>
      </c>
      <c r="C104" s="60">
        <v>45980</v>
      </c>
      <c r="D104" s="60">
        <v>45981</v>
      </c>
      <c r="E104" s="44">
        <v>644086</v>
      </c>
      <c r="F104" s="44" t="s">
        <v>83</v>
      </c>
      <c r="G104" s="44" t="s">
        <v>140</v>
      </c>
      <c r="H104" s="44">
        <v>280907</v>
      </c>
      <c r="I104" s="44">
        <v>1</v>
      </c>
      <c r="J104" s="44">
        <v>192.85754076380732</v>
      </c>
      <c r="K104" s="61">
        <v>101.155995</v>
      </c>
      <c r="L104" s="44">
        <v>10246</v>
      </c>
      <c r="M104" s="52">
        <v>1036444.3290264241</v>
      </c>
      <c r="N104" s="44"/>
      <c r="O104" s="59"/>
      <c r="P104" s="44" t="s">
        <v>81</v>
      </c>
      <c r="Q104" s="52">
        <v>1036444.3290264241</v>
      </c>
      <c r="R104" s="71">
        <v>1036547.65</v>
      </c>
    </row>
    <row r="105" spans="1:18" x14ac:dyDescent="0.25">
      <c r="A105" s="66" t="s">
        <v>82</v>
      </c>
      <c r="B105" s="116" t="s">
        <v>85</v>
      </c>
      <c r="C105" s="60">
        <v>45981</v>
      </c>
      <c r="D105" s="60">
        <v>45981</v>
      </c>
      <c r="E105" s="44">
        <v>645409</v>
      </c>
      <c r="F105" s="44" t="s">
        <v>124</v>
      </c>
      <c r="G105" s="44" t="s">
        <v>140</v>
      </c>
      <c r="H105" s="44">
        <v>280907</v>
      </c>
      <c r="I105" s="44">
        <v>1</v>
      </c>
      <c r="J105" s="44">
        <v>6.7</v>
      </c>
      <c r="K105" s="61">
        <v>101.159481</v>
      </c>
      <c r="L105" s="44">
        <v>12267</v>
      </c>
      <c r="M105" s="52">
        <v>1240923.353320363</v>
      </c>
      <c r="N105" s="44"/>
      <c r="O105" s="59"/>
      <c r="P105" s="44" t="s">
        <v>125</v>
      </c>
      <c r="Q105" s="52">
        <v>1240923.353320363</v>
      </c>
      <c r="R105" s="70">
        <v>40.799999999999997</v>
      </c>
    </row>
    <row r="106" spans="1:18" x14ac:dyDescent="0.25">
      <c r="A106" s="66" t="s">
        <v>82</v>
      </c>
      <c r="B106" s="116" t="s">
        <v>86</v>
      </c>
      <c r="C106" s="60">
        <v>45981</v>
      </c>
      <c r="D106" s="60">
        <v>45981</v>
      </c>
      <c r="E106" s="44">
        <v>645409</v>
      </c>
      <c r="F106" s="44" t="s">
        <v>124</v>
      </c>
      <c r="G106" s="44" t="s">
        <v>140</v>
      </c>
      <c r="H106" s="44">
        <v>280907</v>
      </c>
      <c r="I106" s="44">
        <v>1</v>
      </c>
      <c r="J106" s="44">
        <v>6.7</v>
      </c>
      <c r="K106" s="61">
        <v>101.159481</v>
      </c>
      <c r="L106" s="44">
        <v>607</v>
      </c>
      <c r="M106" s="52">
        <v>61403.804961723356</v>
      </c>
      <c r="N106" s="44"/>
      <c r="O106" s="59"/>
      <c r="P106" s="44" t="s">
        <v>125</v>
      </c>
      <c r="Q106" s="52">
        <v>61403.804961723356</v>
      </c>
      <c r="R106" s="70">
        <v>-4.95</v>
      </c>
    </row>
    <row r="107" spans="1:18" x14ac:dyDescent="0.25">
      <c r="A107" s="66" t="s">
        <v>82</v>
      </c>
      <c r="B107" s="116" t="s">
        <v>121</v>
      </c>
      <c r="C107" s="60">
        <v>45981</v>
      </c>
      <c r="D107" s="60">
        <v>45981</v>
      </c>
      <c r="E107" s="44">
        <v>645409</v>
      </c>
      <c r="F107" s="44" t="s">
        <v>124</v>
      </c>
      <c r="G107" s="44" t="s">
        <v>140</v>
      </c>
      <c r="H107" s="44">
        <v>280907</v>
      </c>
      <c r="I107" s="44">
        <v>1</v>
      </c>
      <c r="J107" s="44">
        <v>6.7</v>
      </c>
      <c r="K107" s="61">
        <v>101.159481</v>
      </c>
      <c r="L107" s="44">
        <v>10247</v>
      </c>
      <c r="M107" s="52">
        <v>1036581.2017179228</v>
      </c>
      <c r="N107" s="44"/>
      <c r="O107" s="59"/>
      <c r="P107" s="44" t="s">
        <v>125</v>
      </c>
      <c r="Q107" s="52">
        <v>1036581.2017179228</v>
      </c>
      <c r="R107" s="70">
        <v>-33.549999999999997</v>
      </c>
    </row>
    <row r="108" spans="1:18" x14ac:dyDescent="0.25">
      <c r="A108" s="66" t="s">
        <v>82</v>
      </c>
      <c r="B108" s="116" t="s">
        <v>85</v>
      </c>
      <c r="C108" s="60">
        <v>45981</v>
      </c>
      <c r="D108" s="60">
        <v>45982</v>
      </c>
      <c r="E108" s="44">
        <v>645409</v>
      </c>
      <c r="F108" s="44" t="s">
        <v>83</v>
      </c>
      <c r="G108" s="44" t="s">
        <v>140</v>
      </c>
      <c r="H108" s="44">
        <v>280907</v>
      </c>
      <c r="I108" s="44">
        <v>1</v>
      </c>
      <c r="J108" s="44">
        <v>230.94599844297375</v>
      </c>
      <c r="K108" s="61">
        <v>101.178308</v>
      </c>
      <c r="L108" s="44">
        <v>12267</v>
      </c>
      <c r="M108" s="52">
        <v>1241154.2993187977</v>
      </c>
      <c r="N108" s="44"/>
      <c r="O108" s="59"/>
      <c r="P108" s="44" t="s">
        <v>81</v>
      </c>
      <c r="Q108" s="52">
        <v>1241154.2993187977</v>
      </c>
      <c r="R108" s="71">
        <v>1241195.1000000001</v>
      </c>
    </row>
    <row r="109" spans="1:18" x14ac:dyDescent="0.25">
      <c r="A109" s="66" t="s">
        <v>82</v>
      </c>
      <c r="B109" s="116" t="s">
        <v>86</v>
      </c>
      <c r="C109" s="60">
        <v>45981</v>
      </c>
      <c r="D109" s="60">
        <v>45982</v>
      </c>
      <c r="E109" s="44">
        <v>645409</v>
      </c>
      <c r="F109" s="44" t="s">
        <v>83</v>
      </c>
      <c r="G109" s="44" t="s">
        <v>140</v>
      </c>
      <c r="H109" s="44">
        <v>280907</v>
      </c>
      <c r="I109" s="44">
        <v>1</v>
      </c>
      <c r="J109" s="44">
        <v>11.427750962328609</v>
      </c>
      <c r="K109" s="61">
        <v>101.178308</v>
      </c>
      <c r="L109" s="44">
        <v>607</v>
      </c>
      <c r="M109" s="52">
        <v>61415.232712685262</v>
      </c>
      <c r="N109" s="44"/>
      <c r="O109" s="59"/>
      <c r="P109" s="44" t="s">
        <v>81</v>
      </c>
      <c r="Q109" s="52">
        <v>61415.232712685262</v>
      </c>
      <c r="R109" s="71">
        <v>61410.28</v>
      </c>
    </row>
    <row r="110" spans="1:18" x14ac:dyDescent="0.25">
      <c r="A110" s="66" t="s">
        <v>82</v>
      </c>
      <c r="B110" s="116" t="s">
        <v>121</v>
      </c>
      <c r="C110" s="60">
        <v>45981</v>
      </c>
      <c r="D110" s="60">
        <v>45982</v>
      </c>
      <c r="E110" s="44">
        <v>645409</v>
      </c>
      <c r="F110" s="44" t="s">
        <v>83</v>
      </c>
      <c r="G110" s="44" t="s">
        <v>140</v>
      </c>
      <c r="H110" s="44">
        <v>280907</v>
      </c>
      <c r="I110" s="44">
        <v>1</v>
      </c>
      <c r="J110" s="44">
        <v>192.91625059469732</v>
      </c>
      <c r="K110" s="61">
        <v>101.178308</v>
      </c>
      <c r="L110" s="44">
        <v>10247</v>
      </c>
      <c r="M110" s="52">
        <v>1036774.1179685106</v>
      </c>
      <c r="N110" s="44"/>
      <c r="O110" s="59"/>
      <c r="P110" s="44" t="s">
        <v>81</v>
      </c>
      <c r="Q110" s="52">
        <v>1036774.1179685106</v>
      </c>
      <c r="R110" s="71">
        <v>1036740.57</v>
      </c>
    </row>
    <row r="111" spans="1:18" x14ac:dyDescent="0.25">
      <c r="A111" s="66" t="s">
        <v>82</v>
      </c>
      <c r="B111" s="116" t="s">
        <v>85</v>
      </c>
      <c r="C111" s="60">
        <v>45982</v>
      </c>
      <c r="D111" s="60">
        <v>45982</v>
      </c>
      <c r="E111" s="44">
        <v>647016</v>
      </c>
      <c r="F111" s="44" t="s">
        <v>124</v>
      </c>
      <c r="G111" s="44" t="s">
        <v>140</v>
      </c>
      <c r="H111" s="44">
        <v>280907</v>
      </c>
      <c r="I111" s="44">
        <v>3</v>
      </c>
      <c r="J111" s="44">
        <v>6.7</v>
      </c>
      <c r="K111" s="61">
        <v>101.177634</v>
      </c>
      <c r="L111" s="44">
        <v>12267</v>
      </c>
      <c r="M111" s="52">
        <v>1241146.0332463949</v>
      </c>
      <c r="N111" s="44"/>
      <c r="O111" s="59"/>
      <c r="P111" s="44" t="s">
        <v>125</v>
      </c>
      <c r="Q111" s="52">
        <v>1241146.0332463949</v>
      </c>
      <c r="R111" s="70">
        <v>49.07</v>
      </c>
    </row>
    <row r="112" spans="1:18" x14ac:dyDescent="0.25">
      <c r="A112" s="66" t="s">
        <v>82</v>
      </c>
      <c r="B112" s="116" t="s">
        <v>86</v>
      </c>
      <c r="C112" s="60">
        <v>45982</v>
      </c>
      <c r="D112" s="60">
        <v>45982</v>
      </c>
      <c r="E112" s="44">
        <v>647016</v>
      </c>
      <c r="F112" s="44" t="s">
        <v>124</v>
      </c>
      <c r="G112" s="44" t="s">
        <v>140</v>
      </c>
      <c r="H112" s="44">
        <v>280907</v>
      </c>
      <c r="I112" s="44">
        <v>3</v>
      </c>
      <c r="J112" s="44">
        <v>6.7</v>
      </c>
      <c r="K112" s="61">
        <v>101.177634</v>
      </c>
      <c r="L112" s="44">
        <v>607</v>
      </c>
      <c r="M112" s="52">
        <v>61414.823687989054</v>
      </c>
      <c r="N112" s="44"/>
      <c r="O112" s="59"/>
      <c r="P112" s="44" t="s">
        <v>125</v>
      </c>
      <c r="Q112" s="52">
        <v>61414.823687989054</v>
      </c>
      <c r="R112" s="70">
        <v>-4.54</v>
      </c>
    </row>
    <row r="113" spans="1:18" x14ac:dyDescent="0.25">
      <c r="A113" s="66" t="s">
        <v>82</v>
      </c>
      <c r="B113" s="116" t="s">
        <v>121</v>
      </c>
      <c r="C113" s="60">
        <v>45982</v>
      </c>
      <c r="D113" s="60">
        <v>45982</v>
      </c>
      <c r="E113" s="44">
        <v>647016</v>
      </c>
      <c r="F113" s="44" t="s">
        <v>124</v>
      </c>
      <c r="G113" s="44" t="s">
        <v>140</v>
      </c>
      <c r="H113" s="44">
        <v>280907</v>
      </c>
      <c r="I113" s="44">
        <v>3</v>
      </c>
      <c r="J113" s="44">
        <v>6.7</v>
      </c>
      <c r="K113" s="61">
        <v>101.177634</v>
      </c>
      <c r="L113" s="44">
        <v>10247</v>
      </c>
      <c r="M113" s="52">
        <v>1036767.2130656077</v>
      </c>
      <c r="N113" s="44"/>
      <c r="O113" s="59"/>
      <c r="P113" s="44" t="s">
        <v>125</v>
      </c>
      <c r="Q113" s="52">
        <v>1036767.2130656077</v>
      </c>
      <c r="R113" s="70">
        <v>-26.64</v>
      </c>
    </row>
    <row r="114" spans="1:18" x14ac:dyDescent="0.25">
      <c r="A114" s="66" t="s">
        <v>82</v>
      </c>
      <c r="B114" s="116" t="s">
        <v>85</v>
      </c>
      <c r="C114" s="60">
        <v>45982</v>
      </c>
      <c r="D114" s="60">
        <v>45985</v>
      </c>
      <c r="E114" s="44">
        <v>647016</v>
      </c>
      <c r="F114" s="44" t="s">
        <v>83</v>
      </c>
      <c r="G114" s="44" t="s">
        <v>140</v>
      </c>
      <c r="H114" s="44">
        <v>280907</v>
      </c>
      <c r="I114" s="44">
        <v>3</v>
      </c>
      <c r="J114" s="52">
        <v>692.97063448812696</v>
      </c>
      <c r="K114" s="61">
        <v>101.23412399999999</v>
      </c>
      <c r="L114" s="44">
        <v>12267</v>
      </c>
      <c r="M114" s="52">
        <v>1241839.0038808933</v>
      </c>
      <c r="N114" s="44"/>
      <c r="O114" s="59"/>
      <c r="P114" s="44" t="s">
        <v>81</v>
      </c>
      <c r="Q114" s="52">
        <v>1241839.0038808933</v>
      </c>
      <c r="R114" s="71">
        <v>1241888.07</v>
      </c>
    </row>
    <row r="115" spans="1:18" x14ac:dyDescent="0.25">
      <c r="A115" s="66" t="s">
        <v>82</v>
      </c>
      <c r="B115" s="116" t="s">
        <v>86</v>
      </c>
      <c r="C115" s="60">
        <v>45982</v>
      </c>
      <c r="D115" s="60">
        <v>45985</v>
      </c>
      <c r="E115" s="44">
        <v>647016</v>
      </c>
      <c r="F115" s="44" t="s">
        <v>83</v>
      </c>
      <c r="G115" s="44" t="s">
        <v>140</v>
      </c>
      <c r="H115" s="44">
        <v>280907</v>
      </c>
      <c r="I115" s="44">
        <v>3</v>
      </c>
      <c r="J115" s="52">
        <v>34.289816184421056</v>
      </c>
      <c r="K115" s="61">
        <v>101.23412399999999</v>
      </c>
      <c r="L115" s="44">
        <v>607</v>
      </c>
      <c r="M115" s="52">
        <v>61449.113504173984</v>
      </c>
      <c r="N115" s="44"/>
      <c r="O115" s="59"/>
      <c r="P115" s="44" t="s">
        <v>81</v>
      </c>
      <c r="Q115" s="52">
        <v>61449.113504173984</v>
      </c>
      <c r="R115" s="71">
        <v>61444.57</v>
      </c>
    </row>
    <row r="116" spans="1:18" x14ac:dyDescent="0.25">
      <c r="A116" s="66" t="s">
        <v>82</v>
      </c>
      <c r="B116" s="116" t="s">
        <v>121</v>
      </c>
      <c r="C116" s="60">
        <v>45982</v>
      </c>
      <c r="D116" s="60">
        <v>45985</v>
      </c>
      <c r="E116" s="44">
        <v>647016</v>
      </c>
      <c r="F116" s="44" t="s">
        <v>83</v>
      </c>
      <c r="G116" s="44" t="s">
        <v>140</v>
      </c>
      <c r="H116" s="44">
        <v>280907</v>
      </c>
      <c r="I116" s="44">
        <v>3</v>
      </c>
      <c r="J116" s="52">
        <v>578.85954932745074</v>
      </c>
      <c r="K116" s="61">
        <v>101.23412399999999</v>
      </c>
      <c r="L116" s="44">
        <v>10247</v>
      </c>
      <c r="M116" s="52">
        <v>1037346.0726149437</v>
      </c>
      <c r="N116" s="44"/>
      <c r="O116" s="59"/>
      <c r="P116" s="44" t="s">
        <v>81</v>
      </c>
      <c r="Q116" s="52">
        <v>1037346.0726149437</v>
      </c>
      <c r="R116" s="71">
        <v>1037319.43</v>
      </c>
    </row>
    <row r="117" spans="1:18" x14ac:dyDescent="0.25">
      <c r="A117" s="66" t="s">
        <v>82</v>
      </c>
      <c r="B117" s="116" t="s">
        <v>85</v>
      </c>
      <c r="C117" s="60">
        <v>45985</v>
      </c>
      <c r="D117" s="60">
        <v>45985</v>
      </c>
      <c r="E117" s="44">
        <v>648295</v>
      </c>
      <c r="F117" s="44" t="s">
        <v>124</v>
      </c>
      <c r="G117" s="44" t="s">
        <v>140</v>
      </c>
      <c r="H117" s="44">
        <v>280907</v>
      </c>
      <c r="I117" s="44">
        <v>1</v>
      </c>
      <c r="J117" s="44">
        <v>6.7</v>
      </c>
      <c r="K117" s="61">
        <v>101.240854</v>
      </c>
      <c r="L117" s="44">
        <v>12267</v>
      </c>
      <c r="M117" s="52">
        <v>1241921.5540940315</v>
      </c>
      <c r="N117" s="44"/>
      <c r="O117" s="59"/>
      <c r="P117" s="44" t="s">
        <v>125</v>
      </c>
      <c r="Q117" s="52">
        <v>1241921.5540940315</v>
      </c>
      <c r="R117" s="70">
        <v>-33.479999999999997</v>
      </c>
    </row>
    <row r="118" spans="1:18" x14ac:dyDescent="0.25">
      <c r="A118" s="66" t="s">
        <v>82</v>
      </c>
      <c r="B118" s="116" t="s">
        <v>86</v>
      </c>
      <c r="C118" s="60">
        <v>45985</v>
      </c>
      <c r="D118" s="60">
        <v>45985</v>
      </c>
      <c r="E118" s="44">
        <v>648295</v>
      </c>
      <c r="F118" s="44" t="s">
        <v>124</v>
      </c>
      <c r="G118" s="44" t="s">
        <v>140</v>
      </c>
      <c r="H118" s="44">
        <v>280907</v>
      </c>
      <c r="I118" s="44">
        <v>1</v>
      </c>
      <c r="J118" s="44">
        <v>6.7</v>
      </c>
      <c r="K118" s="61">
        <v>101.240854</v>
      </c>
      <c r="L118" s="44">
        <v>607</v>
      </c>
      <c r="M118" s="52">
        <v>61453.198282797515</v>
      </c>
      <c r="N118" s="44"/>
      <c r="O118" s="59"/>
      <c r="P118" s="44" t="s">
        <v>125</v>
      </c>
      <c r="Q118" s="52">
        <v>61453.198282797515</v>
      </c>
      <c r="R118" s="70">
        <v>-8.6300000000000008</v>
      </c>
    </row>
    <row r="119" spans="1:18" x14ac:dyDescent="0.25">
      <c r="A119" s="66" t="s">
        <v>82</v>
      </c>
      <c r="B119" s="116" t="s">
        <v>121</v>
      </c>
      <c r="C119" s="60">
        <v>45985</v>
      </c>
      <c r="D119" s="60">
        <v>45985</v>
      </c>
      <c r="E119" s="44">
        <v>648295</v>
      </c>
      <c r="F119" s="44" t="s">
        <v>124</v>
      </c>
      <c r="G119" s="44" t="s">
        <v>140</v>
      </c>
      <c r="H119" s="44">
        <v>280907</v>
      </c>
      <c r="I119" s="44">
        <v>1</v>
      </c>
      <c r="J119" s="44">
        <v>6.7</v>
      </c>
      <c r="K119" s="61">
        <v>101.240854</v>
      </c>
      <c r="L119" s="44">
        <v>10245</v>
      </c>
      <c r="M119" s="52">
        <v>1037212.5476231639</v>
      </c>
      <c r="N119" s="44"/>
      <c r="O119" s="59"/>
      <c r="P119" s="44" t="s">
        <v>125</v>
      </c>
      <c r="Q119" s="52">
        <v>1037212.5476231639</v>
      </c>
      <c r="R119" s="70">
        <v>106.88</v>
      </c>
    </row>
    <row r="120" spans="1:18" x14ac:dyDescent="0.25">
      <c r="A120" s="66" t="s">
        <v>82</v>
      </c>
      <c r="B120" s="116" t="s">
        <v>85</v>
      </c>
      <c r="C120" s="60">
        <v>45985</v>
      </c>
      <c r="D120" s="60">
        <v>45986</v>
      </c>
      <c r="E120" s="44">
        <v>648295</v>
      </c>
      <c r="F120" s="44" t="s">
        <v>83</v>
      </c>
      <c r="G120" s="44" t="s">
        <v>140</v>
      </c>
      <c r="H120" s="44">
        <v>280907</v>
      </c>
      <c r="I120" s="44">
        <v>1</v>
      </c>
      <c r="J120" s="44">
        <v>231.13046412041993</v>
      </c>
      <c r="K120" s="61">
        <v>101.25969499999999</v>
      </c>
      <c r="L120" s="44">
        <v>12267</v>
      </c>
      <c r="M120" s="52">
        <v>1242152.6845581532</v>
      </c>
      <c r="N120" s="44"/>
      <c r="O120" s="59"/>
      <c r="P120" s="44" t="s">
        <v>81</v>
      </c>
      <c r="Q120" s="52">
        <v>1242152.6845581532</v>
      </c>
      <c r="R120" s="71">
        <v>1242119.2</v>
      </c>
    </row>
    <row r="121" spans="1:18" x14ac:dyDescent="0.25">
      <c r="A121" s="66" t="s">
        <v>82</v>
      </c>
      <c r="B121" s="116" t="s">
        <v>86</v>
      </c>
      <c r="C121" s="60">
        <v>45985</v>
      </c>
      <c r="D121" s="60">
        <v>45986</v>
      </c>
      <c r="E121" s="44">
        <v>648295</v>
      </c>
      <c r="F121" s="44" t="s">
        <v>83</v>
      </c>
      <c r="G121" s="44" t="s">
        <v>140</v>
      </c>
      <c r="H121" s="44">
        <v>280907</v>
      </c>
      <c r="I121" s="44">
        <v>1</v>
      </c>
      <c r="J121" s="44">
        <v>11.436878757731712</v>
      </c>
      <c r="K121" s="61">
        <v>101.25969499999999</v>
      </c>
      <c r="L121" s="44">
        <v>607</v>
      </c>
      <c r="M121" s="52">
        <v>61464.635161555314</v>
      </c>
      <c r="N121" s="44"/>
      <c r="O121" s="59"/>
      <c r="P121" s="44" t="s">
        <v>81</v>
      </c>
      <c r="Q121" s="52">
        <v>61464.635161555314</v>
      </c>
      <c r="R121" s="71">
        <v>61456.01</v>
      </c>
    </row>
    <row r="122" spans="1:18" x14ac:dyDescent="0.25">
      <c r="A122" s="66" t="s">
        <v>82</v>
      </c>
      <c r="B122" s="116" t="s">
        <v>121</v>
      </c>
      <c r="C122" s="60">
        <v>45985</v>
      </c>
      <c r="D122" s="60">
        <v>45986</v>
      </c>
      <c r="E122" s="44">
        <v>648295</v>
      </c>
      <c r="F122" s="44" t="s">
        <v>83</v>
      </c>
      <c r="G122" s="44" t="s">
        <v>140</v>
      </c>
      <c r="H122" s="44">
        <v>280907</v>
      </c>
      <c r="I122" s="44">
        <v>1</v>
      </c>
      <c r="J122" s="44">
        <v>193.03265712184745</v>
      </c>
      <c r="K122" s="61">
        <v>101.25969499999999</v>
      </c>
      <c r="L122" s="44">
        <v>10245</v>
      </c>
      <c r="M122" s="52">
        <v>1037405.580280287</v>
      </c>
      <c r="N122" s="44"/>
      <c r="O122" s="59"/>
      <c r="P122" s="44" t="s">
        <v>81</v>
      </c>
      <c r="Q122" s="52">
        <v>1037405.580280287</v>
      </c>
      <c r="R122" s="71">
        <v>1037512.46</v>
      </c>
    </row>
    <row r="123" spans="1:18" x14ac:dyDescent="0.25">
      <c r="A123" s="66" t="s">
        <v>82</v>
      </c>
      <c r="B123" s="116" t="s">
        <v>85</v>
      </c>
      <c r="C123" s="60">
        <v>45986</v>
      </c>
      <c r="D123" s="60">
        <v>45986</v>
      </c>
      <c r="E123" s="44">
        <v>649649</v>
      </c>
      <c r="F123" s="44" t="s">
        <v>124</v>
      </c>
      <c r="G123" s="44" t="s">
        <v>140</v>
      </c>
      <c r="H123" s="44">
        <v>280907</v>
      </c>
      <c r="I123" s="44">
        <v>1</v>
      </c>
      <c r="J123" s="44">
        <v>6.7</v>
      </c>
      <c r="K123" s="61">
        <v>101.261213</v>
      </c>
      <c r="L123" s="44">
        <v>12266</v>
      </c>
      <c r="M123" s="52">
        <v>1242070.0368822145</v>
      </c>
      <c r="N123" s="44"/>
      <c r="O123" s="59"/>
      <c r="P123" s="44" t="s">
        <v>125</v>
      </c>
      <c r="Q123" s="52">
        <v>1242070.0368822145</v>
      </c>
      <c r="R123" s="70">
        <v>49.16</v>
      </c>
    </row>
    <row r="124" spans="1:18" x14ac:dyDescent="0.25">
      <c r="A124" s="66" t="s">
        <v>82</v>
      </c>
      <c r="B124" s="116" t="s">
        <v>86</v>
      </c>
      <c r="C124" s="60">
        <v>45986</v>
      </c>
      <c r="D124" s="60">
        <v>45986</v>
      </c>
      <c r="E124" s="44">
        <v>649649</v>
      </c>
      <c r="F124" s="44" t="s">
        <v>124</v>
      </c>
      <c r="G124" s="44" t="s">
        <v>140</v>
      </c>
      <c r="H124" s="44">
        <v>280907</v>
      </c>
      <c r="I124" s="44">
        <v>1</v>
      </c>
      <c r="J124" s="44">
        <v>6.7</v>
      </c>
      <c r="K124" s="61">
        <v>101.261213</v>
      </c>
      <c r="L124" s="44">
        <v>607</v>
      </c>
      <c r="M124" s="52">
        <v>61465.556203122789</v>
      </c>
      <c r="N124" s="44"/>
      <c r="O124" s="59"/>
      <c r="P124" s="44" t="s">
        <v>125</v>
      </c>
      <c r="Q124" s="52">
        <v>61465.556203122789</v>
      </c>
      <c r="R124" s="70">
        <v>-9.5500000000000007</v>
      </c>
    </row>
    <row r="125" spans="1:18" x14ac:dyDescent="0.25">
      <c r="A125" s="66" t="s">
        <v>82</v>
      </c>
      <c r="B125" s="116" t="s">
        <v>121</v>
      </c>
      <c r="C125" s="60">
        <v>45986</v>
      </c>
      <c r="D125" s="60">
        <v>45986</v>
      </c>
      <c r="E125" s="44">
        <v>649649</v>
      </c>
      <c r="F125" s="44" t="s">
        <v>124</v>
      </c>
      <c r="G125" s="44" t="s">
        <v>140</v>
      </c>
      <c r="H125" s="44">
        <v>280907</v>
      </c>
      <c r="I125" s="44">
        <v>1</v>
      </c>
      <c r="J125" s="44">
        <v>6.7</v>
      </c>
      <c r="K125" s="61">
        <v>101.261213</v>
      </c>
      <c r="L125" s="44">
        <v>10246</v>
      </c>
      <c r="M125" s="52">
        <v>1037522.3869146559</v>
      </c>
      <c r="N125" s="44"/>
      <c r="O125" s="59"/>
      <c r="P125" s="44" t="s">
        <v>125</v>
      </c>
      <c r="Q125" s="52">
        <v>1037522.3869146559</v>
      </c>
      <c r="R125" s="70">
        <v>-9.93</v>
      </c>
    </row>
    <row r="126" spans="1:18" x14ac:dyDescent="0.25">
      <c r="A126" s="66" t="s">
        <v>82</v>
      </c>
      <c r="B126" s="116" t="s">
        <v>85</v>
      </c>
      <c r="C126" s="60">
        <v>45986</v>
      </c>
      <c r="D126" s="60">
        <v>45987</v>
      </c>
      <c r="E126" s="44">
        <v>649649</v>
      </c>
      <c r="F126" s="44" t="s">
        <v>83</v>
      </c>
      <c r="G126" s="44" t="s">
        <v>140</v>
      </c>
      <c r="H126" s="44">
        <v>280907</v>
      </c>
      <c r="I126" s="44">
        <v>1</v>
      </c>
      <c r="J126" s="44">
        <v>231.15937281024313</v>
      </c>
      <c r="K126" s="61">
        <v>101.280058</v>
      </c>
      <c r="L126" s="44">
        <v>12266</v>
      </c>
      <c r="M126" s="52">
        <v>1242301.1962550266</v>
      </c>
      <c r="N126" s="44"/>
      <c r="O126" s="59"/>
      <c r="P126" s="44" t="s">
        <v>81</v>
      </c>
      <c r="Q126" s="52">
        <v>1242301.1962550266</v>
      </c>
      <c r="R126" s="71">
        <v>1242350.3600000001</v>
      </c>
    </row>
    <row r="127" spans="1:18" x14ac:dyDescent="0.25">
      <c r="A127" s="66" t="s">
        <v>82</v>
      </c>
      <c r="B127" s="116" t="s">
        <v>86</v>
      </c>
      <c r="C127" s="60">
        <v>45986</v>
      </c>
      <c r="D127" s="60">
        <v>45987</v>
      </c>
      <c r="E127" s="44">
        <v>649649</v>
      </c>
      <c r="F127" s="44" t="s">
        <v>83</v>
      </c>
      <c r="G127" s="44" t="s">
        <v>140</v>
      </c>
      <c r="H127" s="44">
        <v>280907</v>
      </c>
      <c r="I127" s="44">
        <v>1</v>
      </c>
      <c r="J127" s="44">
        <v>11.439241749210627</v>
      </c>
      <c r="K127" s="61">
        <v>101.280058</v>
      </c>
      <c r="L127" s="44">
        <v>607</v>
      </c>
      <c r="M127" s="52">
        <v>61476.995444872104</v>
      </c>
      <c r="N127" s="44"/>
      <c r="O127" s="59"/>
      <c r="P127" s="44" t="s">
        <v>81</v>
      </c>
      <c r="Q127" s="52">
        <v>61476.995444872104</v>
      </c>
      <c r="R127" s="71">
        <v>61467.45</v>
      </c>
    </row>
    <row r="128" spans="1:18" x14ac:dyDescent="0.25">
      <c r="A128" s="66" t="s">
        <v>82</v>
      </c>
      <c r="B128" s="116" t="s">
        <v>121</v>
      </c>
      <c r="C128" s="60">
        <v>45986</v>
      </c>
      <c r="D128" s="60">
        <v>45987</v>
      </c>
      <c r="E128" s="44">
        <v>649649</v>
      </c>
      <c r="F128" s="44" t="s">
        <v>83</v>
      </c>
      <c r="G128" s="44" t="s">
        <v>140</v>
      </c>
      <c r="H128" s="44">
        <v>280907</v>
      </c>
      <c r="I128" s="44">
        <v>1</v>
      </c>
      <c r="J128" s="44">
        <v>193.0913854405471</v>
      </c>
      <c r="K128" s="61">
        <v>101.280058</v>
      </c>
      <c r="L128" s="44">
        <v>10246</v>
      </c>
      <c r="M128" s="52">
        <v>1037715.4783000982</v>
      </c>
      <c r="N128" s="44"/>
      <c r="O128" s="59"/>
      <c r="P128" s="44" t="s">
        <v>81</v>
      </c>
      <c r="Q128" s="52">
        <v>1037715.4783000982</v>
      </c>
      <c r="R128" s="71">
        <v>1037705.55</v>
      </c>
    </row>
    <row r="129" spans="1:18" x14ac:dyDescent="0.25">
      <c r="A129" s="66" t="s">
        <v>82</v>
      </c>
      <c r="B129" s="116" t="s">
        <v>85</v>
      </c>
      <c r="C129" s="60">
        <v>45987</v>
      </c>
      <c r="D129" s="60">
        <v>45987</v>
      </c>
      <c r="E129" s="44">
        <v>650869</v>
      </c>
      <c r="F129" s="44" t="s">
        <v>124</v>
      </c>
      <c r="G129" s="44" t="s">
        <v>140</v>
      </c>
      <c r="H129" s="44">
        <v>280907</v>
      </c>
      <c r="I129" s="44">
        <v>1</v>
      </c>
      <c r="J129" s="44">
        <v>6.7</v>
      </c>
      <c r="K129" s="61">
        <v>101.28235599999999</v>
      </c>
      <c r="L129" s="44">
        <v>12266</v>
      </c>
      <c r="M129" s="52">
        <v>1242329.375508263</v>
      </c>
      <c r="N129" s="44"/>
      <c r="O129" s="59"/>
      <c r="P129" s="44" t="s">
        <v>125</v>
      </c>
      <c r="Q129" s="52">
        <v>1242329.375508263</v>
      </c>
      <c r="R129" s="70">
        <v>20.98</v>
      </c>
    </row>
    <row r="130" spans="1:18" x14ac:dyDescent="0.25">
      <c r="A130" s="66" t="s">
        <v>82</v>
      </c>
      <c r="B130" s="116" t="s">
        <v>86</v>
      </c>
      <c r="C130" s="60">
        <v>45987</v>
      </c>
      <c r="D130" s="60">
        <v>45987</v>
      </c>
      <c r="E130" s="44">
        <v>650869</v>
      </c>
      <c r="F130" s="44" t="s">
        <v>124</v>
      </c>
      <c r="G130" s="44" t="s">
        <v>140</v>
      </c>
      <c r="H130" s="44">
        <v>280907</v>
      </c>
      <c r="I130" s="44">
        <v>1</v>
      </c>
      <c r="J130" s="44">
        <v>6.7</v>
      </c>
      <c r="K130" s="61">
        <v>101.28235599999999</v>
      </c>
      <c r="L130" s="44">
        <v>607</v>
      </c>
      <c r="M130" s="52">
        <v>61478.389934250416</v>
      </c>
      <c r="N130" s="44"/>
      <c r="O130" s="59"/>
      <c r="P130" s="44" t="s">
        <v>125</v>
      </c>
      <c r="Q130" s="52">
        <v>61478.389934250416</v>
      </c>
      <c r="R130" s="70">
        <v>-10.94</v>
      </c>
    </row>
    <row r="131" spans="1:18" x14ac:dyDescent="0.25">
      <c r="A131" s="66" t="s">
        <v>82</v>
      </c>
      <c r="B131" s="116" t="s">
        <v>121</v>
      </c>
      <c r="C131" s="60">
        <v>45987</v>
      </c>
      <c r="D131" s="60">
        <v>45987</v>
      </c>
      <c r="E131" s="44">
        <v>650869</v>
      </c>
      <c r="F131" s="44" t="s">
        <v>124</v>
      </c>
      <c r="G131" s="44" t="s">
        <v>140</v>
      </c>
      <c r="H131" s="44">
        <v>280907</v>
      </c>
      <c r="I131" s="44">
        <v>1</v>
      </c>
      <c r="J131" s="44">
        <v>6.7</v>
      </c>
      <c r="K131" s="61">
        <v>101.28235599999999</v>
      </c>
      <c r="L131" s="44">
        <v>10245</v>
      </c>
      <c r="M131" s="52">
        <v>1037637.7345574884</v>
      </c>
      <c r="N131" s="44"/>
      <c r="O131" s="59"/>
      <c r="P131" s="44" t="s">
        <v>125</v>
      </c>
      <c r="Q131" s="52">
        <v>1037637.7345574884</v>
      </c>
      <c r="R131" s="70">
        <v>67.819999999999993</v>
      </c>
    </row>
    <row r="132" spans="1:18" x14ac:dyDescent="0.25">
      <c r="A132" s="66" t="s">
        <v>82</v>
      </c>
      <c r="B132" s="116" t="s">
        <v>85</v>
      </c>
      <c r="C132" s="60">
        <v>45987</v>
      </c>
      <c r="D132" s="60">
        <v>45988</v>
      </c>
      <c r="E132" s="44">
        <v>650869</v>
      </c>
      <c r="F132" s="44" t="s">
        <v>83</v>
      </c>
      <c r="G132" s="44" t="s">
        <v>140</v>
      </c>
      <c r="H132" s="44">
        <v>280907</v>
      </c>
      <c r="I132" s="44">
        <v>1</v>
      </c>
      <c r="J132" s="44">
        <v>231.20651267410631</v>
      </c>
      <c r="K132" s="61">
        <v>101.301205</v>
      </c>
      <c r="L132" s="44">
        <v>12266</v>
      </c>
      <c r="M132" s="52">
        <v>1242560.5820209323</v>
      </c>
      <c r="N132" s="44"/>
      <c r="O132" s="59"/>
      <c r="P132" s="44" t="s">
        <v>81</v>
      </c>
      <c r="Q132" s="52">
        <v>1242560.5820209323</v>
      </c>
      <c r="R132" s="71">
        <v>1242581.56</v>
      </c>
    </row>
    <row r="133" spans="1:18" x14ac:dyDescent="0.25">
      <c r="A133" s="66" t="s">
        <v>82</v>
      </c>
      <c r="B133" s="116" t="s">
        <v>86</v>
      </c>
      <c r="C133" s="60">
        <v>45987</v>
      </c>
      <c r="D133" s="60">
        <v>45988</v>
      </c>
      <c r="E133" s="44">
        <v>650869</v>
      </c>
      <c r="F133" s="44" t="s">
        <v>83</v>
      </c>
      <c r="G133" s="44" t="s">
        <v>140</v>
      </c>
      <c r="H133" s="44">
        <v>280907</v>
      </c>
      <c r="I133" s="44">
        <v>1</v>
      </c>
      <c r="J133" s="44">
        <v>11.441574530668721</v>
      </c>
      <c r="K133" s="61">
        <v>101.301205</v>
      </c>
      <c r="L133" s="44">
        <v>607</v>
      </c>
      <c r="M133" s="52">
        <v>61489.831508780851</v>
      </c>
      <c r="N133" s="44"/>
      <c r="O133" s="59"/>
      <c r="P133" s="44" t="s">
        <v>81</v>
      </c>
      <c r="Q133" s="52">
        <v>61489.831508780851</v>
      </c>
      <c r="R133" s="71">
        <v>61478.89</v>
      </c>
    </row>
    <row r="134" spans="1:18" x14ac:dyDescent="0.25">
      <c r="A134" s="66" t="s">
        <v>82</v>
      </c>
      <c r="B134" s="116" t="s">
        <v>121</v>
      </c>
      <c r="C134" s="60">
        <v>45987</v>
      </c>
      <c r="D134" s="60">
        <v>45988</v>
      </c>
      <c r="E134" s="44">
        <v>650869</v>
      </c>
      <c r="F134" s="44" t="s">
        <v>83</v>
      </c>
      <c r="G134" s="44" t="s">
        <v>140</v>
      </c>
      <c r="H134" s="44">
        <v>280907</v>
      </c>
      <c r="I134" s="44">
        <v>1</v>
      </c>
      <c r="J134" s="44">
        <v>193.11191279522413</v>
      </c>
      <c r="K134" s="61">
        <v>101.301205</v>
      </c>
      <c r="L134" s="44">
        <v>10245</v>
      </c>
      <c r="M134" s="52">
        <v>1037830.8464702797</v>
      </c>
      <c r="N134" s="44"/>
      <c r="O134" s="59"/>
      <c r="P134" s="44" t="s">
        <v>81</v>
      </c>
      <c r="Q134" s="52">
        <v>1037830.8464702797</v>
      </c>
      <c r="R134" s="71">
        <v>1037898.67</v>
      </c>
    </row>
    <row r="135" spans="1:18" x14ac:dyDescent="0.25">
      <c r="A135" s="66" t="s">
        <v>82</v>
      </c>
      <c r="B135" s="116" t="s">
        <v>85</v>
      </c>
      <c r="C135" s="60">
        <v>45988</v>
      </c>
      <c r="D135" s="60">
        <v>45988</v>
      </c>
      <c r="E135" s="44">
        <v>652141</v>
      </c>
      <c r="F135" s="44" t="s">
        <v>124</v>
      </c>
      <c r="G135" s="44" t="s">
        <v>140</v>
      </c>
      <c r="H135" s="44">
        <v>280907</v>
      </c>
      <c r="I135" s="44">
        <v>1</v>
      </c>
      <c r="J135" s="44">
        <v>6.7</v>
      </c>
      <c r="K135" s="61">
        <v>101.296412</v>
      </c>
      <c r="L135" s="44">
        <v>12267</v>
      </c>
      <c r="M135" s="52">
        <v>1242603.0812137241</v>
      </c>
      <c r="N135" s="44"/>
      <c r="O135" s="59"/>
      <c r="P135" s="44" t="s">
        <v>125</v>
      </c>
      <c r="Q135" s="52">
        <v>1242603.0812137241</v>
      </c>
      <c r="R135" s="70">
        <v>-21.52</v>
      </c>
    </row>
    <row r="136" spans="1:18" x14ac:dyDescent="0.25">
      <c r="A136" s="66" t="s">
        <v>82</v>
      </c>
      <c r="B136" s="116" t="s">
        <v>86</v>
      </c>
      <c r="C136" s="60">
        <v>45988</v>
      </c>
      <c r="D136" s="60">
        <v>45988</v>
      </c>
      <c r="E136" s="44">
        <v>652141</v>
      </c>
      <c r="F136" s="44" t="s">
        <v>124</v>
      </c>
      <c r="G136" s="44" t="s">
        <v>140</v>
      </c>
      <c r="H136" s="44">
        <v>280907</v>
      </c>
      <c r="I136" s="44">
        <v>1</v>
      </c>
      <c r="J136" s="44">
        <v>6.7</v>
      </c>
      <c r="K136" s="61">
        <v>101.296412</v>
      </c>
      <c r="L136" s="44">
        <v>607</v>
      </c>
      <c r="M136" s="52">
        <v>61486.921846965895</v>
      </c>
      <c r="N136" s="44"/>
      <c r="O136" s="59"/>
      <c r="P136" s="44" t="s">
        <v>125</v>
      </c>
      <c r="Q136" s="52">
        <v>61486.921846965895</v>
      </c>
      <c r="R136" s="70">
        <v>-8.0299999999999994</v>
      </c>
    </row>
    <row r="137" spans="1:18" x14ac:dyDescent="0.25">
      <c r="A137" s="66" t="s">
        <v>82</v>
      </c>
      <c r="B137" s="116" t="s">
        <v>121</v>
      </c>
      <c r="C137" s="60">
        <v>45988</v>
      </c>
      <c r="D137" s="60">
        <v>45988</v>
      </c>
      <c r="E137" s="44">
        <v>652141</v>
      </c>
      <c r="F137" s="44" t="s">
        <v>124</v>
      </c>
      <c r="G137" s="44" t="s">
        <v>140</v>
      </c>
      <c r="H137" s="44">
        <v>280907</v>
      </c>
      <c r="I137" s="44">
        <v>1</v>
      </c>
      <c r="J137" s="44">
        <v>6.7</v>
      </c>
      <c r="K137" s="61">
        <v>101.296412</v>
      </c>
      <c r="L137" s="44">
        <v>10245</v>
      </c>
      <c r="M137" s="52">
        <v>1037781.7369393172</v>
      </c>
      <c r="N137" s="44"/>
      <c r="O137" s="59"/>
      <c r="P137" s="44" t="s">
        <v>125</v>
      </c>
      <c r="Q137" s="52">
        <v>1037781.7369393172</v>
      </c>
      <c r="R137" s="70">
        <v>116.93</v>
      </c>
    </row>
    <row r="138" spans="1:18" x14ac:dyDescent="0.25">
      <c r="A138" s="66" t="s">
        <v>82</v>
      </c>
      <c r="B138" s="116" t="s">
        <v>85</v>
      </c>
      <c r="C138" s="60">
        <v>45988</v>
      </c>
      <c r="D138" s="60">
        <v>45989</v>
      </c>
      <c r="E138" s="44">
        <v>652141</v>
      </c>
      <c r="F138" s="44" t="s">
        <v>83</v>
      </c>
      <c r="G138" s="44" t="s">
        <v>140</v>
      </c>
      <c r="H138" s="44">
        <v>280907</v>
      </c>
      <c r="I138" s="44">
        <v>1</v>
      </c>
      <c r="J138" s="44">
        <v>231.25780872875114</v>
      </c>
      <c r="K138" s="61">
        <v>101.315264</v>
      </c>
      <c r="L138" s="44">
        <v>12267</v>
      </c>
      <c r="M138" s="52">
        <v>1242834.3390224441</v>
      </c>
      <c r="N138" s="44"/>
      <c r="O138" s="59"/>
      <c r="P138" s="44" t="s">
        <v>81</v>
      </c>
      <c r="Q138" s="52">
        <v>1242834.3390224441</v>
      </c>
      <c r="R138" s="71">
        <v>1242812.82</v>
      </c>
    </row>
    <row r="139" spans="1:18" x14ac:dyDescent="0.25">
      <c r="A139" s="66" t="s">
        <v>82</v>
      </c>
      <c r="B139" s="116" t="s">
        <v>86</v>
      </c>
      <c r="C139" s="60">
        <v>45988</v>
      </c>
      <c r="D139" s="60">
        <v>45989</v>
      </c>
      <c r="E139" s="44">
        <v>652141</v>
      </c>
      <c r="F139" s="44" t="s">
        <v>83</v>
      </c>
      <c r="G139" s="44" t="s">
        <v>140</v>
      </c>
      <c r="H139" s="44">
        <v>280907</v>
      </c>
      <c r="I139" s="44">
        <v>1</v>
      </c>
      <c r="J139" s="44">
        <v>11.443180068342052</v>
      </c>
      <c r="K139" s="61">
        <v>101.315264</v>
      </c>
      <c r="L139" s="44">
        <v>607</v>
      </c>
      <c r="M139" s="52">
        <v>61498.365027033789</v>
      </c>
      <c r="N139" s="44"/>
      <c r="O139" s="59"/>
      <c r="P139" s="44" t="s">
        <v>81</v>
      </c>
      <c r="Q139" s="52">
        <v>61498.365027033789</v>
      </c>
      <c r="R139" s="71">
        <v>61490.34</v>
      </c>
    </row>
    <row r="140" spans="1:18" x14ac:dyDescent="0.25">
      <c r="A140" s="66" t="s">
        <v>82</v>
      </c>
      <c r="B140" s="116" t="s">
        <v>121</v>
      </c>
      <c r="C140" s="60">
        <v>45988</v>
      </c>
      <c r="D140" s="60">
        <v>45989</v>
      </c>
      <c r="E140" s="44">
        <v>652141</v>
      </c>
      <c r="F140" s="44" t="s">
        <v>83</v>
      </c>
      <c r="G140" s="44" t="s">
        <v>140</v>
      </c>
      <c r="H140" s="44">
        <v>280907</v>
      </c>
      <c r="I140" s="44">
        <v>1</v>
      </c>
      <c r="J140" s="44">
        <v>193.13901120290663</v>
      </c>
      <c r="K140" s="61">
        <v>101.315264</v>
      </c>
      <c r="L140" s="44">
        <v>10245</v>
      </c>
      <c r="M140" s="52">
        <v>1037974.8759505126</v>
      </c>
      <c r="N140" s="44"/>
      <c r="O140" s="59"/>
      <c r="P140" s="44" t="s">
        <v>81</v>
      </c>
      <c r="Q140" s="52">
        <v>1037974.8759505126</v>
      </c>
      <c r="R140" s="71">
        <v>1038091.81</v>
      </c>
    </row>
    <row r="141" spans="1:18" x14ac:dyDescent="0.25">
      <c r="A141" s="66" t="s">
        <v>80</v>
      </c>
      <c r="B141" s="116" t="s">
        <v>85</v>
      </c>
      <c r="C141" s="60">
        <v>45989</v>
      </c>
      <c r="D141" s="60">
        <v>45989</v>
      </c>
      <c r="E141" s="44">
        <v>653785</v>
      </c>
      <c r="F141" s="44" t="s">
        <v>153</v>
      </c>
      <c r="G141" s="44" t="s">
        <v>154</v>
      </c>
      <c r="H141" s="44" t="s">
        <v>154</v>
      </c>
      <c r="I141" s="44"/>
      <c r="J141" s="44"/>
      <c r="K141" s="61"/>
      <c r="L141" s="44"/>
      <c r="M141" s="52">
        <v>22419.24</v>
      </c>
      <c r="N141" s="44"/>
      <c r="O141" s="59">
        <v>3587.08</v>
      </c>
      <c r="P141" s="44" t="s">
        <v>125</v>
      </c>
      <c r="Q141" s="52">
        <v>26006.32</v>
      </c>
      <c r="R141" s="71">
        <v>1216806.48</v>
      </c>
    </row>
    <row r="142" spans="1:18" x14ac:dyDescent="0.25">
      <c r="A142" s="66" t="s">
        <v>80</v>
      </c>
      <c r="B142" s="116" t="s">
        <v>86</v>
      </c>
      <c r="C142" s="60">
        <v>45989</v>
      </c>
      <c r="D142" s="60">
        <v>45989</v>
      </c>
      <c r="E142" s="44">
        <v>653785</v>
      </c>
      <c r="F142" s="44" t="s">
        <v>153</v>
      </c>
      <c r="G142" s="44" t="s">
        <v>154</v>
      </c>
      <c r="H142" s="44" t="s">
        <v>154</v>
      </c>
      <c r="I142" s="44"/>
      <c r="J142" s="44"/>
      <c r="K142" s="61"/>
      <c r="L142" s="44"/>
      <c r="M142" s="52">
        <v>84.75</v>
      </c>
      <c r="N142" s="44"/>
      <c r="O142" s="59">
        <v>13.56</v>
      </c>
      <c r="P142" s="44" t="s">
        <v>125</v>
      </c>
      <c r="Q142" s="52">
        <v>98.31</v>
      </c>
      <c r="R142" s="71">
        <v>61392.03</v>
      </c>
    </row>
    <row r="143" spans="1:18" x14ac:dyDescent="0.25">
      <c r="A143" s="66" t="s">
        <v>80</v>
      </c>
      <c r="B143" s="116" t="s">
        <v>121</v>
      </c>
      <c r="C143" s="60">
        <v>45989</v>
      </c>
      <c r="D143" s="60">
        <v>45989</v>
      </c>
      <c r="E143" s="44">
        <v>653785</v>
      </c>
      <c r="F143" s="44" t="s">
        <v>153</v>
      </c>
      <c r="G143" s="44" t="s">
        <v>154</v>
      </c>
      <c r="H143" s="44" t="s">
        <v>154</v>
      </c>
      <c r="I143" s="44"/>
      <c r="J143" s="44"/>
      <c r="K143" s="61"/>
      <c r="L143" s="44"/>
      <c r="M143" s="52">
        <v>18924.902399999995</v>
      </c>
      <c r="N143" s="44"/>
      <c r="O143" s="59">
        <v>3027.98</v>
      </c>
      <c r="P143" s="44" t="s">
        <v>125</v>
      </c>
      <c r="Q143" s="52">
        <v>21952.880000000001</v>
      </c>
      <c r="R143" s="71">
        <v>1016138.91</v>
      </c>
    </row>
    <row r="144" spans="1:18" x14ac:dyDescent="0.25">
      <c r="A144" s="66" t="s">
        <v>82</v>
      </c>
      <c r="B144" s="116" t="s">
        <v>85</v>
      </c>
      <c r="C144" s="60">
        <v>45989</v>
      </c>
      <c r="D144" s="60">
        <v>45989</v>
      </c>
      <c r="E144" s="44">
        <v>653787</v>
      </c>
      <c r="F144" s="44" t="s">
        <v>124</v>
      </c>
      <c r="G144" s="44" t="s">
        <v>140</v>
      </c>
      <c r="H144" s="44">
        <v>280907</v>
      </c>
      <c r="I144" s="44">
        <v>3</v>
      </c>
      <c r="J144" s="44">
        <v>6.7</v>
      </c>
      <c r="K144" s="61">
        <v>101.31731600000001</v>
      </c>
      <c r="L144" s="44">
        <v>12010</v>
      </c>
      <c r="M144" s="52">
        <v>1216820.964725106</v>
      </c>
      <c r="N144" s="44"/>
      <c r="O144" s="59"/>
      <c r="P144" s="44" t="s">
        <v>125</v>
      </c>
      <c r="Q144" s="52">
        <v>1216820.964725106</v>
      </c>
      <c r="R144" s="70">
        <v>-14.48</v>
      </c>
    </row>
    <row r="145" spans="1:18" x14ac:dyDescent="0.25">
      <c r="A145" s="66" t="s">
        <v>82</v>
      </c>
      <c r="B145" s="116" t="s">
        <v>86</v>
      </c>
      <c r="C145" s="60">
        <v>45989</v>
      </c>
      <c r="D145" s="60">
        <v>45989</v>
      </c>
      <c r="E145" s="44">
        <v>653787</v>
      </c>
      <c r="F145" s="44" t="s">
        <v>124</v>
      </c>
      <c r="G145" s="44" t="s">
        <v>140</v>
      </c>
      <c r="H145" s="44">
        <v>280907</v>
      </c>
      <c r="I145" s="44">
        <v>3</v>
      </c>
      <c r="J145" s="44">
        <v>6.7</v>
      </c>
      <c r="K145" s="61">
        <v>101.31731600000001</v>
      </c>
      <c r="L145" s="44">
        <v>606</v>
      </c>
      <c r="M145" s="52">
        <v>61398.29347405614</v>
      </c>
      <c r="N145" s="44"/>
      <c r="O145" s="59"/>
      <c r="P145" s="44" t="s">
        <v>125</v>
      </c>
      <c r="Q145" s="52">
        <v>61398.29347405614</v>
      </c>
      <c r="R145" s="70">
        <v>-6.26</v>
      </c>
    </row>
    <row r="146" spans="1:18" x14ac:dyDescent="0.25">
      <c r="A146" s="66" t="s">
        <v>82</v>
      </c>
      <c r="B146" s="116" t="s">
        <v>121</v>
      </c>
      <c r="C146" s="60">
        <v>45989</v>
      </c>
      <c r="D146" s="60">
        <v>45989</v>
      </c>
      <c r="E146" s="44">
        <v>653787</v>
      </c>
      <c r="F146" s="44" t="s">
        <v>124</v>
      </c>
      <c r="G146" s="44" t="s">
        <v>140</v>
      </c>
      <c r="H146" s="44">
        <v>280907</v>
      </c>
      <c r="I146" s="44">
        <v>3</v>
      </c>
      <c r="J146" s="44">
        <v>6.7</v>
      </c>
      <c r="K146" s="61">
        <v>101.31731600000001</v>
      </c>
      <c r="L146" s="44">
        <v>10029</v>
      </c>
      <c r="M146" s="52">
        <v>1016111.3618008399</v>
      </c>
      <c r="N146" s="44"/>
      <c r="O146" s="59"/>
      <c r="P146" s="44" t="s">
        <v>125</v>
      </c>
      <c r="Q146" s="52">
        <v>1016111.3618008399</v>
      </c>
      <c r="R146" s="70">
        <v>27.55</v>
      </c>
    </row>
    <row r="147" spans="1:18" x14ac:dyDescent="0.25">
      <c r="A147" s="64"/>
      <c r="B147" s="113"/>
      <c r="R147" s="65"/>
    </row>
    <row r="148" spans="1:18" x14ac:dyDescent="0.25">
      <c r="A148" s="64"/>
      <c r="B148" s="113"/>
      <c r="R148" s="65"/>
    </row>
    <row r="149" spans="1:18" x14ac:dyDescent="0.25">
      <c r="A149" s="95"/>
      <c r="B149" s="96"/>
      <c r="C149" s="96"/>
      <c r="D149" s="96"/>
      <c r="E149" s="96"/>
      <c r="F149" s="96"/>
      <c r="G149" s="96"/>
      <c r="H149" s="96"/>
      <c r="I149" s="96"/>
      <c r="J149" s="96"/>
      <c r="K149" s="96"/>
      <c r="L149" s="96"/>
      <c r="M149" s="96"/>
      <c r="N149" s="96"/>
      <c r="O149" s="96"/>
      <c r="P149" s="96"/>
      <c r="Q149" s="96"/>
      <c r="R149" s="97"/>
    </row>
    <row r="150" spans="1:18" x14ac:dyDescent="0.25">
      <c r="A150" s="64"/>
      <c r="B150" s="113"/>
      <c r="R150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0545" r:id="rId4" name="Button 1">
              <controlPr defaultSize="0" print="0" autoFill="0" autoPict="0" macro="[0]!Corregir">
                <anchor moveWithCells="1" sizeWithCells="1">
                  <from>
                    <xdr:col>18</xdr:col>
                    <xdr:colOff>228600</xdr:colOff>
                    <xdr:row>0</xdr:row>
                    <xdr:rowOff>381000</xdr:rowOff>
                  </from>
                  <to>
                    <xdr:col>19</xdr:col>
                    <xdr:colOff>685800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546" r:id="rId5" name="Button 2">
              <controlPr defaultSize="0" print="0" autoFill="0" autoPict="0" macro="[0]!AcualizarMovimientos">
                <anchor moveWithCells="1" sizeWithCells="1">
                  <from>
                    <xdr:col>19</xdr:col>
                    <xdr:colOff>742950</xdr:colOff>
                    <xdr:row>0</xdr:row>
                    <xdr:rowOff>381000</xdr:rowOff>
                  </from>
                  <to>
                    <xdr:col>21</xdr:col>
                    <xdr:colOff>438150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547" r:id="rId6" name="Button 3">
              <controlPr defaultSize="0" print="0" autoFill="0" autoPict="0" macro="[0]!AgregarMovimentos">
                <anchor moveWithCells="1" sizeWithCells="1">
                  <from>
                    <xdr:col>18</xdr:col>
                    <xdr:colOff>228600</xdr:colOff>
                    <xdr:row>2</xdr:row>
                    <xdr:rowOff>104775</xdr:rowOff>
                  </from>
                  <to>
                    <xdr:col>19</xdr:col>
                    <xdr:colOff>685800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548" r:id="rId7" name="Button 4">
              <controlPr defaultSize="0" print="0" autoFill="0" autoPict="0" macro="[0]!PDFActiveSheet">
                <anchor moveWithCells="1" sizeWithCells="1">
                  <from>
                    <xdr:col>19</xdr:col>
                    <xdr:colOff>742950</xdr:colOff>
                    <xdr:row>2</xdr:row>
                    <xdr:rowOff>104775</xdr:rowOff>
                  </from>
                  <to>
                    <xdr:col>22</xdr:col>
                    <xdr:colOff>28575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94A1A-8D7A-4A8A-B538-06A9443F194A}">
  <dimension ref="A1:S63"/>
  <sheetViews>
    <sheetView topLeftCell="B7" workbookViewId="0">
      <selection activeCell="S38" sqref="S38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5703125" bestFit="1" customWidth="1"/>
    <col min="14" max="14" width="10.7109375" customWidth="1"/>
    <col min="15" max="15" width="11.85546875" bestFit="1" customWidth="1"/>
    <col min="16" max="16" width="10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17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17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45991</v>
      </c>
      <c r="N4" s="14" t="s">
        <v>24</v>
      </c>
      <c r="O4" s="16">
        <v>45991</v>
      </c>
      <c r="R4" s="65"/>
    </row>
    <row r="5" spans="1:19" x14ac:dyDescent="0.25">
      <c r="A5" s="67" t="s">
        <v>25</v>
      </c>
      <c r="B5" s="117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B6" s="113"/>
      <c r="R6" s="65"/>
    </row>
    <row r="7" spans="1:19" x14ac:dyDescent="0.25">
      <c r="A7" s="17" t="s">
        <v>31</v>
      </c>
      <c r="B7" s="115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130</v>
      </c>
    </row>
    <row r="8" spans="1:19" x14ac:dyDescent="0.25">
      <c r="A8" s="17"/>
      <c r="B8" s="115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116" t="s">
        <v>85</v>
      </c>
      <c r="C9" s="44" t="s">
        <v>133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10433</v>
      </c>
      <c r="J9" s="88">
        <v>11.105845</v>
      </c>
      <c r="K9" s="52">
        <v>115867.28</v>
      </c>
      <c r="L9" s="88">
        <v>11.11744</v>
      </c>
      <c r="M9" s="52">
        <v>115988.25</v>
      </c>
      <c r="N9" s="89">
        <v>9.09</v>
      </c>
      <c r="O9" s="102">
        <v>94736.960000000006</v>
      </c>
      <c r="P9" s="109">
        <f>+O9-M9</f>
        <v>-21251.289999999994</v>
      </c>
      <c r="Q9" s="49">
        <v>-0.1832</v>
      </c>
      <c r="R9" s="68">
        <v>3.1845264058463179E-3</v>
      </c>
      <c r="S9" s="20" t="s">
        <v>161</v>
      </c>
    </row>
    <row r="10" spans="1:19" x14ac:dyDescent="0.25">
      <c r="A10" s="66" t="s">
        <v>82</v>
      </c>
      <c r="B10" s="116" t="s">
        <v>121</v>
      </c>
      <c r="C10" s="44" t="s">
        <v>133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3400</v>
      </c>
      <c r="J10" s="88">
        <v>11.105845</v>
      </c>
      <c r="K10" s="52">
        <v>37759.870000000003</v>
      </c>
      <c r="L10" s="88">
        <v>11.11744</v>
      </c>
      <c r="M10" s="52">
        <v>37799.300000000003</v>
      </c>
      <c r="N10" s="89">
        <v>9.09</v>
      </c>
      <c r="O10" s="102">
        <v>30873.74</v>
      </c>
      <c r="P10" s="109">
        <f t="shared" ref="P10:P45" si="0">+O10-M10</f>
        <v>-6925.5600000000013</v>
      </c>
      <c r="Q10" s="49">
        <v>-0.1832</v>
      </c>
      <c r="R10" s="68">
        <v>1.0378023558834239E-3</v>
      </c>
      <c r="S10" s="20" t="s">
        <v>161</v>
      </c>
    </row>
    <row r="11" spans="1:19" x14ac:dyDescent="0.25">
      <c r="A11" s="66" t="s">
        <v>82</v>
      </c>
      <c r="B11" s="116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3.45</v>
      </c>
      <c r="O11" s="102">
        <v>273426.89</v>
      </c>
      <c r="P11" s="56">
        <f t="shared" si="0"/>
        <v>2886.5300000000279</v>
      </c>
      <c r="Q11" s="50">
        <v>1.0699999999999999E-2</v>
      </c>
      <c r="R11" s="68">
        <v>9.1910818256511137E-3</v>
      </c>
      <c r="S11" s="20" t="s">
        <v>161</v>
      </c>
    </row>
    <row r="12" spans="1:19" x14ac:dyDescent="0.25">
      <c r="A12" s="66" t="s">
        <v>82</v>
      </c>
      <c r="B12" s="116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3.45</v>
      </c>
      <c r="O12" s="102">
        <v>66422.429999999993</v>
      </c>
      <c r="P12" s="56">
        <f t="shared" si="0"/>
        <v>701.20999999999185</v>
      </c>
      <c r="Q12" s="50">
        <v>1.0699999999999999E-2</v>
      </c>
      <c r="R12" s="68">
        <v>2.2327503677073723E-3</v>
      </c>
      <c r="S12" s="20" t="s">
        <v>161</v>
      </c>
    </row>
    <row r="13" spans="1:19" x14ac:dyDescent="0.25">
      <c r="A13" s="66" t="s">
        <v>82</v>
      </c>
      <c r="B13" s="116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9075</v>
      </c>
      <c r="J13" s="88">
        <v>35.412551000000001</v>
      </c>
      <c r="K13" s="52">
        <v>321368.90000000002</v>
      </c>
      <c r="L13" s="88">
        <v>35.449522999999999</v>
      </c>
      <c r="M13" s="52">
        <v>321704.42</v>
      </c>
      <c r="N13" s="89">
        <v>37.81</v>
      </c>
      <c r="O13" s="102">
        <v>342767.53</v>
      </c>
      <c r="P13" s="56">
        <f t="shared" si="0"/>
        <v>21063.110000000044</v>
      </c>
      <c r="Q13" s="50">
        <v>6.5500000000000003E-2</v>
      </c>
      <c r="R13" s="68">
        <v>1.1521926081982365E-2</v>
      </c>
      <c r="S13" s="20" t="s">
        <v>161</v>
      </c>
    </row>
    <row r="14" spans="1:19" x14ac:dyDescent="0.25">
      <c r="A14" s="66" t="s">
        <v>82</v>
      </c>
      <c r="B14" s="116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9075</v>
      </c>
      <c r="J14" s="88">
        <v>35.412551000000001</v>
      </c>
      <c r="K14" s="52">
        <v>321368.90000000002</v>
      </c>
      <c r="L14" s="88">
        <v>35.449522999999999</v>
      </c>
      <c r="M14" s="52">
        <v>321704.42</v>
      </c>
      <c r="N14" s="89">
        <v>37.81</v>
      </c>
      <c r="O14" s="102">
        <v>342767.53</v>
      </c>
      <c r="P14" s="56">
        <f t="shared" si="0"/>
        <v>21063.110000000044</v>
      </c>
      <c r="Q14" s="50">
        <v>6.5500000000000003E-2</v>
      </c>
      <c r="R14" s="68">
        <v>1.1521926081982365E-2</v>
      </c>
      <c r="S14" s="20" t="s">
        <v>161</v>
      </c>
    </row>
    <row r="15" spans="1:19" x14ac:dyDescent="0.25">
      <c r="A15" s="66" t="s">
        <v>82</v>
      </c>
      <c r="B15" s="116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29.33</v>
      </c>
      <c r="O15" s="102">
        <v>139494.35</v>
      </c>
      <c r="P15" s="56">
        <f t="shared" si="0"/>
        <v>40097.040000000008</v>
      </c>
      <c r="Q15" s="50">
        <v>0.40339999999999998</v>
      </c>
      <c r="R15" s="68">
        <v>4.6890193757681093E-3</v>
      </c>
      <c r="S15" s="20" t="s">
        <v>161</v>
      </c>
    </row>
    <row r="16" spans="1:19" x14ac:dyDescent="0.25">
      <c r="A16" s="66" t="s">
        <v>82</v>
      </c>
      <c r="B16" s="116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29.33</v>
      </c>
      <c r="O16" s="102">
        <v>58598.76</v>
      </c>
      <c r="P16" s="56">
        <f t="shared" si="0"/>
        <v>16843.96</v>
      </c>
      <c r="Q16" s="50">
        <v>0.40339999999999998</v>
      </c>
      <c r="R16" s="68">
        <v>1.9697623669774813E-3</v>
      </c>
      <c r="S16" s="20" t="s">
        <v>161</v>
      </c>
    </row>
    <row r="17" spans="1:19" x14ac:dyDescent="0.25">
      <c r="A17" s="66" t="s">
        <v>82</v>
      </c>
      <c r="B17" s="116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22107</v>
      </c>
      <c r="J17" s="88">
        <v>26.328993000000001</v>
      </c>
      <c r="K17" s="52">
        <v>582055.05000000005</v>
      </c>
      <c r="L17" s="88">
        <v>26.356480999999999</v>
      </c>
      <c r="M17" s="52">
        <v>582662.73</v>
      </c>
      <c r="N17" s="89">
        <v>21.75</v>
      </c>
      <c r="O17" s="102">
        <v>480325.26</v>
      </c>
      <c r="P17" s="109">
        <f t="shared" si="0"/>
        <v>-102337.46999999997</v>
      </c>
      <c r="Q17" s="49">
        <v>-0.17560000000000001</v>
      </c>
      <c r="R17" s="68">
        <v>1.6145847131520771E-2</v>
      </c>
      <c r="S17" s="20" t="s">
        <v>161</v>
      </c>
    </row>
    <row r="18" spans="1:19" x14ac:dyDescent="0.25">
      <c r="A18" s="66" t="s">
        <v>82</v>
      </c>
      <c r="B18" s="116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21679</v>
      </c>
      <c r="J18" s="88">
        <v>26.328993000000001</v>
      </c>
      <c r="K18" s="52">
        <v>570786.24</v>
      </c>
      <c r="L18" s="88">
        <v>26.356480999999999</v>
      </c>
      <c r="M18" s="52">
        <v>571382.15</v>
      </c>
      <c r="N18" s="89">
        <v>21.75</v>
      </c>
      <c r="O18" s="102">
        <v>471025.99</v>
      </c>
      <c r="P18" s="109">
        <f t="shared" si="0"/>
        <v>-100356.16000000003</v>
      </c>
      <c r="Q18" s="49">
        <v>-0.17560000000000001</v>
      </c>
      <c r="R18" s="68">
        <v>1.5833257716892157E-2</v>
      </c>
      <c r="S18" s="20" t="s">
        <v>161</v>
      </c>
    </row>
    <row r="19" spans="1:19" x14ac:dyDescent="0.25">
      <c r="A19" s="66" t="s">
        <v>82</v>
      </c>
      <c r="B19" s="116" t="s">
        <v>121</v>
      </c>
      <c r="C19" s="44" t="s">
        <v>101</v>
      </c>
      <c r="D19" s="44" t="s">
        <v>102</v>
      </c>
      <c r="E19" s="44">
        <v>18</v>
      </c>
      <c r="F19" s="20">
        <v>0</v>
      </c>
      <c r="G19" s="20">
        <v>0</v>
      </c>
      <c r="H19" s="20">
        <v>0</v>
      </c>
      <c r="I19" s="34">
        <v>2845</v>
      </c>
      <c r="J19" s="88">
        <v>188.60163</v>
      </c>
      <c r="K19" s="52">
        <v>536571.64</v>
      </c>
      <c r="L19" s="88">
        <v>188.798531</v>
      </c>
      <c r="M19" s="52">
        <v>537131.81999999995</v>
      </c>
      <c r="N19" s="89">
        <v>176.55</v>
      </c>
      <c r="O19" s="102">
        <v>501760.36</v>
      </c>
      <c r="P19" s="109">
        <f t="shared" si="0"/>
        <v>-35371.459999999963</v>
      </c>
      <c r="Q19" s="49">
        <v>-6.59E-2</v>
      </c>
      <c r="R19" s="68">
        <v>1.6866375233350897E-2</v>
      </c>
      <c r="S19" s="20" t="s">
        <v>161</v>
      </c>
    </row>
    <row r="20" spans="1:19" x14ac:dyDescent="0.25">
      <c r="A20" s="66" t="s">
        <v>82</v>
      </c>
      <c r="B20" s="116" t="s">
        <v>85</v>
      </c>
      <c r="C20" s="44" t="s">
        <v>101</v>
      </c>
      <c r="D20" s="44" t="s">
        <v>102</v>
      </c>
      <c r="E20" s="44">
        <v>18</v>
      </c>
      <c r="F20" s="20">
        <v>0</v>
      </c>
      <c r="G20" s="20">
        <v>0</v>
      </c>
      <c r="H20" s="20">
        <v>0</v>
      </c>
      <c r="I20" s="34">
        <v>3040</v>
      </c>
      <c r="J20" s="88">
        <v>188.60163</v>
      </c>
      <c r="K20" s="52">
        <v>573348.96</v>
      </c>
      <c r="L20" s="88">
        <v>188.798531</v>
      </c>
      <c r="M20" s="52">
        <v>573947.53</v>
      </c>
      <c r="N20" s="89">
        <v>176.55</v>
      </c>
      <c r="O20" s="102">
        <v>536151.67000000004</v>
      </c>
      <c r="P20" s="109">
        <f t="shared" si="0"/>
        <v>-37795.859999999986</v>
      </c>
      <c r="Q20" s="49">
        <v>-6.59E-2</v>
      </c>
      <c r="R20" s="68">
        <v>1.8022418606778192E-2</v>
      </c>
      <c r="S20" s="20" t="s">
        <v>161</v>
      </c>
    </row>
    <row r="21" spans="1:19" x14ac:dyDescent="0.25">
      <c r="A21" s="66" t="s">
        <v>82</v>
      </c>
      <c r="B21" s="116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33835</v>
      </c>
      <c r="J21" s="88">
        <v>9.3137659999999993</v>
      </c>
      <c r="K21" s="52">
        <v>315131.27</v>
      </c>
      <c r="L21" s="88">
        <v>9.3234899999999996</v>
      </c>
      <c r="M21" s="52">
        <v>315460.28000000003</v>
      </c>
      <c r="N21" s="89">
        <v>8.2799999999999994</v>
      </c>
      <c r="O21" s="102">
        <v>279861.32</v>
      </c>
      <c r="P21" s="109">
        <f t="shared" si="0"/>
        <v>-35598.960000000021</v>
      </c>
      <c r="Q21" s="49">
        <v>-0.1128</v>
      </c>
      <c r="R21" s="68">
        <v>9.4073713523740495E-3</v>
      </c>
      <c r="S21" s="20" t="s">
        <v>161</v>
      </c>
    </row>
    <row r="22" spans="1:19" x14ac:dyDescent="0.25">
      <c r="A22" s="66" t="s">
        <v>82</v>
      </c>
      <c r="B22" s="116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26525</v>
      </c>
      <c r="J22" s="88">
        <v>9.3137659999999993</v>
      </c>
      <c r="K22" s="52">
        <v>247047.64</v>
      </c>
      <c r="L22" s="88">
        <v>9.3234899999999996</v>
      </c>
      <c r="M22" s="52">
        <v>247305.57</v>
      </c>
      <c r="N22" s="89">
        <v>8.2799999999999994</v>
      </c>
      <c r="O22" s="102">
        <v>219397.71</v>
      </c>
      <c r="P22" s="109">
        <f t="shared" si="0"/>
        <v>-27907.860000000015</v>
      </c>
      <c r="Q22" s="49">
        <v>-0.1128</v>
      </c>
      <c r="R22" s="68">
        <v>7.3749231649106401E-3</v>
      </c>
      <c r="S22" s="20" t="s">
        <v>161</v>
      </c>
    </row>
    <row r="23" spans="1:19" x14ac:dyDescent="0.25">
      <c r="A23" s="66" t="s">
        <v>82</v>
      </c>
      <c r="B23" s="116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26.62</v>
      </c>
      <c r="O23" s="102">
        <v>514240.13</v>
      </c>
      <c r="P23" s="110">
        <f t="shared" si="0"/>
        <v>6114.9400000000023</v>
      </c>
      <c r="Q23" s="50">
        <v>1.2E-2</v>
      </c>
      <c r="R23" s="68">
        <v>1.7285875258514133E-2</v>
      </c>
      <c r="S23" s="20" t="s">
        <v>161</v>
      </c>
    </row>
    <row r="24" spans="1:19" x14ac:dyDescent="0.25">
      <c r="A24" s="66" t="s">
        <v>82</v>
      </c>
      <c r="B24" s="116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26.62</v>
      </c>
      <c r="O24" s="102">
        <v>353623.19</v>
      </c>
      <c r="P24" s="110">
        <f t="shared" si="0"/>
        <v>4205.0100000000093</v>
      </c>
      <c r="Q24" s="50">
        <v>1.2E-2</v>
      </c>
      <c r="R24" s="68">
        <v>1.188683261817362E-2</v>
      </c>
      <c r="S24" s="20" t="s">
        <v>161</v>
      </c>
    </row>
    <row r="25" spans="1:19" x14ac:dyDescent="0.25">
      <c r="A25" s="66" t="s">
        <v>82</v>
      </c>
      <c r="B25" s="116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174.99</v>
      </c>
      <c r="O25" s="102">
        <v>90899.81</v>
      </c>
      <c r="P25" s="110">
        <f t="shared" si="0"/>
        <v>4726.8899999999994</v>
      </c>
      <c r="Q25" s="50">
        <v>5.4899999999999997E-2</v>
      </c>
      <c r="R25" s="68">
        <v>3.0555428972115334E-3</v>
      </c>
      <c r="S25" s="20" t="s">
        <v>161</v>
      </c>
    </row>
    <row r="26" spans="1:19" x14ac:dyDescent="0.25">
      <c r="A26" s="66" t="s">
        <v>82</v>
      </c>
      <c r="B26" s="116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174.99</v>
      </c>
      <c r="O26" s="102">
        <v>108380.53</v>
      </c>
      <c r="P26" s="110">
        <f t="shared" si="0"/>
        <v>5635.8999999999942</v>
      </c>
      <c r="Q26" s="50">
        <v>5.4899999999999997E-2</v>
      </c>
      <c r="R26" s="68">
        <v>3.6431468738770908E-3</v>
      </c>
      <c r="S26" s="20" t="s">
        <v>161</v>
      </c>
    </row>
    <row r="27" spans="1:19" x14ac:dyDescent="0.25">
      <c r="A27" s="66" t="s">
        <v>139</v>
      </c>
      <c r="B27" s="116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258</v>
      </c>
      <c r="J27" s="88">
        <v>1520.5979159999999</v>
      </c>
      <c r="K27" s="52">
        <v>392314.26</v>
      </c>
      <c r="L27" s="88">
        <v>1522.1854209999999</v>
      </c>
      <c r="M27" s="52">
        <v>392723.84</v>
      </c>
      <c r="N27" s="89">
        <v>1482.7244250000001</v>
      </c>
      <c r="O27" s="102">
        <v>382143.53</v>
      </c>
      <c r="P27" s="109">
        <f t="shared" si="0"/>
        <v>-10580.309999999998</v>
      </c>
      <c r="Q27" s="49">
        <v>-2.69E-2</v>
      </c>
      <c r="R27" s="68">
        <v>1.2845526836710029E-2</v>
      </c>
      <c r="S27" s="20" t="s">
        <v>162</v>
      </c>
    </row>
    <row r="28" spans="1:19" x14ac:dyDescent="0.25">
      <c r="A28" s="66" t="s">
        <v>139</v>
      </c>
      <c r="B28" s="116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222</v>
      </c>
      <c r="J28" s="88">
        <v>1520.5979159999999</v>
      </c>
      <c r="K28" s="52">
        <v>337572.74</v>
      </c>
      <c r="L28" s="88">
        <v>1522.1854209999999</v>
      </c>
      <c r="M28" s="52">
        <v>337925.16</v>
      </c>
      <c r="N28" s="89">
        <v>1482.7244250000001</v>
      </c>
      <c r="O28" s="102">
        <v>328821.17</v>
      </c>
      <c r="P28" s="109">
        <f t="shared" si="0"/>
        <v>-9103.9899999999907</v>
      </c>
      <c r="Q28" s="49">
        <v>-2.69E-2</v>
      </c>
      <c r="R28" s="68">
        <v>1.1053127508696511E-2</v>
      </c>
      <c r="S28" s="20" t="s">
        <v>162</v>
      </c>
    </row>
    <row r="29" spans="1:19" x14ac:dyDescent="0.25">
      <c r="A29" s="66" t="s">
        <v>82</v>
      </c>
      <c r="B29" s="116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850</v>
      </c>
      <c r="J29" s="88">
        <v>232.99238</v>
      </c>
      <c r="K29" s="52">
        <v>198043.51999999999</v>
      </c>
      <c r="L29" s="88">
        <v>233.235624</v>
      </c>
      <c r="M29" s="52">
        <v>198250.28</v>
      </c>
      <c r="N29" s="89">
        <v>772.78</v>
      </c>
      <c r="O29" s="102">
        <v>656177.23</v>
      </c>
      <c r="P29" s="110">
        <f t="shared" si="0"/>
        <v>457926.94999999995</v>
      </c>
      <c r="Q29" s="50">
        <v>2.3098000000000001</v>
      </c>
      <c r="R29" s="68">
        <v>2.2057006218587683E-2</v>
      </c>
      <c r="S29" s="20" t="s">
        <v>161</v>
      </c>
    </row>
    <row r="30" spans="1:19" x14ac:dyDescent="0.25">
      <c r="A30" s="66" t="s">
        <v>139</v>
      </c>
      <c r="B30" s="116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471.23505</v>
      </c>
      <c r="O30" s="102">
        <v>588428.85</v>
      </c>
      <c r="P30" s="110">
        <f t="shared" si="0"/>
        <v>24059.260000000009</v>
      </c>
      <c r="Q30" s="50">
        <v>4.2599999999999999E-2</v>
      </c>
      <c r="R30" s="68">
        <v>1.9779684832474907E-2</v>
      </c>
      <c r="S30" s="20" t="s">
        <v>162</v>
      </c>
    </row>
    <row r="31" spans="1:19" x14ac:dyDescent="0.25">
      <c r="A31" s="66" t="s">
        <v>139</v>
      </c>
      <c r="B31" s="116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471.23505</v>
      </c>
      <c r="O31" s="102">
        <v>588428.85</v>
      </c>
      <c r="P31" s="110">
        <f t="shared" si="0"/>
        <v>24059.260000000009</v>
      </c>
      <c r="Q31" s="50">
        <v>4.2599999999999999E-2</v>
      </c>
      <c r="R31" s="68">
        <v>1.9779684832474907E-2</v>
      </c>
      <c r="S31" s="20" t="s">
        <v>162</v>
      </c>
    </row>
    <row r="32" spans="1:19" x14ac:dyDescent="0.25">
      <c r="A32" s="66" t="s">
        <v>139</v>
      </c>
      <c r="B32" s="116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5696119.9199999999</v>
      </c>
      <c r="N32" s="89">
        <v>2022.063375</v>
      </c>
      <c r="O32" s="102">
        <v>5352873.7</v>
      </c>
      <c r="P32" s="109">
        <f t="shared" si="0"/>
        <v>-343246.21999999974</v>
      </c>
      <c r="Q32" s="49">
        <v>-6.0299999999999999E-2</v>
      </c>
      <c r="R32" s="68">
        <v>0.17993365677778009</v>
      </c>
      <c r="S32" s="20" t="s">
        <v>162</v>
      </c>
    </row>
    <row r="33" spans="1:19" x14ac:dyDescent="0.25">
      <c r="A33" s="66" t="s">
        <v>139</v>
      </c>
      <c r="B33" s="116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7010730.46</v>
      </c>
      <c r="L33" s="88">
        <v>2149.4792130000001</v>
      </c>
      <c r="M33" s="52">
        <v>7018049.6399999997</v>
      </c>
      <c r="N33" s="89">
        <v>2022.063375</v>
      </c>
      <c r="O33" s="102">
        <v>6595144.3899999997</v>
      </c>
      <c r="P33" s="109">
        <f t="shared" si="0"/>
        <v>-422905.25</v>
      </c>
      <c r="Q33" s="49">
        <v>-6.0299999999999999E-2</v>
      </c>
      <c r="R33" s="68">
        <v>0.22169184508690384</v>
      </c>
      <c r="S33" s="20" t="s">
        <v>162</v>
      </c>
    </row>
    <row r="34" spans="1:19" x14ac:dyDescent="0.25">
      <c r="A34" s="66" t="s">
        <v>139</v>
      </c>
      <c r="B34" s="116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2861</v>
      </c>
      <c r="J34" s="88">
        <v>1385.182047</v>
      </c>
      <c r="K34" s="52">
        <v>3963005.86</v>
      </c>
      <c r="L34" s="88">
        <v>1386.6281779999999</v>
      </c>
      <c r="M34" s="52">
        <v>3967143.23</v>
      </c>
      <c r="N34" s="89">
        <v>1520.9871000000001</v>
      </c>
      <c r="O34" s="102">
        <v>4347001.08</v>
      </c>
      <c r="P34" s="110">
        <f t="shared" si="0"/>
        <v>379857.85000000009</v>
      </c>
      <c r="Q34" s="50">
        <v>9.5799999999999996E-2</v>
      </c>
      <c r="R34" s="68">
        <v>0.14612184859533661</v>
      </c>
      <c r="S34" s="20" t="s">
        <v>162</v>
      </c>
    </row>
    <row r="35" spans="1:19" x14ac:dyDescent="0.25">
      <c r="A35" s="66" t="s">
        <v>139</v>
      </c>
      <c r="B35" s="116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237</v>
      </c>
      <c r="J35" s="88">
        <v>1385.182047</v>
      </c>
      <c r="K35" s="52">
        <v>328288.15000000002</v>
      </c>
      <c r="L35" s="88">
        <v>1386.6281779999999</v>
      </c>
      <c r="M35" s="52">
        <v>328630.88</v>
      </c>
      <c r="N35" s="89">
        <v>1520.9871000000001</v>
      </c>
      <c r="O35" s="102">
        <v>360097.61</v>
      </c>
      <c r="P35" s="110">
        <f t="shared" si="0"/>
        <v>31466.729999999981</v>
      </c>
      <c r="Q35" s="50">
        <v>9.5799999999999996E-2</v>
      </c>
      <c r="R35" s="68">
        <v>1.2104466384895072E-2</v>
      </c>
      <c r="S35" s="20" t="s">
        <v>162</v>
      </c>
    </row>
    <row r="36" spans="1:19" x14ac:dyDescent="0.25">
      <c r="A36" s="66" t="s">
        <v>139</v>
      </c>
      <c r="B36" s="116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77</v>
      </c>
      <c r="J36" s="88">
        <v>2823</v>
      </c>
      <c r="K36" s="52">
        <v>217371</v>
      </c>
      <c r="L36" s="88">
        <v>2825.947212</v>
      </c>
      <c r="M36" s="52">
        <v>217597.94</v>
      </c>
      <c r="N36" s="89">
        <v>3411.0533999999998</v>
      </c>
      <c r="O36" s="102">
        <v>262376.90999999997</v>
      </c>
      <c r="P36" s="110">
        <f t="shared" si="0"/>
        <v>44778.969999999972</v>
      </c>
      <c r="Q36" s="50">
        <v>0.20580000000000001</v>
      </c>
      <c r="R36" s="68">
        <v>8.8196433385593406E-3</v>
      </c>
      <c r="S36" s="20" t="s">
        <v>162</v>
      </c>
    </row>
    <row r="37" spans="1:19" x14ac:dyDescent="0.25">
      <c r="A37" s="66" t="s">
        <v>139</v>
      </c>
      <c r="B37" s="116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63</v>
      </c>
      <c r="J37" s="88">
        <v>2823</v>
      </c>
      <c r="K37" s="52">
        <v>177849</v>
      </c>
      <c r="L37" s="88">
        <v>2825.947212</v>
      </c>
      <c r="M37" s="52">
        <v>178034.67</v>
      </c>
      <c r="N37" s="89">
        <v>3411.0533999999998</v>
      </c>
      <c r="O37" s="102">
        <v>214672.01</v>
      </c>
      <c r="P37" s="110">
        <f t="shared" si="0"/>
        <v>36637.339999999997</v>
      </c>
      <c r="Q37" s="50">
        <v>0.20580000000000001</v>
      </c>
      <c r="R37" s="68">
        <v>7.2160715779892538E-3</v>
      </c>
      <c r="S37" s="20" t="s">
        <v>162</v>
      </c>
    </row>
    <row r="38" spans="1:19" x14ac:dyDescent="0.25">
      <c r="A38" s="66" t="s">
        <v>139</v>
      </c>
      <c r="B38" s="116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912</v>
      </c>
      <c r="J38" s="88">
        <v>450.28642500000001</v>
      </c>
      <c r="K38" s="52">
        <v>410661.22</v>
      </c>
      <c r="L38" s="88">
        <v>450.75652400000001</v>
      </c>
      <c r="M38" s="52">
        <v>411089.95</v>
      </c>
      <c r="N38" s="89">
        <v>436.08465000000001</v>
      </c>
      <c r="O38" s="102">
        <v>397294</v>
      </c>
      <c r="P38" s="109">
        <f t="shared" si="0"/>
        <v>-13795.950000000012</v>
      </c>
      <c r="Q38" s="49">
        <v>-3.3599999999999998E-2</v>
      </c>
      <c r="R38" s="68">
        <v>1.3354800849471072E-2</v>
      </c>
      <c r="S38" s="20" t="s">
        <v>162</v>
      </c>
    </row>
    <row r="39" spans="1:19" x14ac:dyDescent="0.25">
      <c r="A39" s="66" t="s">
        <v>139</v>
      </c>
      <c r="B39" s="116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716</v>
      </c>
      <c r="J39" s="88">
        <v>450.28642500000001</v>
      </c>
      <c r="K39" s="52">
        <v>322405.08</v>
      </c>
      <c r="L39" s="88">
        <v>450.75652400000001</v>
      </c>
      <c r="M39" s="52">
        <v>322741.67</v>
      </c>
      <c r="N39" s="89">
        <v>436.08465000000001</v>
      </c>
      <c r="O39" s="102">
        <v>311910.63</v>
      </c>
      <c r="P39" s="109">
        <f t="shared" si="0"/>
        <v>-10831.039999999979</v>
      </c>
      <c r="Q39" s="49">
        <v>-3.3599999999999998E-2</v>
      </c>
      <c r="R39" s="68">
        <v>1.0484689792654954E-2</v>
      </c>
      <c r="S39" s="20" t="s">
        <v>162</v>
      </c>
    </row>
    <row r="40" spans="1:19" x14ac:dyDescent="0.25">
      <c r="A40" s="66" t="s">
        <v>139</v>
      </c>
      <c r="B40" s="116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476.36115000000001</v>
      </c>
      <c r="O40" s="102">
        <v>261725.1</v>
      </c>
      <c r="P40" s="110">
        <f t="shared" si="0"/>
        <v>104882.53</v>
      </c>
      <c r="Q40" s="50">
        <v>0.66869999999999996</v>
      </c>
      <c r="R40" s="68">
        <v>8.7977331341724304E-3</v>
      </c>
      <c r="S40" s="20" t="s">
        <v>162</v>
      </c>
    </row>
    <row r="41" spans="1:19" x14ac:dyDescent="0.25">
      <c r="A41" s="66" t="s">
        <v>139</v>
      </c>
      <c r="B41" s="116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476.36115000000001</v>
      </c>
      <c r="O41" s="102">
        <v>261725.1</v>
      </c>
      <c r="P41" s="110">
        <f t="shared" si="0"/>
        <v>104882.53</v>
      </c>
      <c r="Q41" s="50">
        <v>0.66869999999999996</v>
      </c>
      <c r="R41" s="68">
        <v>8.7977331341724304E-3</v>
      </c>
      <c r="S41" s="20" t="s">
        <v>162</v>
      </c>
    </row>
    <row r="42" spans="1:19" x14ac:dyDescent="0.25">
      <c r="A42" s="66" t="s">
        <v>139</v>
      </c>
      <c r="B42" s="116" t="s">
        <v>85</v>
      </c>
      <c r="C42" s="44" t="s">
        <v>155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70</v>
      </c>
      <c r="J42" s="88">
        <v>6249.7647049999996</v>
      </c>
      <c r="K42" s="52">
        <v>437483.53</v>
      </c>
      <c r="L42" s="88">
        <v>6256.28946</v>
      </c>
      <c r="M42" s="52">
        <v>437940.26</v>
      </c>
      <c r="N42" s="89">
        <v>6037.2642750000005</v>
      </c>
      <c r="O42" s="102">
        <v>422167.3</v>
      </c>
      <c r="P42" s="109">
        <f t="shared" si="0"/>
        <v>-15772.960000000021</v>
      </c>
      <c r="Q42" s="49">
        <v>-3.5999999999999997E-2</v>
      </c>
      <c r="R42" s="68">
        <v>1.4190901993634207E-2</v>
      </c>
      <c r="S42" s="20" t="s">
        <v>162</v>
      </c>
    </row>
    <row r="43" spans="1:19" x14ac:dyDescent="0.25">
      <c r="A43" s="66" t="s">
        <v>139</v>
      </c>
      <c r="B43" s="116" t="s">
        <v>121</v>
      </c>
      <c r="C43" s="44" t="s">
        <v>155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15</v>
      </c>
      <c r="J43" s="88">
        <v>6249.7647049999996</v>
      </c>
      <c r="K43" s="52">
        <v>93746.47</v>
      </c>
      <c r="L43" s="88">
        <v>6256.28946</v>
      </c>
      <c r="M43" s="52">
        <v>93844.34</v>
      </c>
      <c r="N43" s="89">
        <v>6037.2642750000005</v>
      </c>
      <c r="O43" s="102">
        <v>90464.42</v>
      </c>
      <c r="P43" s="109">
        <f t="shared" si="0"/>
        <v>-3379.9199999999983</v>
      </c>
      <c r="Q43" s="49">
        <v>-3.5999999999999997E-2</v>
      </c>
      <c r="R43" s="68">
        <v>3.0409075220438966E-3</v>
      </c>
      <c r="S43" s="20" t="s">
        <v>162</v>
      </c>
    </row>
    <row r="44" spans="1:19" x14ac:dyDescent="0.25">
      <c r="A44" s="66" t="s">
        <v>82</v>
      </c>
      <c r="B44" s="116" t="s">
        <v>121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11800</v>
      </c>
      <c r="J44" s="88">
        <v>52.596811000000002</v>
      </c>
      <c r="K44" s="52">
        <v>620642.37</v>
      </c>
      <c r="L44" s="88">
        <v>52.651722999999997</v>
      </c>
      <c r="M44" s="52">
        <v>621290.32999999996</v>
      </c>
      <c r="N44" s="89">
        <v>57.06</v>
      </c>
      <c r="O44" s="102">
        <v>672605.07</v>
      </c>
      <c r="P44" s="110">
        <f t="shared" si="0"/>
        <v>51314.739999999991</v>
      </c>
      <c r="Q44" s="50">
        <v>8.2600000000000007E-2</v>
      </c>
      <c r="R44" s="68">
        <v>2.2609218262029E-2</v>
      </c>
      <c r="S44" s="20" t="s">
        <v>161</v>
      </c>
    </row>
    <row r="45" spans="1:19" x14ac:dyDescent="0.25">
      <c r="A45" s="66" t="s">
        <v>82</v>
      </c>
      <c r="B45" s="116" t="s">
        <v>85</v>
      </c>
      <c r="C45" s="44" t="s">
        <v>115</v>
      </c>
      <c r="D45" s="44" t="s">
        <v>94</v>
      </c>
      <c r="E45" s="44">
        <v>0</v>
      </c>
      <c r="F45" s="20">
        <v>0</v>
      </c>
      <c r="G45" s="20">
        <v>0</v>
      </c>
      <c r="H45" s="20">
        <v>0</v>
      </c>
      <c r="I45" s="34">
        <v>8000</v>
      </c>
      <c r="J45" s="88">
        <v>52.596811000000002</v>
      </c>
      <c r="K45" s="52">
        <v>420774.49</v>
      </c>
      <c r="L45" s="88">
        <v>52.651722999999997</v>
      </c>
      <c r="M45" s="52">
        <v>421213.78</v>
      </c>
      <c r="N45" s="89">
        <v>57.06</v>
      </c>
      <c r="O45" s="102">
        <v>456003.44</v>
      </c>
      <c r="P45" s="110">
        <f t="shared" si="0"/>
        <v>34789.659999999974</v>
      </c>
      <c r="Q45" s="50">
        <v>8.2600000000000007E-2</v>
      </c>
      <c r="R45" s="68">
        <v>1.5328283658634994E-2</v>
      </c>
      <c r="S45" s="20" t="s">
        <v>161</v>
      </c>
    </row>
    <row r="46" spans="1:19" x14ac:dyDescent="0.25">
      <c r="A46" s="98"/>
      <c r="B46" s="118"/>
      <c r="C46" s="24" t="s">
        <v>116</v>
      </c>
      <c r="D46" s="24" t="s">
        <v>50</v>
      </c>
      <c r="E46" s="24"/>
      <c r="F46" s="25"/>
      <c r="G46" s="25"/>
      <c r="H46" s="25"/>
      <c r="I46" s="25"/>
      <c r="J46" s="24"/>
      <c r="K46" s="39">
        <v>27205578.68</v>
      </c>
      <c r="L46" s="24"/>
      <c r="M46" s="39">
        <v>27233981.309999999</v>
      </c>
      <c r="N46" s="24"/>
      <c r="O46" s="39">
        <v>27454814.550000001</v>
      </c>
      <c r="P46" s="90">
        <v>220833.24</v>
      </c>
      <c r="Q46" s="91">
        <v>8.0999999999999996E-3</v>
      </c>
      <c r="R46" s="99">
        <v>0.92287721605262285</v>
      </c>
      <c r="S46" s="74"/>
    </row>
    <row r="47" spans="1:19" x14ac:dyDescent="0.25">
      <c r="A47" s="100"/>
      <c r="B47" s="119"/>
      <c r="C47" s="21"/>
      <c r="D47" s="21"/>
      <c r="E47" s="21"/>
      <c r="F47" s="22"/>
      <c r="G47" s="22"/>
      <c r="H47" s="22"/>
      <c r="I47" s="22"/>
      <c r="J47" s="21"/>
      <c r="K47" s="21"/>
      <c r="L47" s="21"/>
      <c r="M47" s="21"/>
      <c r="N47" s="21"/>
      <c r="O47" s="21"/>
      <c r="P47" s="23"/>
      <c r="Q47" s="23"/>
      <c r="R47" s="101"/>
      <c r="S47" s="72"/>
    </row>
    <row r="48" spans="1:19" x14ac:dyDescent="0.25">
      <c r="A48" s="66" t="s">
        <v>63</v>
      </c>
      <c r="B48" s="116" t="s">
        <v>85</v>
      </c>
      <c r="C48" s="44" t="s">
        <v>140</v>
      </c>
      <c r="D48" s="44">
        <v>280907</v>
      </c>
      <c r="E48" s="44" t="s">
        <v>21</v>
      </c>
      <c r="F48" s="20">
        <v>3</v>
      </c>
      <c r="G48" s="20">
        <v>6.7</v>
      </c>
      <c r="H48" s="20">
        <v>3</v>
      </c>
      <c r="I48" s="34">
        <v>12010</v>
      </c>
      <c r="J48" s="88">
        <v>101.31731499999999</v>
      </c>
      <c r="K48" s="52">
        <v>1216820.97</v>
      </c>
      <c r="L48" s="88">
        <v>101.31731600000001</v>
      </c>
      <c r="M48" s="52">
        <v>1216820.97</v>
      </c>
      <c r="N48" s="89">
        <v>101.31731600000001</v>
      </c>
      <c r="O48" s="102">
        <v>1216820.97</v>
      </c>
      <c r="P48" s="109">
        <v>0</v>
      </c>
      <c r="Q48" s="35"/>
      <c r="R48" s="68">
        <v>4.0902711150458383E-2</v>
      </c>
      <c r="S48" s="20"/>
    </row>
    <row r="49" spans="1:19" x14ac:dyDescent="0.25">
      <c r="A49" s="66" t="s">
        <v>63</v>
      </c>
      <c r="B49" s="116" t="s">
        <v>86</v>
      </c>
      <c r="C49" s="44" t="s">
        <v>140</v>
      </c>
      <c r="D49" s="44">
        <v>280907</v>
      </c>
      <c r="E49" s="44" t="s">
        <v>21</v>
      </c>
      <c r="F49" s="20">
        <v>3</v>
      </c>
      <c r="G49" s="20">
        <v>6.7</v>
      </c>
      <c r="H49" s="20">
        <v>3</v>
      </c>
      <c r="I49" s="34">
        <v>606</v>
      </c>
      <c r="J49" s="88">
        <v>101.31731499999999</v>
      </c>
      <c r="K49" s="52">
        <v>61398.29</v>
      </c>
      <c r="L49" s="88">
        <v>101.31731600000001</v>
      </c>
      <c r="M49" s="52">
        <v>61398.29</v>
      </c>
      <c r="N49" s="89">
        <v>101.31731600000001</v>
      </c>
      <c r="O49" s="102">
        <v>61398.29</v>
      </c>
      <c r="P49" s="109">
        <v>0</v>
      </c>
      <c r="Q49" s="35"/>
      <c r="R49" s="68">
        <v>2.0638668981864091E-3</v>
      </c>
      <c r="S49" s="20"/>
    </row>
    <row r="50" spans="1:19" x14ac:dyDescent="0.25">
      <c r="A50" s="66" t="s">
        <v>63</v>
      </c>
      <c r="B50" s="116" t="s">
        <v>121</v>
      </c>
      <c r="C50" s="44" t="s">
        <v>140</v>
      </c>
      <c r="D50" s="44">
        <v>280907</v>
      </c>
      <c r="E50" s="44" t="s">
        <v>21</v>
      </c>
      <c r="F50" s="20">
        <v>3</v>
      </c>
      <c r="G50" s="20">
        <v>6.7</v>
      </c>
      <c r="H50" s="20">
        <v>3</v>
      </c>
      <c r="I50" s="34">
        <v>10029</v>
      </c>
      <c r="J50" s="88">
        <v>101.31731499999999</v>
      </c>
      <c r="K50" s="52">
        <v>1016111.36</v>
      </c>
      <c r="L50" s="88">
        <v>101.31731600000001</v>
      </c>
      <c r="M50" s="52">
        <v>1016111.36</v>
      </c>
      <c r="N50" s="89">
        <v>101.31731600000001</v>
      </c>
      <c r="O50" s="102">
        <v>1016111.36</v>
      </c>
      <c r="P50" s="109">
        <v>0</v>
      </c>
      <c r="Q50" s="35"/>
      <c r="R50" s="68">
        <v>3.415597732078815E-2</v>
      </c>
      <c r="S50" s="20"/>
    </row>
    <row r="51" spans="1:19" x14ac:dyDescent="0.25">
      <c r="A51" s="98"/>
      <c r="B51" s="118"/>
      <c r="C51" s="24" t="s">
        <v>49</v>
      </c>
      <c r="D51" s="24" t="s">
        <v>50</v>
      </c>
      <c r="E51" s="24"/>
      <c r="F51" s="25"/>
      <c r="G51" s="25"/>
      <c r="H51" s="25"/>
      <c r="I51" s="25"/>
      <c r="J51" s="24"/>
      <c r="K51" s="39">
        <v>2294330.62</v>
      </c>
      <c r="L51" s="24"/>
      <c r="M51" s="39">
        <v>2294330.62</v>
      </c>
      <c r="N51" s="24"/>
      <c r="O51" s="39">
        <v>2294330.62</v>
      </c>
      <c r="P51" s="75">
        <v>0</v>
      </c>
      <c r="Q51" s="26"/>
      <c r="R51" s="99">
        <v>7.7122999999999997E-2</v>
      </c>
      <c r="S51" s="74"/>
    </row>
    <row r="52" spans="1:19" x14ac:dyDescent="0.25">
      <c r="A52" s="104"/>
      <c r="B52" s="105"/>
      <c r="C52" s="105"/>
      <c r="D52" s="105"/>
      <c r="E52" s="105"/>
      <c r="F52" s="106"/>
      <c r="G52" s="106"/>
      <c r="H52" s="106"/>
      <c r="I52" s="106"/>
      <c r="J52" s="105"/>
      <c r="K52" s="105"/>
      <c r="L52" s="105"/>
      <c r="M52" s="105"/>
      <c r="N52" s="105"/>
      <c r="O52" s="105"/>
      <c r="P52" s="107"/>
      <c r="Q52" s="107"/>
      <c r="R52" s="108"/>
    </row>
    <row r="53" spans="1:19" x14ac:dyDescent="0.25">
      <c r="A53" s="21"/>
      <c r="B53" s="21" t="s">
        <v>85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-14.48</v>
      </c>
      <c r="P53" s="23"/>
      <c r="Q53" s="23"/>
      <c r="R53" s="22"/>
    </row>
    <row r="54" spans="1:19" x14ac:dyDescent="0.25">
      <c r="A54" s="21"/>
      <c r="B54" s="21" t="s">
        <v>86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-6.26</v>
      </c>
      <c r="P54" s="23"/>
      <c r="Q54" s="23"/>
      <c r="R54" s="22"/>
    </row>
    <row r="55" spans="1:19" x14ac:dyDescent="0.25">
      <c r="A55" s="21"/>
      <c r="B55" s="21" t="s">
        <v>121</v>
      </c>
      <c r="C55" s="21" t="s">
        <v>51</v>
      </c>
      <c r="D55" s="21" t="s">
        <v>50</v>
      </c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40">
        <v>27.55</v>
      </c>
      <c r="P55" s="23"/>
      <c r="Q55" s="23"/>
      <c r="R55" s="22"/>
    </row>
    <row r="57" spans="1:19" x14ac:dyDescent="0.25">
      <c r="A57" s="24"/>
      <c r="B57" s="24"/>
      <c r="C57" s="24" t="s">
        <v>52</v>
      </c>
      <c r="D57" s="24" t="s">
        <v>50</v>
      </c>
      <c r="E57" s="24"/>
      <c r="F57" s="25"/>
      <c r="G57" s="25"/>
      <c r="H57" s="25"/>
      <c r="I57" s="25"/>
      <c r="J57" s="24"/>
      <c r="K57" s="24"/>
      <c r="L57" s="24"/>
      <c r="M57" s="24"/>
      <c r="N57" s="24"/>
      <c r="O57" s="39">
        <v>0</v>
      </c>
      <c r="P57" s="26"/>
      <c r="Q57" s="26"/>
      <c r="R57" s="25"/>
    </row>
    <row r="59" spans="1:19" x14ac:dyDescent="0.25">
      <c r="A59" s="27"/>
      <c r="B59" s="27"/>
      <c r="C59" s="27" t="s">
        <v>53</v>
      </c>
      <c r="D59" s="27"/>
      <c r="E59" s="27"/>
      <c r="F59" s="28"/>
      <c r="G59" s="28"/>
      <c r="H59" s="28"/>
      <c r="I59" s="28"/>
      <c r="J59" s="27"/>
      <c r="K59" s="27"/>
      <c r="L59" s="27"/>
      <c r="M59" s="27"/>
      <c r="N59" s="27"/>
      <c r="O59" s="41">
        <v>29749151.969999999</v>
      </c>
      <c r="P59" s="29"/>
      <c r="Q59" s="29"/>
      <c r="R59" s="28"/>
    </row>
    <row r="61" spans="1:19" x14ac:dyDescent="0.25">
      <c r="A61" s="21"/>
      <c r="B61" s="21"/>
      <c r="C61" s="21" t="s">
        <v>26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6.8</v>
      </c>
      <c r="P61" s="23"/>
      <c r="Q61" s="23"/>
      <c r="R61" s="22"/>
    </row>
    <row r="62" spans="1:19" x14ac:dyDescent="0.25">
      <c r="A62" s="21"/>
      <c r="B62" s="21"/>
      <c r="C62" s="21" t="s">
        <v>54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2294337.42</v>
      </c>
      <c r="P62" s="23"/>
      <c r="Q62" s="23"/>
      <c r="R62" s="22"/>
    </row>
    <row r="63" spans="1:19" x14ac:dyDescent="0.25">
      <c r="A63" s="21"/>
      <c r="B63" s="21"/>
      <c r="C63" s="21" t="s">
        <v>55</v>
      </c>
      <c r="D63" s="21"/>
      <c r="E63" s="21"/>
      <c r="F63" s="22"/>
      <c r="G63" s="22"/>
      <c r="H63" s="22"/>
      <c r="I63" s="22"/>
      <c r="J63" s="21"/>
      <c r="K63" s="21"/>
      <c r="L63" s="21"/>
      <c r="M63" s="21"/>
      <c r="N63" s="21"/>
      <c r="O63" s="40">
        <v>0</v>
      </c>
      <c r="P63" s="23"/>
      <c r="Q63" s="23"/>
      <c r="R63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1569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638175</xdr:colOff>
                    <xdr:row>0</xdr:row>
                    <xdr:rowOff>123825</xdr:rowOff>
                  </from>
                  <to>
                    <xdr:col>20</xdr:col>
                    <xdr:colOff>381000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570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571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638175</xdr:colOff>
                    <xdr:row>3</xdr:row>
                    <xdr:rowOff>171450</xdr:rowOff>
                  </from>
                  <to>
                    <xdr:col>20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133</v>
      </c>
      <c r="B23" s="44" t="s">
        <v>89</v>
      </c>
      <c r="C23" s="44" t="s">
        <v>137</v>
      </c>
    </row>
    <row r="24" spans="1:3" x14ac:dyDescent="0.25">
      <c r="A24" s="44" t="s">
        <v>134</v>
      </c>
      <c r="B24" s="44">
        <v>13</v>
      </c>
      <c r="C24" s="44" t="s">
        <v>137</v>
      </c>
    </row>
    <row r="25" spans="1:3" x14ac:dyDescent="0.25">
      <c r="A25" s="44" t="s">
        <v>135</v>
      </c>
      <c r="B25" s="44">
        <v>18</v>
      </c>
      <c r="C25" s="44" t="s">
        <v>137</v>
      </c>
    </row>
    <row r="26" spans="1:3" x14ac:dyDescent="0.25">
      <c r="A26" s="77" t="s">
        <v>136</v>
      </c>
      <c r="B26" s="77" t="s">
        <v>94</v>
      </c>
      <c r="C26" s="44" t="s">
        <v>137</v>
      </c>
    </row>
    <row r="27" spans="1:3" x14ac:dyDescent="0.25">
      <c r="A27" s="44" t="s">
        <v>141</v>
      </c>
      <c r="B27" s="44">
        <v>11</v>
      </c>
      <c r="C27" s="44" t="s">
        <v>137</v>
      </c>
    </row>
    <row r="28" spans="1:3" x14ac:dyDescent="0.25">
      <c r="A28" s="44" t="s">
        <v>131</v>
      </c>
      <c r="B28" s="77" t="s">
        <v>94</v>
      </c>
      <c r="C28" s="44" t="s">
        <v>142</v>
      </c>
    </row>
    <row r="29" spans="1:3" x14ac:dyDescent="0.25">
      <c r="A29" s="44" t="s">
        <v>146</v>
      </c>
      <c r="B29" s="77">
        <v>12</v>
      </c>
      <c r="C29" s="44" t="s">
        <v>137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2026-01-21T20:20:46Z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