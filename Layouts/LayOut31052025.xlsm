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8952BEE2-C1FF-41A3-BB1C-E3457A30599A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68" r:id="rId4"/>
    <sheet name="Movimientos" sheetId="1669" r:id="rId5"/>
    <sheet name="Posición" sheetId="1673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Movimientos!$A$1:$R$243</definedName>
    <definedName name="_xlnm.Print_Area" localSheetId="5">Posición!$A$1:$R$64</definedName>
    <definedName name="_xlnm.Print_Area" localSheetId="3">'Posición del mes anterior'!$A$1:$R$80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<sst xmlns="http://schemas.openxmlformats.org/spreadsheetml/2006/main" count="2072" uniqueCount="168">
  <si>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</si>
  <si>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</si>
  <si>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</si>
  <si>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</si>
  <si>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</si>
  <si>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</si>
  <si>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</si>
  <si>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</si>
  <si>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</si>
  <si>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</si>
  <si>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</si>
  <si>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</si>
  <si>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</si>
  <si>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</si>
  <si>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</si>
  <si>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</si>
  <si>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</si>
  <si>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</si>
  <si>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</si>
  <si>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</si>
  <si>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</si>
  <si>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</si>
  <si>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</si>
  <si>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</si>
  <si>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</si>
  <si>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</si>
  <si>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</si>
  <si>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</si>
  <si>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</si>
  <si>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</si>
  <si>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</si>
  <si>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</si>
  <si>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</si>
  <si>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</si>
  <si>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</si>
  <si>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</si>
  <si>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</si>
  <si>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</si>
  <si>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</si>
  <si>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</si>
  <si>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</si>
  <si>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</si>
  <si>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</si>
  <si>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</si>
  <si>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</si>
  <si>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</si>
  <si>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</si>
  <si>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</si>
  <si>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</si>
  <si>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</si>
  <si>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</si>
  <si>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</si>
  <si>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</si>
  <si>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</si>
  <si>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</si>
  <si>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</si>
  <si>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</si>
  <si>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</si>
  <si>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</si>
  <si>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</si>
  <si>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</si>
  <si>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</si>
  <si>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</si>
  <si>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</si>
  <si>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</si>
  <si>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</si>
  <si>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</si>
  <si>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</si>
  <si>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</si>
  <si>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</si>
  <si>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</si>
  <si>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</si>
  <si>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</si>
  <si>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</si>
  <si>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</si>
  <si>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</si>
  <si>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</si>
  <si>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</si>
  <si>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</si>
  <si>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</si>
  <si>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</si>
  <si>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</si>
  <si>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</si>
  <si>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</si>
  <si>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</si>
  <si>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</si>
  <si>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</si>
  <si>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</si>
  <si>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</si>
  <si>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</si>
  <si>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</si>
  <si>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</si>
  <si>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</si>
  <si>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</si>
  <si>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</si>
  <si>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</si>
  <si>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</si>
  <si>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</si>
  <si>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</si>
  <si>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</si>
  <si>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</si>
  <si>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</si>
  <si>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</si>
  <si>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</si>
  <si>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</si>
  <si>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</si>
  <si>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</si>
  <si>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</si>
  <si>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</si>
  <si>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</si>
  <si>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</si>
  <si>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</si>
  <si>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</si>
  <si>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</si>
  <si>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</si>
  <si>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</si>
  <si>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</si>
  <si>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</si>
  <si>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</si>
  <si>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</si>
  <si>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</si>
  <si>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</si>
  <si>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</si>
  <si>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</si>
  <si>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</si>
  <si>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</si>
  <si>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</si>
  <si>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</si>
  <si>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</si>
  <si>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</si>
  <si>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</si>
  <si>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</si>
  <si>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</si>
  <si>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</si>
  <si>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</si>
  <si>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</si>
  <si>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</si>
  <si>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</si>
  <si>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</si>
  <si>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</si>
  <si>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</si>
  <si>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</si>
  <si>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</si>
  <si>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</si>
  <si>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</si>
  <si>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</si>
  <si>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</si>
  <si>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</si>
  <si>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</si>
  <si>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</si>
  <si>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</si>
  <si>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</si>
  <si>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</si>
  <si>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</si>
  <si>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</si>
  <si>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FIBRAPL</t>
  </si>
  <si>
    <t>RETIRO</t>
  </si>
  <si>
    <t>CUOTA DE ADM Y CUST E IVA</t>
  </si>
  <si>
    <t xml:space="preserve"> </t>
  </si>
  <si>
    <t>PAGO ENTRADA DISTRIBUCION EFECTIVO</t>
  </si>
  <si>
    <t>PAGO ENTRADA REEMBOLSO</t>
  </si>
  <si>
    <t>Mayo</t>
  </si>
  <si>
    <t>VENTA CAPITALES</t>
  </si>
  <si>
    <t>COMISION</t>
  </si>
  <si>
    <t>COMPRA CAPITALES</t>
  </si>
  <si>
    <t>HYG</t>
  </si>
  <si>
    <t>SPHY</t>
  </si>
  <si>
    <t>31/5/2025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</si>
</sst>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#,##0.0000_ ;\-#,##0.0000\ "/>
    <numFmt numFmtId="168" formatCode="&quot;$&quot;#,##0.000000"/>
    <numFmt numFmtId="169" formatCode="&quot;$&quot;#,##0.0000"/>
    <numFmt numFmtId="175" formatCode="&quot;$&quot;#,##0.00_);[Red]\(&quot;$&quot;#,##0.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10" fontId="15" fillId="0" borderId="0" xfId="0" applyNumberFormat="1" applyFont="1" applyAlignment="1">
      <alignment horizontal="center"/>
    </xf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2" borderId="0" xfId="0" applyFont="1" applyFill="1" applyAlignment="1">
      <alignment horizontal="center" vertical="center" wrapText="1"/>
    </xf>
    <xf numFmtId="167" fontId="12" fillId="0" borderId="5" xfId="0" applyNumberFormat="1" applyFont="1" applyBorder="1"/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0" fontId="15" fillId="5" borderId="4" xfId="0" applyFont="1" applyFill="1" applyBorder="1"/>
    <xf numFmtId="0" fontId="15" fillId="5" borderId="5" xfId="0" applyFont="1" applyFill="1" applyBorder="1"/>
    <xf numFmtId="0" fontId="15" fillId="5" borderId="5" xfId="0" applyFont="1" applyFill="1" applyBorder="1" applyAlignment="1">
      <alignment horizontal="center"/>
    </xf>
    <xf numFmtId="8" fontId="15" fillId="5" borderId="5" xfId="0" applyNumberFormat="1" applyFont="1" applyFill="1" applyBorder="1"/>
    <xf numFmtId="8" fontId="16" fillId="5" borderId="5" xfId="0" applyNumberFormat="1" applyFont="1" applyFill="1" applyBorder="1"/>
    <xf numFmtId="10" fontId="16" fillId="5" borderId="5" xfId="0" applyNumberFormat="1" applyFont="1" applyFill="1" applyBorder="1"/>
    <xf numFmtId="10" fontId="15" fillId="5" borderId="6" xfId="0" applyNumberFormat="1" applyFont="1" applyFill="1" applyBorder="1" applyAlignment="1">
      <alignment horizontal="center"/>
    </xf>
    <xf numFmtId="0" fontId="13" fillId="0" borderId="0" xfId="0" applyFont="1" applyBorder="1"/>
    <xf numFmtId="0" fontId="15" fillId="5" borderId="0" xfId="0" applyFont="1" applyFill="1" applyBorder="1"/>
    <xf numFmtId="0" fontId="15" fillId="0" borderId="0" xfId="0" applyFont="1" applyBorder="1"/>
    <xf numFmtId="10" fontId="15" fillId="0" borderId="3" xfId="0" applyNumberFormat="1" applyFont="1" applyBorder="1" applyAlignment="1">
      <alignment horizontal="center"/>
    </xf>
    <xf numFmtId="175" fontId="12" fillId="0" borderId="0" xfId="0" applyNumberFormat="1" applyFont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39E2E64C-6338-4622-9D0B-29B58D147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20610" name="Button 2" hidden="1">
              <a:extLst>
                <a:ext uri="{63B3BB69-23CF-44E3-9099-C40C66FF867C}">
                  <a14:compatExt spid="_x0000_s1220610"/>
                </a:ext>
                <a:ext uri="{FF2B5EF4-FFF2-40B4-BE49-F238E27FC236}">
                  <a16:creationId xmlns:a16="http://schemas.microsoft.com/office/drawing/2014/main" id="{00000000-0008-0000-0500-000002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20611" name="Button 3" hidden="1">
              <a:extLst>
                <a:ext uri="{63B3BB69-23CF-44E3-9099-C40C66FF867C}">
                  <a14:compatExt spid="_x0000_s1220611"/>
                </a:ext>
                <a:ext uri="{FF2B5EF4-FFF2-40B4-BE49-F238E27FC236}">
                  <a16:creationId xmlns:a16="http://schemas.microsoft.com/office/drawing/2014/main" id="{00000000-0008-0000-0500-000003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20612" name="Button 4" hidden="1">
              <a:extLst>
                <a:ext uri="{63B3BB69-23CF-44E3-9099-C40C66FF867C}">
                  <a14:compatExt spid="_x0000_s1220612"/>
                </a:ext>
                <a:ext uri="{FF2B5EF4-FFF2-40B4-BE49-F238E27FC236}">
                  <a16:creationId xmlns:a16="http://schemas.microsoft.com/office/drawing/2014/main" id="{022D672A-0CC5-B33E-524B-E8E7BB241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60838</xdr:colOff>
      <xdr:row>2</xdr:row>
      <xdr:rowOff>92924</xdr:rowOff>
    </xdr:to>
    <xdr:pic>
      <xdr:nvPicPr>
        <xdr:cNvPr id="2" name="1 Imagen" descr="EncabezadoMovimientosCliente.jpg">
          <a:extLst>
            <a:ext uri="{FF2B5EF4-FFF2-40B4-BE49-F238E27FC236}">
              <a16:creationId xmlns:a16="http://schemas.microsoft.com/office/drawing/2014/main" id="{3D022726-BF77-45B5-AF64-3247C1CB9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09713" cy="873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0</xdr:row>
          <xdr:rowOff>381000</xdr:rowOff>
        </xdr:from>
        <xdr:to>
          <xdr:col>19</xdr:col>
          <xdr:colOff>200025</xdr:colOff>
          <xdr:row>1</xdr:row>
          <xdr:rowOff>180975</xdr:rowOff>
        </xdr:to>
        <xdr:sp macro="" textlink="">
          <xdr:nvSpPr>
            <xdr:cNvPr id="1221633" name="Button 1" hidden="1">
              <a:extLst>
                <a:ext uri="{63B3BB69-23CF-44E3-9099-C40C66FF867C}">
                  <a14:compatExt spid="_x0000_s1221633"/>
                </a:ext>
                <a:ext uri="{FF2B5EF4-FFF2-40B4-BE49-F238E27FC236}">
                  <a16:creationId xmlns:a16="http://schemas.microsoft.com/office/drawing/2014/main" id="{9CB91010-4269-9D78-A95A-8D08DF08E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381000</xdr:rowOff>
        </xdr:from>
        <xdr:to>
          <xdr:col>20</xdr:col>
          <xdr:colOff>714375</xdr:colOff>
          <xdr:row>1</xdr:row>
          <xdr:rowOff>180975</xdr:rowOff>
        </xdr:to>
        <xdr:sp macro="" textlink="">
          <xdr:nvSpPr>
            <xdr:cNvPr id="1221634" name="Button 2" hidden="1">
              <a:extLst>
                <a:ext uri="{63B3BB69-23CF-44E3-9099-C40C66FF867C}">
                  <a14:compatExt spid="_x0000_s1221634"/>
                </a:ext>
                <a:ext uri="{FF2B5EF4-FFF2-40B4-BE49-F238E27FC236}">
                  <a16:creationId xmlns:a16="http://schemas.microsoft.com/office/drawing/2014/main" id="{0A72E5BF-6D20-9626-A513-355F37D88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2</xdr:row>
          <xdr:rowOff>104775</xdr:rowOff>
        </xdr:from>
        <xdr:to>
          <xdr:col>19</xdr:col>
          <xdr:colOff>200025</xdr:colOff>
          <xdr:row>4</xdr:row>
          <xdr:rowOff>114300</xdr:rowOff>
        </xdr:to>
        <xdr:sp macro="" textlink="">
          <xdr:nvSpPr>
            <xdr:cNvPr id="1221635" name="Button 3" hidden="1">
              <a:extLst>
                <a:ext uri="{63B3BB69-23CF-44E3-9099-C40C66FF867C}">
                  <a14:compatExt spid="_x0000_s1221635"/>
                </a:ext>
                <a:ext uri="{FF2B5EF4-FFF2-40B4-BE49-F238E27FC236}">
                  <a16:creationId xmlns:a16="http://schemas.microsoft.com/office/drawing/2014/main" id="{F6B4F695-2B60-DEDC-7F63-727E76E88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2</xdr:row>
          <xdr:rowOff>104775</xdr:rowOff>
        </xdr:from>
        <xdr:to>
          <xdr:col>20</xdr:col>
          <xdr:colOff>714375</xdr:colOff>
          <xdr:row>4</xdr:row>
          <xdr:rowOff>114300</xdr:rowOff>
        </xdr:to>
        <xdr:sp macro="" textlink="">
          <xdr:nvSpPr>
            <xdr:cNvPr id="1221636" name="Button 4" hidden="1">
              <a:extLst>
                <a:ext uri="{63B3BB69-23CF-44E3-9099-C40C66FF867C}">
                  <a14:compatExt spid="_x0000_s1221636"/>
                </a:ext>
                <a:ext uri="{FF2B5EF4-FFF2-40B4-BE49-F238E27FC236}">
                  <a16:creationId xmlns:a16="http://schemas.microsoft.com/office/drawing/2014/main" id="{2B2F037B-C3C9-9215-866F-930E79088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510159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8A0E90D-CEF3-493F-8B6F-4046626D3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0</xdr:row>
          <xdr:rowOff>123825</xdr:rowOff>
        </xdr:from>
        <xdr:to>
          <xdr:col>20</xdr:col>
          <xdr:colOff>352425</xdr:colOff>
          <xdr:row>0</xdr:row>
          <xdr:rowOff>504825</xdr:rowOff>
        </xdr:to>
        <xdr:sp macro="" textlink="">
          <xdr:nvSpPr>
            <xdr:cNvPr id="1227777" name="Button 1" hidden="1">
              <a:extLst>
                <a:ext uri="{63B3BB69-23CF-44E3-9099-C40C66FF867C}">
                  <a14:compatExt spid="_x0000_s1227777"/>
                </a:ext>
                <a:ext uri="{FF2B5EF4-FFF2-40B4-BE49-F238E27FC236}">
                  <a16:creationId xmlns:a16="http://schemas.microsoft.com/office/drawing/2014/main" id="{62593643-2DEE-463A-6FAA-BCD74366E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1</xdr:row>
          <xdr:rowOff>38100</xdr:rowOff>
        </xdr:from>
        <xdr:to>
          <xdr:col>20</xdr:col>
          <xdr:colOff>352425</xdr:colOff>
          <xdr:row>3</xdr:row>
          <xdr:rowOff>38100</xdr:rowOff>
        </xdr:to>
        <xdr:sp macro="" textlink="">
          <xdr:nvSpPr>
            <xdr:cNvPr id="1227778" name="Button 2" hidden="1">
              <a:extLst>
                <a:ext uri="{63B3BB69-23CF-44E3-9099-C40C66FF867C}">
                  <a14:compatExt spid="_x0000_s1227778"/>
                </a:ext>
                <a:ext uri="{FF2B5EF4-FFF2-40B4-BE49-F238E27FC236}">
                  <a16:creationId xmlns:a16="http://schemas.microsoft.com/office/drawing/2014/main" id="{5D7D11B2-5727-4214-E23C-84233B5CF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3</xdr:row>
          <xdr:rowOff>171450</xdr:rowOff>
        </xdr:from>
        <xdr:to>
          <xdr:col>20</xdr:col>
          <xdr:colOff>352425</xdr:colOff>
          <xdr:row>5</xdr:row>
          <xdr:rowOff>171450</xdr:rowOff>
        </xdr:to>
        <xdr:sp macro="" textlink="">
          <xdr:nvSpPr>
            <xdr:cNvPr id="1227779" name="Button 3" hidden="1">
              <a:extLst>
                <a:ext uri="{63B3BB69-23CF-44E3-9099-C40C66FF867C}">
                  <a14:compatExt spid="_x0000_s1227779"/>
                </a:ext>
                <a:ext uri="{FF2B5EF4-FFF2-40B4-BE49-F238E27FC236}">
                  <a16:creationId xmlns:a16="http://schemas.microsoft.com/office/drawing/2014/main" id="{E9C9F448-6C90-BBA1-119B-B49BAB645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F11" sqref="F11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00" t="s">
        <v>2</v>
      </c>
      <c r="B6" s="3"/>
      <c r="E6"/>
      <c r="F6"/>
      <c r="G6"/>
      <c r="H6"/>
      <c r="I6"/>
      <c r="J6"/>
      <c r="K6"/>
    </row>
    <row r="7" spans="1:11" x14ac:dyDescent="0.25">
      <c r="A7" s="100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167</v>
      </c>
      <c r="E17" s="57">
        <v>16754158.91</v>
      </c>
      <c r="F17" s="43">
        <v>0</v>
      </c>
      <c r="G17" s="42">
        <v>-61268.15</v>
      </c>
      <c r="H17" s="11"/>
      <c r="I17" s="58">
        <v>0</v>
      </c>
      <c r="J17" s="58">
        <v>54416.219999999994</v>
      </c>
      <c r="K17" s="57">
        <v>16638474.539999999</v>
      </c>
    </row>
    <row r="18" spans="1:11" x14ac:dyDescent="0.25">
      <c r="A18" s="8"/>
      <c r="B18" s="9" t="s">
        <v>86</v>
      </c>
      <c r="C18" s="10"/>
      <c r="D18" s="48" t="s">
        <v>167</v>
      </c>
      <c r="E18" s="57">
        <v>59947.59</v>
      </c>
      <c r="F18" s="43">
        <v>0</v>
      </c>
      <c r="G18" s="58">
        <v>595.82000000000005</v>
      </c>
      <c r="H18" s="11"/>
      <c r="I18" s="58">
        <v>600</v>
      </c>
      <c r="J18" s="58">
        <v>197.54</v>
      </c>
      <c r="K18" s="57">
        <v>59745.87</v>
      </c>
    </row>
    <row r="19" spans="1:11" x14ac:dyDescent="0.25">
      <c r="A19" s="8"/>
      <c r="B19" s="9" t="s">
        <v>121</v>
      </c>
      <c r="C19" s="10"/>
      <c r="D19" s="48" t="s">
        <v>167</v>
      </c>
      <c r="E19" s="57">
        <v>13685431.939999999</v>
      </c>
      <c r="F19" s="43">
        <v>0</v>
      </c>
      <c r="G19" s="42">
        <v>183.96</v>
      </c>
      <c r="H19" s="11"/>
      <c r="I19" s="58">
        <v>0</v>
      </c>
      <c r="J19" s="42">
        <v>44236.09</v>
      </c>
      <c r="K19" s="57">
        <v>13641379.810000001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160</v>
      </c>
    </row>
    <row r="9" spans="1:2" x14ac:dyDescent="0.25">
      <c r="B9">
        <v>100.21659167787401</v>
      </c>
    </row>
    <row r="10" spans="1:2" x14ac:dyDescent="0.25">
      <c r="B10">
        <v>59.38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FA2C-39C1-4BB0-98B4-48352CEFFD50}">
  <dimension ref="A1:S80"/>
  <sheetViews>
    <sheetView workbookViewId="0">
      <selection activeCell="G56" sqref="G56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1.8554687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45777</v>
      </c>
      <c r="N4" s="14" t="s">
        <v>24</v>
      </c>
      <c r="O4" s="16">
        <v>45777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10</v>
      </c>
      <c r="O9" s="54">
        <v>83243</v>
      </c>
      <c r="P9" s="55">
        <v>-11824.270000000004</v>
      </c>
      <c r="Q9" s="49">
        <v>-0.1244</v>
      </c>
      <c r="R9" s="68">
        <v>2.7293199943218419E-3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10</v>
      </c>
      <c r="O10" s="54">
        <v>19979.12</v>
      </c>
      <c r="P10" s="55">
        <v>-2837.9400000000023</v>
      </c>
      <c r="Q10" s="49">
        <v>-0.1244</v>
      </c>
      <c r="R10" s="68">
        <v>6.5506302854240477E-4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44.36</v>
      </c>
      <c r="O11" s="54">
        <v>1152.1600000000001</v>
      </c>
      <c r="P11" s="56">
        <v>21.019999999999982</v>
      </c>
      <c r="Q11" s="50">
        <v>1.8599999999999998E-2</v>
      </c>
      <c r="R11" s="68">
        <v>3.7776309415300428E-5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16.920000000000002</v>
      </c>
      <c r="O12" s="54">
        <v>202.83</v>
      </c>
      <c r="P12" s="55">
        <v>-31.639999999999986</v>
      </c>
      <c r="Q12" s="49">
        <v>-0.13500000000000001</v>
      </c>
      <c r="R12" s="68">
        <v>6.6502645801845104E-6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3.3</v>
      </c>
      <c r="O13" s="54">
        <v>249671.17</v>
      </c>
      <c r="P13" s="55">
        <v>-9557.5</v>
      </c>
      <c r="Q13" s="49">
        <v>-3.6900000000000002E-2</v>
      </c>
      <c r="R13" s="68">
        <v>8.1860638886960789E-3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3.3</v>
      </c>
      <c r="O14" s="54">
        <v>45733.1</v>
      </c>
      <c r="P14" s="55">
        <v>-1750.6800000000003</v>
      </c>
      <c r="Q14" s="49">
        <v>-3.6900000000000002E-2</v>
      </c>
      <c r="R14" s="68">
        <v>1.4994685947445458E-3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5.72</v>
      </c>
      <c r="O15" s="54">
        <v>131.41999999999999</v>
      </c>
      <c r="P15" s="55">
        <v>-222.46</v>
      </c>
      <c r="Q15" s="49">
        <v>-0.62860000000000005</v>
      </c>
      <c r="R15" s="68">
        <v>4.3089176706002477E-6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41.15</v>
      </c>
      <c r="O16" s="54">
        <v>205.53</v>
      </c>
      <c r="P16" s="56">
        <v>27.759999999999991</v>
      </c>
      <c r="Q16" s="50">
        <v>0.15620000000000001</v>
      </c>
      <c r="R16" s="68">
        <v>6.7387905101085755E-6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41.15</v>
      </c>
      <c r="O17" s="54">
        <v>339133.08</v>
      </c>
      <c r="P17" s="56">
        <v>45813.510000000009</v>
      </c>
      <c r="Q17" s="50">
        <v>0.15620000000000001</v>
      </c>
      <c r="R17" s="68">
        <v>1.111928565741202E-2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41.15</v>
      </c>
      <c r="O18" s="54">
        <v>339133.08</v>
      </c>
      <c r="P18" s="56">
        <v>45813.510000000009</v>
      </c>
      <c r="Q18" s="50">
        <v>0.15620000000000001</v>
      </c>
      <c r="R18" s="68">
        <v>1.111928565741202E-2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12.1</v>
      </c>
      <c r="O19" s="54">
        <v>556.02</v>
      </c>
      <c r="P19" s="56">
        <v>156.77999999999997</v>
      </c>
      <c r="Q19" s="50">
        <v>0.39269999999999999</v>
      </c>
      <c r="R19" s="68">
        <v>1.8230439835695859E-5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22.14</v>
      </c>
      <c r="O20" s="54">
        <v>105298.49</v>
      </c>
      <c r="P20" s="56">
        <v>5901.1800000000076</v>
      </c>
      <c r="Q20" s="50">
        <v>5.9400000000000001E-2</v>
      </c>
      <c r="R20" s="68">
        <v>3.4524617580925549E-3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22.14</v>
      </c>
      <c r="O21" s="54">
        <v>44233.78</v>
      </c>
      <c r="P21" s="56">
        <v>2478.9799999999959</v>
      </c>
      <c r="Q21" s="50">
        <v>5.9400000000000001E-2</v>
      </c>
      <c r="R21" s="68">
        <v>1.4503098179838977E-3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24.38</v>
      </c>
      <c r="O22" s="54">
        <v>507719.25</v>
      </c>
      <c r="P22" s="55">
        <v>-45875.380000000005</v>
      </c>
      <c r="Q22" s="49">
        <v>-8.2900000000000001E-2</v>
      </c>
      <c r="R22" s="68">
        <v>1.66467847209626E-2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24.38</v>
      </c>
      <c r="O23" s="54">
        <v>507524.41</v>
      </c>
      <c r="P23" s="55">
        <v>-45857.77999999997</v>
      </c>
      <c r="Q23" s="49">
        <v>-8.2900000000000001E-2</v>
      </c>
      <c r="R23" s="68">
        <v>1.6640396427560229E-2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15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206.37</v>
      </c>
      <c r="O24" s="54">
        <v>1030.78</v>
      </c>
      <c r="P24" s="56">
        <v>24.399999999999977</v>
      </c>
      <c r="Q24" s="50">
        <v>2.4199999999999999E-2</v>
      </c>
      <c r="R24" s="68">
        <v>3.3796577054491884E-5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15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206.37</v>
      </c>
      <c r="O25" s="54">
        <v>324693.42</v>
      </c>
      <c r="P25" s="56">
        <v>7682.3899999999558</v>
      </c>
      <c r="Q25" s="50">
        <v>2.4199999999999999E-2</v>
      </c>
      <c r="R25" s="68">
        <v>1.0645847016935231E-2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15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206.37</v>
      </c>
      <c r="O26" s="54">
        <v>262847.05</v>
      </c>
      <c r="P26" s="56">
        <v>6219.0799999999872</v>
      </c>
      <c r="Q26" s="50">
        <v>2.4199999999999999E-2</v>
      </c>
      <c r="R26" s="68">
        <v>8.6180664922397426E-3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69.849999999999994</v>
      </c>
      <c r="O27" s="54">
        <v>558.21</v>
      </c>
      <c r="P27" s="56">
        <v>50.130000000000052</v>
      </c>
      <c r="Q27" s="50">
        <v>9.8699999999999996E-2</v>
      </c>
      <c r="R27" s="68">
        <v>1.8302244201078716E-5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9.91</v>
      </c>
      <c r="O28" s="54">
        <v>204922.84</v>
      </c>
      <c r="P28" s="56">
        <v>3560.4599999999919</v>
      </c>
      <c r="Q28" s="50">
        <v>1.77E-2</v>
      </c>
      <c r="R28" s="68">
        <v>6.7188833235853548E-3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9.91</v>
      </c>
      <c r="O29" s="54">
        <v>204922.84</v>
      </c>
      <c r="P29" s="56">
        <v>3560.4599999999919</v>
      </c>
      <c r="Q29" s="50">
        <v>1.77E-2</v>
      </c>
      <c r="R29" s="68">
        <v>6.7188833235853548E-3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25.29</v>
      </c>
      <c r="O30" s="54">
        <v>412756.65</v>
      </c>
      <c r="P30" s="55">
        <v>-16796.690000000002</v>
      </c>
      <c r="Q30" s="49">
        <v>-3.9100000000000003E-2</v>
      </c>
      <c r="R30" s="68">
        <v>1.3533209730959991E-2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25.29</v>
      </c>
      <c r="O31" s="54">
        <v>335955.32</v>
      </c>
      <c r="P31" s="55">
        <v>-13671.330000000016</v>
      </c>
      <c r="Q31" s="49">
        <v>-3.9100000000000003E-2</v>
      </c>
      <c r="R31" s="68">
        <v>1.1015095228124799E-2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168.52</v>
      </c>
      <c r="O32" s="54">
        <v>841.73</v>
      </c>
      <c r="P32" s="56">
        <v>13.139999999999986</v>
      </c>
      <c r="Q32" s="50">
        <v>1.5900000000000001E-2</v>
      </c>
      <c r="R32" s="68">
        <v>2.7598122590734644E-5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168.52</v>
      </c>
      <c r="O33" s="54">
        <v>87538.92</v>
      </c>
      <c r="P33" s="56">
        <v>1366</v>
      </c>
      <c r="Q33" s="50">
        <v>1.5900000000000001E-2</v>
      </c>
      <c r="R33" s="68">
        <v>2.8701719620549495E-3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168.52</v>
      </c>
      <c r="O34" s="54">
        <v>104373.32</v>
      </c>
      <c r="P34" s="56">
        <v>1628.6900000000023</v>
      </c>
      <c r="Q34" s="50">
        <v>1.5900000000000001E-2</v>
      </c>
      <c r="R34" s="68">
        <v>3.4221278563933521E-3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2.6</v>
      </c>
      <c r="O35" s="54">
        <v>412.97</v>
      </c>
      <c r="P35" s="55">
        <v>-39.059999999999945</v>
      </c>
      <c r="Q35" s="49">
        <v>-8.6400000000000005E-2</v>
      </c>
      <c r="R35" s="68">
        <v>1.3540204918793066E-5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101.9</v>
      </c>
      <c r="O36" s="54">
        <v>814.34</v>
      </c>
      <c r="P36" s="56">
        <v>13.100000000000023</v>
      </c>
      <c r="Q36" s="50">
        <v>1.6400000000000001E-2</v>
      </c>
      <c r="R36" s="68">
        <v>2.6700076212727181E-5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10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184.71</v>
      </c>
      <c r="O37" s="54">
        <v>369.03</v>
      </c>
      <c r="P37" s="56">
        <v>141.51999999999998</v>
      </c>
      <c r="Q37" s="50">
        <v>0.62209999999999999</v>
      </c>
      <c r="R37" s="68">
        <v>1.2099527377732532E-5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94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3.36</v>
      </c>
      <c r="O38" s="54">
        <v>3.36</v>
      </c>
      <c r="P38" s="55">
        <v>-10.950000000000001</v>
      </c>
      <c r="Q38" s="49">
        <v>-0.76539999999999997</v>
      </c>
      <c r="R38" s="68">
        <v>1.1016560168328134E-7</v>
      </c>
      <c r="S38" s="20" t="s">
        <v>130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47.99</v>
      </c>
      <c r="O39" s="54">
        <v>239.7</v>
      </c>
      <c r="P39" s="55">
        <v>-28.680000000000007</v>
      </c>
      <c r="Q39" s="49">
        <v>-0.1069</v>
      </c>
      <c r="R39" s="68">
        <v>7.8591353343698031E-6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2.89</v>
      </c>
      <c r="O40" s="54">
        <v>562.96</v>
      </c>
      <c r="P40" s="55">
        <v>-292.02999999999997</v>
      </c>
      <c r="Q40" s="49">
        <v>-0.34160000000000001</v>
      </c>
      <c r="R40" s="68">
        <v>1.8457984262982163E-5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391.09</v>
      </c>
      <c r="O41" s="54">
        <v>390681.71</v>
      </c>
      <c r="P41" s="56">
        <v>157446.09000000003</v>
      </c>
      <c r="Q41" s="50">
        <v>0.67510000000000003</v>
      </c>
      <c r="R41" s="68">
        <v>1.280943025262001E-2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478.66789499999999</v>
      </c>
      <c r="O42" s="54">
        <v>597710.21</v>
      </c>
      <c r="P42" s="56">
        <v>33340.619999999995</v>
      </c>
      <c r="Q42" s="50">
        <v>5.91E-2</v>
      </c>
      <c r="R42" s="68">
        <v>1.9597352653836442E-2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478.66789499999999</v>
      </c>
      <c r="O43" s="54">
        <v>597710.21</v>
      </c>
      <c r="P43" s="56">
        <v>33340.619999999995</v>
      </c>
      <c r="Q43" s="50">
        <v>5.91E-2</v>
      </c>
      <c r="R43" s="68">
        <v>1.9597352653836442E-2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219.32</v>
      </c>
      <c r="O44" s="54">
        <v>438.18</v>
      </c>
      <c r="P44" s="56">
        <v>152.68</v>
      </c>
      <c r="Q44" s="50">
        <v>0.53480000000000005</v>
      </c>
      <c r="R44" s="68">
        <v>1.4366774805232208E-5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137.32</v>
      </c>
      <c r="O45" s="54">
        <v>960.24</v>
      </c>
      <c r="P45" s="84">
        <v>148.43000000000006</v>
      </c>
      <c r="Q45" s="85">
        <v>0.18279999999999999</v>
      </c>
      <c r="R45" s="83">
        <v>3.1483755166772048E-5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2166.0653699999998</v>
      </c>
      <c r="O46" s="54">
        <v>5734080.5800000001</v>
      </c>
      <c r="P46" s="56">
        <v>37960.669999999925</v>
      </c>
      <c r="Q46" s="50">
        <v>6.7000000000000002E-3</v>
      </c>
      <c r="R46" s="51">
        <v>0.18800548726074967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2166.0653699999998</v>
      </c>
      <c r="O47" s="54">
        <v>7064820.04</v>
      </c>
      <c r="P47" s="56">
        <v>46770.410000000149</v>
      </c>
      <c r="Q47" s="50">
        <v>6.7000000000000002E-3</v>
      </c>
      <c r="R47" s="51">
        <v>0.23163694955080469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1629.94164</v>
      </c>
      <c r="O48" s="54">
        <v>5368307.21</v>
      </c>
      <c r="P48" s="56">
        <v>796594.11000000034</v>
      </c>
      <c r="Q48" s="50">
        <v>0.17419999999999999</v>
      </c>
      <c r="R48" s="51">
        <v>0.17601273625307956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1629.94164</v>
      </c>
      <c r="O49" s="54">
        <v>858082.47</v>
      </c>
      <c r="P49" s="56">
        <v>127329.41999999993</v>
      </c>
      <c r="Q49" s="50">
        <v>0.17419999999999999</v>
      </c>
      <c r="R49" s="51">
        <v>2.813427726232923E-2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3086.14311</v>
      </c>
      <c r="O50" s="54">
        <v>107902.24</v>
      </c>
      <c r="P50" s="56">
        <v>23639.360000000001</v>
      </c>
      <c r="Q50" s="50">
        <v>0.28050000000000003</v>
      </c>
      <c r="R50" s="51">
        <v>3.5378319025517347E-3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3086.14311</v>
      </c>
      <c r="O51" s="54">
        <v>107902.24</v>
      </c>
      <c r="P51" s="56">
        <v>23639.360000000001</v>
      </c>
      <c r="Q51" s="50">
        <v>0.28050000000000003</v>
      </c>
      <c r="R51" s="51">
        <v>3.5378319025517347E-3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543.18314999999996</v>
      </c>
      <c r="O52" s="54">
        <v>298438.83</v>
      </c>
      <c r="P52" s="56">
        <v>141596.26</v>
      </c>
      <c r="Q52" s="50">
        <v>0.90280000000000005</v>
      </c>
      <c r="R52" s="51">
        <v>9.7850277597037252E-3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543.18314999999996</v>
      </c>
      <c r="O53" s="54">
        <v>298438.83</v>
      </c>
      <c r="P53" s="56">
        <v>141596.26</v>
      </c>
      <c r="Q53" s="50">
        <v>0.90280000000000005</v>
      </c>
      <c r="R53" s="51">
        <v>9.7850277597037252E-3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7.14</v>
      </c>
      <c r="O54" s="54">
        <v>71.33</v>
      </c>
      <c r="P54" s="55">
        <v>-295.93</v>
      </c>
      <c r="Q54" s="49">
        <v>-0.80579999999999996</v>
      </c>
      <c r="R54" s="51">
        <v>2.3387239190679937E-6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16.43</v>
      </c>
      <c r="O55" s="54">
        <v>98.48</v>
      </c>
      <c r="P55" s="55">
        <v>-84.11</v>
      </c>
      <c r="Q55" s="49">
        <v>-0.4607</v>
      </c>
      <c r="R55" s="51">
        <v>3.2289013255266509E-6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1868.7853500000001</v>
      </c>
      <c r="O56" s="54">
        <v>46670.86</v>
      </c>
      <c r="P56" s="55">
        <v>-15406.379999999997</v>
      </c>
      <c r="Q56" s="49">
        <v>-0.2482</v>
      </c>
      <c r="R56" s="51">
        <v>1.5302152895762464E-3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0.36</v>
      </c>
      <c r="O57" s="54">
        <v>3.96</v>
      </c>
      <c r="P57" s="55">
        <v>-247.10999999999999</v>
      </c>
      <c r="Q57" s="49">
        <v>-0.98419999999999996</v>
      </c>
      <c r="R57" s="51">
        <v>1.2983803055529588E-7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53.46</v>
      </c>
      <c r="O58" s="54">
        <v>907.88</v>
      </c>
      <c r="P58" s="55">
        <v>-12.230000000000018</v>
      </c>
      <c r="Q58" s="49">
        <v>-1.3299999999999999E-2</v>
      </c>
      <c r="R58" s="51">
        <v>2.9767007873874246E-5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53.46</v>
      </c>
      <c r="O59" s="54">
        <v>395190.99</v>
      </c>
      <c r="P59" s="55">
        <v>-5329.109999999986</v>
      </c>
      <c r="Q59" s="49">
        <v>-1.3299999999999999E-2</v>
      </c>
      <c r="R59" s="51">
        <v>1.2957277736060006E-2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53.46</v>
      </c>
      <c r="O60" s="54">
        <v>85446.7</v>
      </c>
      <c r="P60" s="55">
        <v>-1152.2400000000052</v>
      </c>
      <c r="Q60" s="49">
        <v>-1.3299999999999999E-2</v>
      </c>
      <c r="R60" s="51">
        <v>2.8015735468306059E-3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26140623.059999999</v>
      </c>
      <c r="P61" s="91">
        <v>1516702.88</v>
      </c>
      <c r="Q61" s="92">
        <v>6.1600000000000002E-2</v>
      </c>
      <c r="R61" s="53">
        <v>0.85708257969665447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5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1477</v>
      </c>
      <c r="I63" s="34">
        <v>17470</v>
      </c>
      <c r="J63" s="89">
        <v>60.531325000000002</v>
      </c>
      <c r="K63" s="52">
        <v>1057482.25</v>
      </c>
      <c r="L63" s="89">
        <v>60.838991999999998</v>
      </c>
      <c r="M63" s="52">
        <v>1062857.19</v>
      </c>
      <c r="N63" s="90">
        <v>61.52431</v>
      </c>
      <c r="O63" s="54">
        <v>1074829.7</v>
      </c>
      <c r="P63" s="56">
        <v>11972.510000000009</v>
      </c>
      <c r="Q63" s="50">
        <v>1.1299999999999999E-2</v>
      </c>
      <c r="R63" s="51">
        <v>3.524085137129785E-2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1477</v>
      </c>
      <c r="I64" s="34">
        <v>17470</v>
      </c>
      <c r="J64" s="89">
        <v>60.531325000000002</v>
      </c>
      <c r="K64" s="52">
        <v>1057482.25</v>
      </c>
      <c r="L64" s="89">
        <v>60.838991999999998</v>
      </c>
      <c r="M64" s="52">
        <v>1062857.19</v>
      </c>
      <c r="N64" s="90">
        <v>61.52431</v>
      </c>
      <c r="O64" s="54">
        <v>1074829.7</v>
      </c>
      <c r="P64" s="56">
        <v>11972.510000000009</v>
      </c>
      <c r="Q64" s="50">
        <v>1.1299999999999999E-2</v>
      </c>
      <c r="R64" s="51">
        <v>3.524085137129785E-2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280511</v>
      </c>
      <c r="E65" s="44" t="s">
        <v>21</v>
      </c>
      <c r="F65" s="20">
        <v>2</v>
      </c>
      <c r="G65" s="20">
        <v>8.4499999999999993</v>
      </c>
      <c r="H65" s="20">
        <v>2</v>
      </c>
      <c r="I65" s="34">
        <v>14259</v>
      </c>
      <c r="J65" s="89">
        <v>101.79540799999999</v>
      </c>
      <c r="K65" s="52">
        <v>1451500.7226719998</v>
      </c>
      <c r="L65" s="89">
        <v>101.79540900000001</v>
      </c>
      <c r="M65" s="52">
        <v>1451500.74</v>
      </c>
      <c r="N65" s="90">
        <v>101.79540900000001</v>
      </c>
      <c r="O65" s="54">
        <v>1451500.73</v>
      </c>
      <c r="P65" s="55">
        <v>0</v>
      </c>
      <c r="Q65" s="35"/>
      <c r="R65" s="51">
        <v>4.759090811433693E-2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280511</v>
      </c>
      <c r="E66" s="44" t="s">
        <v>21</v>
      </c>
      <c r="F66" s="20">
        <v>2</v>
      </c>
      <c r="G66" s="20">
        <v>8.4499999999999993</v>
      </c>
      <c r="H66" s="20">
        <v>2</v>
      </c>
      <c r="I66" s="34">
        <v>495</v>
      </c>
      <c r="J66" s="89">
        <v>101.79540799999999</v>
      </c>
      <c r="K66" s="52">
        <v>50388.72696</v>
      </c>
      <c r="L66" s="89">
        <v>101.79540900000001</v>
      </c>
      <c r="M66" s="52">
        <v>50388.73</v>
      </c>
      <c r="N66" s="90">
        <v>101.79540900000001</v>
      </c>
      <c r="O66" s="54">
        <v>50388.73</v>
      </c>
      <c r="P66" s="55">
        <v>0</v>
      </c>
      <c r="Q66" s="35"/>
      <c r="R66" s="51">
        <v>1.652114511460241E-3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280511</v>
      </c>
      <c r="E67" s="44" t="s">
        <v>21</v>
      </c>
      <c r="F67" s="20">
        <v>2</v>
      </c>
      <c r="G67" s="20">
        <v>8.4499999999999993</v>
      </c>
      <c r="H67" s="20">
        <v>2</v>
      </c>
      <c r="I67" s="34">
        <v>6948</v>
      </c>
      <c r="J67" s="89">
        <v>101.79540799999999</v>
      </c>
      <c r="K67" s="52">
        <v>707274.49478399998</v>
      </c>
      <c r="L67" s="89">
        <v>101.79540900000001</v>
      </c>
      <c r="M67" s="52">
        <v>707274.5</v>
      </c>
      <c r="N67" s="90">
        <v>101.79540900000001</v>
      </c>
      <c r="O67" s="54">
        <v>707274.5</v>
      </c>
      <c r="P67" s="55">
        <v>0</v>
      </c>
      <c r="Q67" s="35"/>
      <c r="R67" s="51">
        <v>2.318967882373273E-2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4324128.46</v>
      </c>
      <c r="L68" s="24"/>
      <c r="M68" s="39">
        <v>4334878.3499999996</v>
      </c>
      <c r="N68" s="24"/>
      <c r="O68" s="39">
        <v>4358823.3499999996</v>
      </c>
      <c r="P68" s="91">
        <v>23945</v>
      </c>
      <c r="Q68" s="92">
        <v>5.4999999999999997E-3</v>
      </c>
      <c r="R68" s="53">
        <v>0.14291400000000001</v>
      </c>
      <c r="S68" s="74"/>
    </row>
    <row r="69" spans="1:19" x14ac:dyDescent="0.25">
      <c r="A69" s="21"/>
      <c r="B69" s="21"/>
      <c r="C69" s="21"/>
      <c r="D69" s="21"/>
      <c r="E69" s="21"/>
      <c r="F69" s="22"/>
      <c r="G69" s="22"/>
      <c r="H69" s="22"/>
      <c r="I69" s="22"/>
      <c r="J69" s="21"/>
      <c r="K69" s="21"/>
      <c r="L69" s="21"/>
      <c r="M69" s="21"/>
      <c r="N69" s="21"/>
      <c r="O69" s="21"/>
      <c r="P69" s="23"/>
      <c r="Q69" s="23"/>
      <c r="R69" s="22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46.4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-2.25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47.86</v>
      </c>
      <c r="P72" s="23"/>
      <c r="Q72" s="23"/>
      <c r="R72" s="22"/>
    </row>
    <row r="73" spans="1:19" x14ac:dyDescent="0.25">
      <c r="A73" s="21"/>
      <c r="B73" s="21"/>
      <c r="C73" s="21"/>
      <c r="D73" s="21"/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21"/>
      <c r="P73" s="23"/>
      <c r="Q73" s="23"/>
      <c r="R73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5" spans="1:19" x14ac:dyDescent="0.25">
      <c r="A75" s="21"/>
      <c r="B75" s="21"/>
      <c r="C75" s="21"/>
      <c r="D75" s="21"/>
      <c r="E75" s="21"/>
      <c r="F75" s="22"/>
      <c r="G75" s="22"/>
      <c r="H75" s="22"/>
      <c r="I75" s="22"/>
      <c r="J75" s="21"/>
      <c r="K75" s="21"/>
      <c r="L75" s="21"/>
      <c r="M75" s="21"/>
      <c r="N75" s="21"/>
      <c r="O75" s="21"/>
      <c r="P75" s="23"/>
      <c r="Q75" s="23"/>
      <c r="R75" s="22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30499538.41</v>
      </c>
      <c r="P76" s="29"/>
      <c r="Q76" s="29"/>
      <c r="R76" s="28"/>
    </row>
    <row r="77" spans="1:19" x14ac:dyDescent="0.25">
      <c r="A77" s="21"/>
      <c r="B77" s="21"/>
      <c r="C77" s="21"/>
      <c r="D77" s="21"/>
      <c r="E77" s="21"/>
      <c r="F77" s="22"/>
      <c r="G77" s="22"/>
      <c r="H77" s="22"/>
      <c r="I77" s="22"/>
      <c r="J77" s="21"/>
      <c r="K77" s="21"/>
      <c r="L77" s="21"/>
      <c r="M77" s="21"/>
      <c r="N77" s="21"/>
      <c r="O77" s="21"/>
      <c r="P77" s="23"/>
      <c r="Q77" s="23"/>
      <c r="R77" s="22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/>
      <c r="P78" s="23"/>
      <c r="Q78" s="23"/>
      <c r="R78" s="22"/>
    </row>
    <row r="79" spans="1:19" x14ac:dyDescent="0.25">
      <c r="A79" s="21"/>
      <c r="B79" s="21"/>
      <c r="C79" s="21"/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/>
      <c r="P79" s="23"/>
      <c r="Q79" s="23"/>
      <c r="R79" s="22"/>
    </row>
    <row r="80" spans="1:19" x14ac:dyDescent="0.25">
      <c r="A80" s="21"/>
      <c r="B80" s="21"/>
      <c r="C80" s="21"/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/>
      <c r="P80" s="23"/>
      <c r="Q80" s="23"/>
      <c r="R80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0610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1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2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688C2-5673-4A40-BBAF-9027DD42F107}">
  <dimension ref="A1:R244"/>
  <sheetViews>
    <sheetView topLeftCell="A229" workbookViewId="0">
      <selection activeCell="E244" sqref="E244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9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02"/>
      <c r="R3" s="65"/>
    </row>
    <row r="4" spans="1:18" x14ac:dyDescent="0.25">
      <c r="A4" s="69" t="s">
        <v>12</v>
      </c>
      <c r="B4" s="103"/>
      <c r="C4" s="36">
        <v>105433</v>
      </c>
      <c r="D4" s="37" t="s">
        <v>13</v>
      </c>
      <c r="F4" s="38" t="s">
        <v>123</v>
      </c>
      <c r="K4" s="37" t="s">
        <v>118</v>
      </c>
      <c r="L4" t="s">
        <v>161</v>
      </c>
      <c r="R4" s="65"/>
    </row>
    <row r="5" spans="1:18" x14ac:dyDescent="0.25">
      <c r="A5" s="69" t="s">
        <v>14</v>
      </c>
      <c r="B5" s="103"/>
      <c r="C5" s="36" t="s">
        <v>15</v>
      </c>
      <c r="D5" s="37" t="s">
        <v>16</v>
      </c>
      <c r="F5" s="38" t="s">
        <v>144</v>
      </c>
      <c r="R5" s="65"/>
    </row>
    <row r="6" spans="1:18" x14ac:dyDescent="0.25">
      <c r="A6" s="64"/>
      <c r="B6" s="102"/>
      <c r="R6" s="65"/>
    </row>
    <row r="7" spans="1:18" x14ac:dyDescent="0.25">
      <c r="A7" s="17" t="s">
        <v>64</v>
      </c>
      <c r="B7" s="104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04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05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88"/>
      <c r="L9" s="44"/>
      <c r="M9" s="44"/>
      <c r="N9" s="44"/>
      <c r="O9" s="59"/>
      <c r="P9" s="44" t="s">
        <v>21</v>
      </c>
      <c r="Q9" s="44">
        <v>0</v>
      </c>
      <c r="R9" s="70">
        <v>46.4</v>
      </c>
    </row>
    <row r="10" spans="1:18" x14ac:dyDescent="0.25">
      <c r="A10" s="66" t="s">
        <v>80</v>
      </c>
      <c r="B10" s="105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88"/>
      <c r="L10" s="44"/>
      <c r="M10" s="44"/>
      <c r="N10" s="44"/>
      <c r="O10" s="59"/>
      <c r="P10" s="44" t="s">
        <v>21</v>
      </c>
      <c r="Q10" s="44">
        <v>0</v>
      </c>
      <c r="R10" s="70">
        <v>-2.25</v>
      </c>
    </row>
    <row r="11" spans="1:18" x14ac:dyDescent="0.25">
      <c r="A11" s="66" t="s">
        <v>80</v>
      </c>
      <c r="B11" s="105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88"/>
      <c r="L11" s="44"/>
      <c r="M11" s="44"/>
      <c r="N11" s="44"/>
      <c r="O11" s="59"/>
      <c r="P11" s="44" t="s">
        <v>21</v>
      </c>
      <c r="Q11" s="44">
        <v>0</v>
      </c>
      <c r="R11" s="70">
        <v>47.86</v>
      </c>
    </row>
    <row r="12" spans="1:18" x14ac:dyDescent="0.25">
      <c r="A12" s="66" t="s">
        <v>82</v>
      </c>
      <c r="B12" s="105" t="s">
        <v>85</v>
      </c>
      <c r="C12" s="60">
        <v>45777</v>
      </c>
      <c r="D12" s="60">
        <v>45779</v>
      </c>
      <c r="E12" s="44">
        <v>451200</v>
      </c>
      <c r="F12" s="44" t="s">
        <v>83</v>
      </c>
      <c r="G12" s="44" t="s">
        <v>141</v>
      </c>
      <c r="H12" s="44">
        <v>280511</v>
      </c>
      <c r="I12" s="44">
        <v>2</v>
      </c>
      <c r="J12" s="52">
        <v>681.39255045617938</v>
      </c>
      <c r="K12" s="61">
        <v>101.84319600000001</v>
      </c>
      <c r="L12" s="44">
        <v>14259</v>
      </c>
      <c r="M12" s="52">
        <v>1452182.1254617074</v>
      </c>
      <c r="N12" s="44"/>
      <c r="O12" s="59"/>
      <c r="P12" s="44" t="s">
        <v>81</v>
      </c>
      <c r="Q12" s="52">
        <v>1452182.1254617074</v>
      </c>
      <c r="R12" s="71">
        <v>1452228.53</v>
      </c>
    </row>
    <row r="13" spans="1:18" x14ac:dyDescent="0.25">
      <c r="A13" s="66" t="s">
        <v>82</v>
      </c>
      <c r="B13" s="105" t="s">
        <v>86</v>
      </c>
      <c r="C13" s="60">
        <v>45777</v>
      </c>
      <c r="D13" s="60">
        <v>45779</v>
      </c>
      <c r="E13" s="44">
        <v>451200</v>
      </c>
      <c r="F13" s="44" t="s">
        <v>83</v>
      </c>
      <c r="G13" s="44" t="s">
        <v>141</v>
      </c>
      <c r="H13" s="44">
        <v>280511</v>
      </c>
      <c r="I13" s="44">
        <v>2</v>
      </c>
      <c r="J13" s="52">
        <v>23.654485761680959</v>
      </c>
      <c r="K13" s="61">
        <v>101.84319600000001</v>
      </c>
      <c r="L13" s="44">
        <v>495</v>
      </c>
      <c r="M13" s="52">
        <v>50412.381801216434</v>
      </c>
      <c r="N13" s="44"/>
      <c r="O13" s="59"/>
      <c r="P13" s="44" t="s">
        <v>81</v>
      </c>
      <c r="Q13" s="52">
        <v>50412.381801216434</v>
      </c>
      <c r="R13" s="71">
        <v>50410.13</v>
      </c>
    </row>
    <row r="14" spans="1:18" x14ac:dyDescent="0.25">
      <c r="A14" s="66" t="s">
        <v>82</v>
      </c>
      <c r="B14" s="105" t="s">
        <v>121</v>
      </c>
      <c r="C14" s="60">
        <v>45777</v>
      </c>
      <c r="D14" s="60">
        <v>45779</v>
      </c>
      <c r="E14" s="44">
        <v>451200</v>
      </c>
      <c r="F14" s="44" t="s">
        <v>83</v>
      </c>
      <c r="G14" s="44" t="s">
        <v>141</v>
      </c>
      <c r="H14" s="44">
        <v>280511</v>
      </c>
      <c r="I14" s="44">
        <v>2</v>
      </c>
      <c r="J14" s="52">
        <v>332.02296378214004</v>
      </c>
      <c r="K14" s="61">
        <v>101.84319600000001</v>
      </c>
      <c r="L14" s="44">
        <v>6948</v>
      </c>
      <c r="M14" s="52">
        <v>707606.52273707429</v>
      </c>
      <c r="N14" s="44"/>
      <c r="O14" s="59"/>
      <c r="P14" s="44" t="s">
        <v>81</v>
      </c>
      <c r="Q14" s="52">
        <v>707606.52273707429</v>
      </c>
      <c r="R14" s="71">
        <v>707654.38</v>
      </c>
    </row>
    <row r="15" spans="1:18" x14ac:dyDescent="0.25">
      <c r="A15" s="66" t="s">
        <v>82</v>
      </c>
      <c r="B15" s="105" t="s">
        <v>85</v>
      </c>
      <c r="C15" s="60">
        <v>45779</v>
      </c>
      <c r="D15" s="60">
        <v>45779</v>
      </c>
      <c r="E15" s="44">
        <v>452613</v>
      </c>
      <c r="F15" s="44" t="s">
        <v>124</v>
      </c>
      <c r="G15" s="44" t="s">
        <v>141</v>
      </c>
      <c r="H15" s="44">
        <v>280511</v>
      </c>
      <c r="I15" s="44">
        <v>3</v>
      </c>
      <c r="J15" s="44">
        <v>8.4499999999999993</v>
      </c>
      <c r="K15" s="61">
        <v>101.845084</v>
      </c>
      <c r="L15" s="44">
        <v>14259</v>
      </c>
      <c r="M15" s="52">
        <v>1452209.0508059105</v>
      </c>
      <c r="N15" s="44"/>
      <c r="O15" s="59"/>
      <c r="P15" s="44" t="s">
        <v>125</v>
      </c>
      <c r="Q15" s="52">
        <v>1452209.0508059105</v>
      </c>
      <c r="R15" s="70">
        <v>19.48</v>
      </c>
    </row>
    <row r="16" spans="1:18" x14ac:dyDescent="0.25">
      <c r="A16" s="66" t="s">
        <v>82</v>
      </c>
      <c r="B16" s="105" t="s">
        <v>86</v>
      </c>
      <c r="C16" s="60">
        <v>45779</v>
      </c>
      <c r="D16" s="60">
        <v>45779</v>
      </c>
      <c r="E16" s="44">
        <v>452613</v>
      </c>
      <c r="F16" s="44" t="s">
        <v>124</v>
      </c>
      <c r="G16" s="44" t="s">
        <v>141</v>
      </c>
      <c r="H16" s="44">
        <v>280511</v>
      </c>
      <c r="I16" s="44">
        <v>3</v>
      </c>
      <c r="J16" s="44">
        <v>8.4499999999999993</v>
      </c>
      <c r="K16" s="61">
        <v>101.845084</v>
      </c>
      <c r="L16" s="44">
        <v>495</v>
      </c>
      <c r="M16" s="52">
        <v>50413.316512302808</v>
      </c>
      <c r="N16" s="44"/>
      <c r="O16" s="59"/>
      <c r="P16" s="44" t="s">
        <v>125</v>
      </c>
      <c r="Q16" s="52">
        <v>50413.316512302808</v>
      </c>
      <c r="R16" s="70">
        <v>-3.19</v>
      </c>
    </row>
    <row r="17" spans="1:18" x14ac:dyDescent="0.25">
      <c r="A17" s="66" t="s">
        <v>82</v>
      </c>
      <c r="B17" s="105" t="s">
        <v>121</v>
      </c>
      <c r="C17" s="60">
        <v>45779</v>
      </c>
      <c r="D17" s="60">
        <v>45779</v>
      </c>
      <c r="E17" s="44">
        <v>452613</v>
      </c>
      <c r="F17" s="44" t="s">
        <v>124</v>
      </c>
      <c r="G17" s="44" t="s">
        <v>141</v>
      </c>
      <c r="H17" s="44">
        <v>280511</v>
      </c>
      <c r="I17" s="44">
        <v>3</v>
      </c>
      <c r="J17" s="44">
        <v>8.4499999999999993</v>
      </c>
      <c r="K17" s="61">
        <v>101.845084</v>
      </c>
      <c r="L17" s="44">
        <v>6948</v>
      </c>
      <c r="M17" s="52">
        <v>707619.64268177771</v>
      </c>
      <c r="N17" s="44"/>
      <c r="O17" s="59"/>
      <c r="P17" s="44" t="s">
        <v>125</v>
      </c>
      <c r="Q17" s="52">
        <v>707619.64268177771</v>
      </c>
      <c r="R17" s="70">
        <v>34.74</v>
      </c>
    </row>
    <row r="18" spans="1:18" x14ac:dyDescent="0.25">
      <c r="A18" s="66" t="s">
        <v>82</v>
      </c>
      <c r="B18" s="105" t="s">
        <v>85</v>
      </c>
      <c r="C18" s="60">
        <v>45779</v>
      </c>
      <c r="D18" s="60">
        <v>45782</v>
      </c>
      <c r="E18" s="44">
        <v>452613</v>
      </c>
      <c r="F18" s="44" t="s">
        <v>83</v>
      </c>
      <c r="G18" s="44" t="s">
        <v>141</v>
      </c>
      <c r="H18" s="44">
        <v>280511</v>
      </c>
      <c r="I18" s="44">
        <v>3</v>
      </c>
      <c r="J18" s="52">
        <v>1022.5914583909313</v>
      </c>
      <c r="K18" s="61">
        <v>101.916799</v>
      </c>
      <c r="L18" s="44">
        <v>14259</v>
      </c>
      <c r="M18" s="52">
        <v>1453231.6422643124</v>
      </c>
      <c r="N18" s="44"/>
      <c r="O18" s="59"/>
      <c r="P18" s="44" t="s">
        <v>81</v>
      </c>
      <c r="Q18" s="52">
        <v>1453231.6422643124</v>
      </c>
      <c r="R18" s="71">
        <v>1453251.12</v>
      </c>
    </row>
    <row r="19" spans="1:18" x14ac:dyDescent="0.25">
      <c r="A19" s="66" t="s">
        <v>82</v>
      </c>
      <c r="B19" s="105" t="s">
        <v>86</v>
      </c>
      <c r="C19" s="60">
        <v>45779</v>
      </c>
      <c r="D19" s="60">
        <v>45782</v>
      </c>
      <c r="E19" s="44">
        <v>452613</v>
      </c>
      <c r="F19" s="44" t="s">
        <v>83</v>
      </c>
      <c r="G19" s="44" t="s">
        <v>141</v>
      </c>
      <c r="H19" s="44">
        <v>280511</v>
      </c>
      <c r="I19" s="44">
        <v>3</v>
      </c>
      <c r="J19" s="52">
        <v>35.499177495161724</v>
      </c>
      <c r="K19" s="61">
        <v>101.916799</v>
      </c>
      <c r="L19" s="44">
        <v>495</v>
      </c>
      <c r="M19" s="52">
        <v>50448.81568979835</v>
      </c>
      <c r="N19" s="44"/>
      <c r="O19" s="59"/>
      <c r="P19" s="44" t="s">
        <v>81</v>
      </c>
      <c r="Q19" s="52">
        <v>50448.81568979835</v>
      </c>
      <c r="R19" s="71">
        <v>50445.63</v>
      </c>
    </row>
    <row r="20" spans="1:18" x14ac:dyDescent="0.25">
      <c r="A20" s="66" t="s">
        <v>82</v>
      </c>
      <c r="B20" s="105" t="s">
        <v>121</v>
      </c>
      <c r="C20" s="60">
        <v>45779</v>
      </c>
      <c r="D20" s="60">
        <v>45782</v>
      </c>
      <c r="E20" s="44">
        <v>452613</v>
      </c>
      <c r="F20" s="44" t="s">
        <v>83</v>
      </c>
      <c r="G20" s="44" t="s">
        <v>141</v>
      </c>
      <c r="H20" s="44">
        <v>280511</v>
      </c>
      <c r="I20" s="44">
        <v>3</v>
      </c>
      <c r="J20" s="52">
        <v>498.27936411390635</v>
      </c>
      <c r="K20" s="61">
        <v>101.916799</v>
      </c>
      <c r="L20" s="44">
        <v>6948</v>
      </c>
      <c r="M20" s="52">
        <v>708117.92204589676</v>
      </c>
      <c r="N20" s="44"/>
      <c r="O20" s="59"/>
      <c r="P20" s="44" t="s">
        <v>81</v>
      </c>
      <c r="Q20" s="52">
        <v>708117.92204589676</v>
      </c>
      <c r="R20" s="71">
        <v>708152.66</v>
      </c>
    </row>
    <row r="21" spans="1:18" x14ac:dyDescent="0.25">
      <c r="A21" s="66" t="s">
        <v>82</v>
      </c>
      <c r="B21" s="105" t="s">
        <v>85</v>
      </c>
      <c r="C21" s="60">
        <v>45782</v>
      </c>
      <c r="D21" s="60">
        <v>45782</v>
      </c>
      <c r="E21" s="44">
        <v>453990</v>
      </c>
      <c r="F21" s="44" t="s">
        <v>124</v>
      </c>
      <c r="G21" s="44" t="s">
        <v>141</v>
      </c>
      <c r="H21" s="44">
        <v>280511</v>
      </c>
      <c r="I21" s="44">
        <v>1</v>
      </c>
      <c r="J21" s="44">
        <v>8.4499999999999993</v>
      </c>
      <c r="K21" s="61">
        <v>101.921685</v>
      </c>
      <c r="L21" s="44">
        <v>14319</v>
      </c>
      <c r="M21" s="52">
        <v>1459416.6042951436</v>
      </c>
      <c r="N21" s="44"/>
      <c r="O21" s="59"/>
      <c r="P21" s="44" t="s">
        <v>125</v>
      </c>
      <c r="Q21" s="52">
        <v>1459416.6042951436</v>
      </c>
      <c r="R21" s="71">
        <v>-6165.48</v>
      </c>
    </row>
    <row r="22" spans="1:18" x14ac:dyDescent="0.25">
      <c r="A22" s="66" t="s">
        <v>82</v>
      </c>
      <c r="B22" s="105" t="s">
        <v>86</v>
      </c>
      <c r="C22" s="60">
        <v>45782</v>
      </c>
      <c r="D22" s="60">
        <v>45782</v>
      </c>
      <c r="E22" s="44">
        <v>453990</v>
      </c>
      <c r="F22" s="44" t="s">
        <v>124</v>
      </c>
      <c r="G22" s="44" t="s">
        <v>141</v>
      </c>
      <c r="H22" s="44">
        <v>280511</v>
      </c>
      <c r="I22" s="44">
        <v>1</v>
      </c>
      <c r="J22" s="44">
        <v>8.4499999999999993</v>
      </c>
      <c r="K22" s="61">
        <v>101.921685</v>
      </c>
      <c r="L22" s="44">
        <v>495</v>
      </c>
      <c r="M22" s="52">
        <v>50451.233963691331</v>
      </c>
      <c r="N22" s="44"/>
      <c r="O22" s="59"/>
      <c r="P22" s="44" t="s">
        <v>125</v>
      </c>
      <c r="Q22" s="52">
        <v>50451.233963691331</v>
      </c>
      <c r="R22" s="71">
        <v>-5.6</v>
      </c>
    </row>
    <row r="23" spans="1:18" x14ac:dyDescent="0.25">
      <c r="A23" s="66" t="s">
        <v>82</v>
      </c>
      <c r="B23" s="105" t="s">
        <v>121</v>
      </c>
      <c r="C23" s="60">
        <v>45782</v>
      </c>
      <c r="D23" s="60">
        <v>45782</v>
      </c>
      <c r="E23" s="44">
        <v>453990</v>
      </c>
      <c r="F23" s="44" t="s">
        <v>124</v>
      </c>
      <c r="G23" s="44" t="s">
        <v>141</v>
      </c>
      <c r="H23" s="44">
        <v>280511</v>
      </c>
      <c r="I23" s="44">
        <v>1</v>
      </c>
      <c r="J23" s="44">
        <v>8.4499999999999993</v>
      </c>
      <c r="K23" s="61">
        <v>101.921685</v>
      </c>
      <c r="L23" s="44">
        <v>6999</v>
      </c>
      <c r="M23" s="52">
        <v>713349.87174116285</v>
      </c>
      <c r="N23" s="44"/>
      <c r="O23" s="59"/>
      <c r="P23" s="44" t="s">
        <v>125</v>
      </c>
      <c r="Q23" s="52">
        <v>713349.87174116285</v>
      </c>
      <c r="R23" s="71">
        <v>-5197.21</v>
      </c>
    </row>
    <row r="24" spans="1:18" x14ac:dyDescent="0.25">
      <c r="A24" s="66" t="s">
        <v>80</v>
      </c>
      <c r="B24" s="105" t="s">
        <v>85</v>
      </c>
      <c r="C24" s="60">
        <v>45782</v>
      </c>
      <c r="D24" s="60">
        <v>45782</v>
      </c>
      <c r="E24" s="44">
        <v>853242</v>
      </c>
      <c r="F24" s="44" t="s">
        <v>150</v>
      </c>
      <c r="G24" s="44" t="s">
        <v>103</v>
      </c>
      <c r="H24" s="44" t="s">
        <v>104</v>
      </c>
      <c r="I24" s="44"/>
      <c r="J24" s="44"/>
      <c r="K24" s="88"/>
      <c r="L24" s="44"/>
      <c r="M24" s="52">
        <v>6191.75</v>
      </c>
      <c r="N24" s="44"/>
      <c r="O24" s="59"/>
      <c r="P24" s="44" t="s">
        <v>81</v>
      </c>
      <c r="Q24" s="52">
        <v>6191.75</v>
      </c>
      <c r="R24" s="70">
        <v>26.26</v>
      </c>
    </row>
    <row r="25" spans="1:18" x14ac:dyDescent="0.25">
      <c r="A25" s="66" t="s">
        <v>80</v>
      </c>
      <c r="B25" s="105" t="s">
        <v>86</v>
      </c>
      <c r="C25" s="60">
        <v>45782</v>
      </c>
      <c r="D25" s="60">
        <v>45782</v>
      </c>
      <c r="E25" s="44">
        <v>853242</v>
      </c>
      <c r="F25" s="44" t="s">
        <v>150</v>
      </c>
      <c r="G25" s="44" t="s">
        <v>103</v>
      </c>
      <c r="H25" s="44" t="s">
        <v>104</v>
      </c>
      <c r="I25" s="44"/>
      <c r="J25" s="44"/>
      <c r="K25" s="88"/>
      <c r="L25" s="44"/>
      <c r="M25" s="52">
        <v>49.93</v>
      </c>
      <c r="N25" s="44"/>
      <c r="O25" s="59"/>
      <c r="P25" s="44" t="s">
        <v>81</v>
      </c>
      <c r="Q25" s="52">
        <v>49.93</v>
      </c>
      <c r="R25" s="70">
        <v>44.32</v>
      </c>
    </row>
    <row r="26" spans="1:18" x14ac:dyDescent="0.25">
      <c r="A26" s="66" t="s">
        <v>80</v>
      </c>
      <c r="B26" s="105" t="s">
        <v>121</v>
      </c>
      <c r="C26" s="60">
        <v>45782</v>
      </c>
      <c r="D26" s="60">
        <v>45782</v>
      </c>
      <c r="E26" s="44">
        <v>853242</v>
      </c>
      <c r="F26" s="44" t="s">
        <v>150</v>
      </c>
      <c r="G26" s="44" t="s">
        <v>103</v>
      </c>
      <c r="H26" s="44" t="s">
        <v>104</v>
      </c>
      <c r="I26" s="44"/>
      <c r="J26" s="44"/>
      <c r="K26" s="88"/>
      <c r="L26" s="44"/>
      <c r="M26" s="52">
        <v>5193.09</v>
      </c>
      <c r="N26" s="44"/>
      <c r="O26" s="59"/>
      <c r="P26" s="44" t="s">
        <v>81</v>
      </c>
      <c r="Q26" s="52">
        <v>5193.09</v>
      </c>
      <c r="R26" s="70">
        <v>-4.12</v>
      </c>
    </row>
    <row r="27" spans="1:18" x14ac:dyDescent="0.25">
      <c r="A27" s="66" t="s">
        <v>82</v>
      </c>
      <c r="B27" s="105" t="s">
        <v>85</v>
      </c>
      <c r="C27" s="60">
        <v>45782</v>
      </c>
      <c r="D27" s="60">
        <v>45783</v>
      </c>
      <c r="E27" s="44">
        <v>453990</v>
      </c>
      <c r="F27" s="44" t="s">
        <v>83</v>
      </c>
      <c r="G27" s="44" t="s">
        <v>141</v>
      </c>
      <c r="H27" s="44">
        <v>280511</v>
      </c>
      <c r="I27" s="44">
        <v>1</v>
      </c>
      <c r="J27" s="44">
        <v>342.55186219227045</v>
      </c>
      <c r="K27" s="61">
        <v>101.94560799999999</v>
      </c>
      <c r="L27" s="44">
        <v>14319</v>
      </c>
      <c r="M27" s="52">
        <v>1459759.1561573402</v>
      </c>
      <c r="N27" s="44"/>
      <c r="O27" s="59"/>
      <c r="P27" s="44" t="s">
        <v>81</v>
      </c>
      <c r="Q27" s="52">
        <v>1459759.1561573402</v>
      </c>
      <c r="R27" s="71">
        <v>1459785.42</v>
      </c>
    </row>
    <row r="28" spans="1:18" x14ac:dyDescent="0.25">
      <c r="A28" s="66" t="s">
        <v>82</v>
      </c>
      <c r="B28" s="105" t="s">
        <v>86</v>
      </c>
      <c r="C28" s="60">
        <v>45782</v>
      </c>
      <c r="D28" s="60">
        <v>45783</v>
      </c>
      <c r="E28" s="44">
        <v>453990</v>
      </c>
      <c r="F28" s="44" t="s">
        <v>83</v>
      </c>
      <c r="G28" s="44" t="s">
        <v>141</v>
      </c>
      <c r="H28" s="44">
        <v>280511</v>
      </c>
      <c r="I28" s="44">
        <v>1</v>
      </c>
      <c r="J28" s="44">
        <v>11.841830559757936</v>
      </c>
      <c r="K28" s="61">
        <v>101.94560799999999</v>
      </c>
      <c r="L28" s="44">
        <v>495</v>
      </c>
      <c r="M28" s="52">
        <v>50463.075794251235</v>
      </c>
      <c r="N28" s="44"/>
      <c r="O28" s="59"/>
      <c r="P28" s="44" t="s">
        <v>81</v>
      </c>
      <c r="Q28" s="52">
        <v>50463.075794251235</v>
      </c>
      <c r="R28" s="71">
        <v>50507.4</v>
      </c>
    </row>
    <row r="29" spans="1:18" x14ac:dyDescent="0.25">
      <c r="A29" s="66" t="s">
        <v>82</v>
      </c>
      <c r="B29" s="105" t="s">
        <v>121</v>
      </c>
      <c r="C29" s="60">
        <v>45782</v>
      </c>
      <c r="D29" s="60">
        <v>45783</v>
      </c>
      <c r="E29" s="44">
        <v>453990</v>
      </c>
      <c r="F29" s="44" t="s">
        <v>83</v>
      </c>
      <c r="G29" s="44" t="s">
        <v>141</v>
      </c>
      <c r="H29" s="44">
        <v>280511</v>
      </c>
      <c r="I29" s="44">
        <v>1</v>
      </c>
      <c r="J29" s="44">
        <v>167.43630724797129</v>
      </c>
      <c r="K29" s="61">
        <v>101.94560799999999</v>
      </c>
      <c r="L29" s="44">
        <v>6999</v>
      </c>
      <c r="M29" s="52">
        <v>713517.30804841279</v>
      </c>
      <c r="N29" s="44"/>
      <c r="O29" s="59"/>
      <c r="P29" s="44" t="s">
        <v>81</v>
      </c>
      <c r="Q29" s="52">
        <v>713517.30804841279</v>
      </c>
      <c r="R29" s="71">
        <v>713513.19</v>
      </c>
    </row>
    <row r="30" spans="1:18" x14ac:dyDescent="0.25">
      <c r="A30" s="66" t="s">
        <v>82</v>
      </c>
      <c r="B30" s="105" t="s">
        <v>85</v>
      </c>
      <c r="C30" s="60">
        <v>45783</v>
      </c>
      <c r="D30" s="60">
        <v>45783</v>
      </c>
      <c r="E30" s="44">
        <v>455367</v>
      </c>
      <c r="F30" s="44" t="s">
        <v>124</v>
      </c>
      <c r="G30" s="44" t="s">
        <v>141</v>
      </c>
      <c r="H30" s="44">
        <v>280907</v>
      </c>
      <c r="I30" s="44">
        <v>1</v>
      </c>
      <c r="J30" s="44">
        <v>8.4499999999999993</v>
      </c>
      <c r="K30" s="61">
        <v>101.21747000000001</v>
      </c>
      <c r="L30" s="44">
        <v>14422</v>
      </c>
      <c r="M30" s="52">
        <v>1459758.3484670008</v>
      </c>
      <c r="N30" s="44"/>
      <c r="O30" s="59"/>
      <c r="P30" s="44" t="s">
        <v>125</v>
      </c>
      <c r="Q30" s="52">
        <v>1459758.3484670008</v>
      </c>
      <c r="R30" s="70">
        <v>27.07</v>
      </c>
    </row>
    <row r="31" spans="1:18" x14ac:dyDescent="0.25">
      <c r="A31" s="66" t="s">
        <v>82</v>
      </c>
      <c r="B31" s="105" t="s">
        <v>86</v>
      </c>
      <c r="C31" s="60">
        <v>45783</v>
      </c>
      <c r="D31" s="60">
        <v>45783</v>
      </c>
      <c r="E31" s="44">
        <v>455367</v>
      </c>
      <c r="F31" s="44" t="s">
        <v>124</v>
      </c>
      <c r="G31" s="44" t="s">
        <v>141</v>
      </c>
      <c r="H31" s="44">
        <v>280907</v>
      </c>
      <c r="I31" s="44">
        <v>1</v>
      </c>
      <c r="J31" s="44">
        <v>8.4499999999999993</v>
      </c>
      <c r="K31" s="61">
        <v>101.21747000000001</v>
      </c>
      <c r="L31" s="44">
        <v>499</v>
      </c>
      <c r="M31" s="52">
        <v>50507.517395994546</v>
      </c>
      <c r="N31" s="44"/>
      <c r="O31" s="59"/>
      <c r="P31" s="44" t="s">
        <v>125</v>
      </c>
      <c r="Q31" s="52">
        <v>50507.517395994546</v>
      </c>
      <c r="R31" s="70">
        <v>-0.12</v>
      </c>
    </row>
    <row r="32" spans="1:18" x14ac:dyDescent="0.25">
      <c r="A32" s="66" t="s">
        <v>82</v>
      </c>
      <c r="B32" s="105" t="s">
        <v>121</v>
      </c>
      <c r="C32" s="60">
        <v>45783</v>
      </c>
      <c r="D32" s="60">
        <v>45783</v>
      </c>
      <c r="E32" s="44">
        <v>455367</v>
      </c>
      <c r="F32" s="44" t="s">
        <v>124</v>
      </c>
      <c r="G32" s="44" t="s">
        <v>141</v>
      </c>
      <c r="H32" s="44">
        <v>280907</v>
      </c>
      <c r="I32" s="44">
        <v>1</v>
      </c>
      <c r="J32" s="44">
        <v>8.4499999999999993</v>
      </c>
      <c r="K32" s="61">
        <v>101.21747000000001</v>
      </c>
      <c r="L32" s="44">
        <v>7049</v>
      </c>
      <c r="M32" s="52">
        <v>713481.94413700514</v>
      </c>
      <c r="N32" s="44"/>
      <c r="O32" s="59"/>
      <c r="P32" s="44" t="s">
        <v>125</v>
      </c>
      <c r="Q32" s="52">
        <v>713481.94413700514</v>
      </c>
      <c r="R32" s="70">
        <v>31.25</v>
      </c>
    </row>
    <row r="33" spans="1:18" x14ac:dyDescent="0.25">
      <c r="A33" s="66" t="s">
        <v>82</v>
      </c>
      <c r="B33" s="105" t="s">
        <v>85</v>
      </c>
      <c r="C33" s="60">
        <v>45783</v>
      </c>
      <c r="D33" s="60">
        <v>45784</v>
      </c>
      <c r="E33" s="44">
        <v>455367</v>
      </c>
      <c r="F33" s="44" t="s">
        <v>83</v>
      </c>
      <c r="G33" s="44" t="s">
        <v>141</v>
      </c>
      <c r="H33" s="44">
        <v>280907</v>
      </c>
      <c r="I33" s="44">
        <v>1</v>
      </c>
      <c r="J33" s="44">
        <v>342.63573600364163</v>
      </c>
      <c r="K33" s="61">
        <v>101.24122800000001</v>
      </c>
      <c r="L33" s="44">
        <v>14422</v>
      </c>
      <c r="M33" s="52">
        <v>1460100.9842030066</v>
      </c>
      <c r="N33" s="44"/>
      <c r="O33" s="59"/>
      <c r="P33" s="44" t="s">
        <v>81</v>
      </c>
      <c r="Q33" s="52">
        <v>1460100.9842030066</v>
      </c>
      <c r="R33" s="71">
        <v>1460128.05</v>
      </c>
    </row>
    <row r="34" spans="1:18" x14ac:dyDescent="0.25">
      <c r="A34" s="66" t="s">
        <v>82</v>
      </c>
      <c r="B34" s="105" t="s">
        <v>86</v>
      </c>
      <c r="C34" s="60">
        <v>45783</v>
      </c>
      <c r="D34" s="60">
        <v>45784</v>
      </c>
      <c r="E34" s="44">
        <v>455367</v>
      </c>
      <c r="F34" s="44" t="s">
        <v>83</v>
      </c>
      <c r="G34" s="44" t="s">
        <v>141</v>
      </c>
      <c r="H34" s="44">
        <v>280907</v>
      </c>
      <c r="I34" s="44">
        <v>1</v>
      </c>
      <c r="J34" s="44">
        <v>11.855167956304062</v>
      </c>
      <c r="K34" s="61">
        <v>101.24122800000001</v>
      </c>
      <c r="L34" s="44">
        <v>499</v>
      </c>
      <c r="M34" s="52">
        <v>50519.372563950928</v>
      </c>
      <c r="N34" s="44"/>
      <c r="O34" s="59"/>
      <c r="P34" s="44" t="s">
        <v>81</v>
      </c>
      <c r="Q34" s="52">
        <v>50519.372563950928</v>
      </c>
      <c r="R34" s="71">
        <v>50519.25</v>
      </c>
    </row>
    <row r="35" spans="1:18" x14ac:dyDescent="0.25">
      <c r="A35" s="66" t="s">
        <v>82</v>
      </c>
      <c r="B35" s="105" t="s">
        <v>121</v>
      </c>
      <c r="C35" s="60">
        <v>45783</v>
      </c>
      <c r="D35" s="60">
        <v>45784</v>
      </c>
      <c r="E35" s="44">
        <v>455367</v>
      </c>
      <c r="F35" s="44" t="s">
        <v>83</v>
      </c>
      <c r="G35" s="44" t="s">
        <v>141</v>
      </c>
      <c r="H35" s="44">
        <v>280907</v>
      </c>
      <c r="I35" s="44">
        <v>1</v>
      </c>
      <c r="J35" s="44">
        <v>167.46909604005475</v>
      </c>
      <c r="K35" s="61">
        <v>101.24122800000001</v>
      </c>
      <c r="L35" s="44">
        <v>7049</v>
      </c>
      <c r="M35" s="52">
        <v>713649.4132330463</v>
      </c>
      <c r="N35" s="44"/>
      <c r="O35" s="59"/>
      <c r="P35" s="44" t="s">
        <v>81</v>
      </c>
      <c r="Q35" s="52">
        <v>713649.4132330463</v>
      </c>
      <c r="R35" s="71">
        <v>713680.66</v>
      </c>
    </row>
    <row r="36" spans="1:18" x14ac:dyDescent="0.25">
      <c r="A36" s="66" t="s">
        <v>82</v>
      </c>
      <c r="B36" s="105" t="s">
        <v>85</v>
      </c>
      <c r="C36" s="60">
        <v>45784</v>
      </c>
      <c r="D36" s="60">
        <v>45784</v>
      </c>
      <c r="E36" s="44">
        <v>456674</v>
      </c>
      <c r="F36" s="44" t="s">
        <v>124</v>
      </c>
      <c r="G36" s="44" t="s">
        <v>141</v>
      </c>
      <c r="H36" s="44">
        <v>280511</v>
      </c>
      <c r="I36" s="44">
        <v>1</v>
      </c>
      <c r="J36" s="44">
        <v>8.4499999999999993</v>
      </c>
      <c r="K36" s="61">
        <v>101.974124</v>
      </c>
      <c r="L36" s="44">
        <v>14319</v>
      </c>
      <c r="M36" s="52">
        <v>1460167.4797913982</v>
      </c>
      <c r="N36" s="44"/>
      <c r="O36" s="59"/>
      <c r="P36" s="44" t="s">
        <v>125</v>
      </c>
      <c r="Q36" s="52">
        <v>1460167.4797913982</v>
      </c>
      <c r="R36" s="70">
        <v>-39.43</v>
      </c>
    </row>
    <row r="37" spans="1:18" x14ac:dyDescent="0.25">
      <c r="A37" s="66" t="s">
        <v>82</v>
      </c>
      <c r="B37" s="105" t="s">
        <v>86</v>
      </c>
      <c r="C37" s="60">
        <v>45784</v>
      </c>
      <c r="D37" s="60">
        <v>45784</v>
      </c>
      <c r="E37" s="44">
        <v>456674</v>
      </c>
      <c r="F37" s="44" t="s">
        <v>124</v>
      </c>
      <c r="G37" s="44" t="s">
        <v>141</v>
      </c>
      <c r="H37" s="44">
        <v>280511</v>
      </c>
      <c r="I37" s="44">
        <v>1</v>
      </c>
      <c r="J37" s="44">
        <v>8.4499999999999993</v>
      </c>
      <c r="K37" s="61">
        <v>101.974124</v>
      </c>
      <c r="L37" s="44">
        <v>495</v>
      </c>
      <c r="M37" s="52">
        <v>50477.191318998674</v>
      </c>
      <c r="N37" s="44"/>
      <c r="O37" s="59"/>
      <c r="P37" s="44" t="s">
        <v>125</v>
      </c>
      <c r="Q37" s="52">
        <v>50477.191318998674</v>
      </c>
      <c r="R37" s="70">
        <v>42.06</v>
      </c>
    </row>
    <row r="38" spans="1:18" x14ac:dyDescent="0.25">
      <c r="A38" s="66" t="s">
        <v>82</v>
      </c>
      <c r="B38" s="105" t="s">
        <v>121</v>
      </c>
      <c r="C38" s="60">
        <v>45784</v>
      </c>
      <c r="D38" s="60">
        <v>45784</v>
      </c>
      <c r="E38" s="44">
        <v>456674</v>
      </c>
      <c r="F38" s="44" t="s">
        <v>124</v>
      </c>
      <c r="G38" s="44" t="s">
        <v>141</v>
      </c>
      <c r="H38" s="44">
        <v>280511</v>
      </c>
      <c r="I38" s="44">
        <v>1</v>
      </c>
      <c r="J38" s="44">
        <v>8.4499999999999993</v>
      </c>
      <c r="K38" s="61">
        <v>101.974124</v>
      </c>
      <c r="L38" s="44">
        <v>6998</v>
      </c>
      <c r="M38" s="52">
        <v>713614.91888960137</v>
      </c>
      <c r="N38" s="44"/>
      <c r="O38" s="59"/>
      <c r="P38" s="44" t="s">
        <v>125</v>
      </c>
      <c r="Q38" s="52">
        <v>713614.91888960137</v>
      </c>
      <c r="R38" s="70">
        <v>65.739999999999995</v>
      </c>
    </row>
    <row r="39" spans="1:18" x14ac:dyDescent="0.25">
      <c r="A39" s="66" t="s">
        <v>82</v>
      </c>
      <c r="B39" s="105" t="s">
        <v>85</v>
      </c>
      <c r="C39" s="60">
        <v>45784</v>
      </c>
      <c r="D39" s="60">
        <v>45785</v>
      </c>
      <c r="E39" s="44">
        <v>456674</v>
      </c>
      <c r="F39" s="44" t="s">
        <v>83</v>
      </c>
      <c r="G39" s="44" t="s">
        <v>141</v>
      </c>
      <c r="H39" s="44">
        <v>280511</v>
      </c>
      <c r="I39" s="44">
        <v>1</v>
      </c>
      <c r="J39" s="44">
        <v>342.73168531083866</v>
      </c>
      <c r="K39" s="61">
        <v>101.998059</v>
      </c>
      <c r="L39" s="44">
        <v>14319</v>
      </c>
      <c r="M39" s="52">
        <v>1460510.2114767083</v>
      </c>
      <c r="N39" s="44"/>
      <c r="O39" s="59"/>
      <c r="P39" s="44" t="s">
        <v>81</v>
      </c>
      <c r="Q39" s="52">
        <v>1460510.2114767083</v>
      </c>
      <c r="R39" s="71">
        <v>1460470.78</v>
      </c>
    </row>
    <row r="40" spans="1:18" x14ac:dyDescent="0.25">
      <c r="A40" s="66" t="s">
        <v>82</v>
      </c>
      <c r="B40" s="105" t="s">
        <v>86</v>
      </c>
      <c r="C40" s="60">
        <v>45784</v>
      </c>
      <c r="D40" s="60">
        <v>45785</v>
      </c>
      <c r="E40" s="44">
        <v>456674</v>
      </c>
      <c r="F40" s="44" t="s">
        <v>83</v>
      </c>
      <c r="G40" s="44" t="s">
        <v>141</v>
      </c>
      <c r="H40" s="44">
        <v>280511</v>
      </c>
      <c r="I40" s="44">
        <v>1</v>
      </c>
      <c r="J40" s="44">
        <v>11.848046946634899</v>
      </c>
      <c r="K40" s="61">
        <v>101.998059</v>
      </c>
      <c r="L40" s="44">
        <v>495</v>
      </c>
      <c r="M40" s="52">
        <v>50489.039365945289</v>
      </c>
      <c r="N40" s="44"/>
      <c r="O40" s="59"/>
      <c r="P40" s="44" t="s">
        <v>81</v>
      </c>
      <c r="Q40" s="52">
        <v>50489.039365945289</v>
      </c>
      <c r="R40" s="71">
        <v>50531.1</v>
      </c>
    </row>
    <row r="41" spans="1:18" x14ac:dyDescent="0.25">
      <c r="A41" s="66" t="s">
        <v>82</v>
      </c>
      <c r="B41" s="105" t="s">
        <v>121</v>
      </c>
      <c r="C41" s="60">
        <v>45784</v>
      </c>
      <c r="D41" s="60">
        <v>45785</v>
      </c>
      <c r="E41" s="44">
        <v>456674</v>
      </c>
      <c r="F41" s="44" t="s">
        <v>83</v>
      </c>
      <c r="G41" s="44" t="s">
        <v>141</v>
      </c>
      <c r="H41" s="44">
        <v>280511</v>
      </c>
      <c r="I41" s="44">
        <v>1</v>
      </c>
      <c r="J41" s="44">
        <v>167.50026774252731</v>
      </c>
      <c r="K41" s="61">
        <v>101.998059</v>
      </c>
      <c r="L41" s="44">
        <v>6998</v>
      </c>
      <c r="M41" s="52">
        <v>713782.4191573438</v>
      </c>
      <c r="N41" s="44"/>
      <c r="O41" s="59"/>
      <c r="P41" s="44" t="s">
        <v>81</v>
      </c>
      <c r="Q41" s="52">
        <v>713782.4191573438</v>
      </c>
      <c r="R41" s="71">
        <v>713848.16</v>
      </c>
    </row>
    <row r="42" spans="1:18" x14ac:dyDescent="0.25">
      <c r="A42" s="66" t="s">
        <v>82</v>
      </c>
      <c r="B42" s="105" t="s">
        <v>85</v>
      </c>
      <c r="C42" s="60">
        <v>45785</v>
      </c>
      <c r="D42" s="60">
        <v>45785</v>
      </c>
      <c r="E42" s="44">
        <v>458085</v>
      </c>
      <c r="F42" s="44" t="s">
        <v>124</v>
      </c>
      <c r="G42" s="44" t="s">
        <v>141</v>
      </c>
      <c r="H42" s="44">
        <v>260507</v>
      </c>
      <c r="I42" s="44">
        <v>1</v>
      </c>
      <c r="J42" s="44">
        <v>8.4499999999999993</v>
      </c>
      <c r="K42" s="61">
        <v>99.939957000000007</v>
      </c>
      <c r="L42" s="44">
        <v>14613</v>
      </c>
      <c r="M42" s="52">
        <v>1460422.5898180678</v>
      </c>
      <c r="N42" s="44"/>
      <c r="O42" s="59"/>
      <c r="P42" s="44" t="s">
        <v>125</v>
      </c>
      <c r="Q42" s="52">
        <v>1460422.5898180678</v>
      </c>
      <c r="R42" s="70">
        <v>48.19</v>
      </c>
    </row>
    <row r="43" spans="1:18" x14ac:dyDescent="0.25">
      <c r="A43" s="66" t="s">
        <v>82</v>
      </c>
      <c r="B43" s="105" t="s">
        <v>86</v>
      </c>
      <c r="C43" s="60">
        <v>45785</v>
      </c>
      <c r="D43" s="60">
        <v>45785</v>
      </c>
      <c r="E43" s="44">
        <v>458085</v>
      </c>
      <c r="F43" s="44" t="s">
        <v>124</v>
      </c>
      <c r="G43" s="44" t="s">
        <v>141</v>
      </c>
      <c r="H43" s="44">
        <v>260507</v>
      </c>
      <c r="I43" s="44">
        <v>1</v>
      </c>
      <c r="J43" s="44">
        <v>8.4499999999999993</v>
      </c>
      <c r="K43" s="61">
        <v>99.939957000000007</v>
      </c>
      <c r="L43" s="44">
        <v>506</v>
      </c>
      <c r="M43" s="52">
        <v>50569.61817887787</v>
      </c>
      <c r="N43" s="44"/>
      <c r="O43" s="59"/>
      <c r="P43" s="44" t="s">
        <v>125</v>
      </c>
      <c r="Q43" s="52">
        <v>50569.61817887787</v>
      </c>
      <c r="R43" s="70">
        <v>-38.520000000000003</v>
      </c>
    </row>
    <row r="44" spans="1:18" x14ac:dyDescent="0.25">
      <c r="A44" s="66" t="s">
        <v>82</v>
      </c>
      <c r="B44" s="105" t="s">
        <v>121</v>
      </c>
      <c r="C44" s="60">
        <v>45785</v>
      </c>
      <c r="D44" s="60">
        <v>45785</v>
      </c>
      <c r="E44" s="44">
        <v>458085</v>
      </c>
      <c r="F44" s="44" t="s">
        <v>124</v>
      </c>
      <c r="G44" s="44" t="s">
        <v>141</v>
      </c>
      <c r="H44" s="44">
        <v>260507</v>
      </c>
      <c r="I44" s="44">
        <v>1</v>
      </c>
      <c r="J44" s="44">
        <v>8.4499999999999993</v>
      </c>
      <c r="K44" s="61">
        <v>99.939957000000007</v>
      </c>
      <c r="L44" s="44">
        <v>7142</v>
      </c>
      <c r="M44" s="52">
        <v>713771.17200305476</v>
      </c>
      <c r="N44" s="44"/>
      <c r="O44" s="59"/>
      <c r="P44" s="44" t="s">
        <v>125</v>
      </c>
      <c r="Q44" s="52">
        <v>713771.17200305476</v>
      </c>
      <c r="R44" s="70">
        <v>76.989999999999995</v>
      </c>
    </row>
    <row r="45" spans="1:18" x14ac:dyDescent="0.25">
      <c r="A45" s="66" t="s">
        <v>82</v>
      </c>
      <c r="B45" s="105" t="s">
        <v>85</v>
      </c>
      <c r="C45" s="60">
        <v>45785</v>
      </c>
      <c r="D45" s="60">
        <v>45786</v>
      </c>
      <c r="E45" s="44">
        <v>458085</v>
      </c>
      <c r="F45" s="44" t="s">
        <v>83</v>
      </c>
      <c r="G45" s="44" t="s">
        <v>141</v>
      </c>
      <c r="H45" s="44">
        <v>260507</v>
      </c>
      <c r="I45" s="44">
        <v>1</v>
      </c>
      <c r="J45" s="44">
        <v>342.79271371456758</v>
      </c>
      <c r="K45" s="61">
        <v>99.963414999999998</v>
      </c>
      <c r="L45" s="44">
        <v>14613</v>
      </c>
      <c r="M45" s="52">
        <v>1460765.3825317821</v>
      </c>
      <c r="N45" s="44"/>
      <c r="O45" s="59"/>
      <c r="P45" s="44" t="s">
        <v>81</v>
      </c>
      <c r="Q45" s="52">
        <v>1460765.3825317821</v>
      </c>
      <c r="R45" s="71">
        <v>1460813.57</v>
      </c>
    </row>
    <row r="46" spans="1:18" x14ac:dyDescent="0.25">
      <c r="A46" s="66" t="s">
        <v>82</v>
      </c>
      <c r="B46" s="105" t="s">
        <v>86</v>
      </c>
      <c r="C46" s="60">
        <v>45785</v>
      </c>
      <c r="D46" s="60">
        <v>45786</v>
      </c>
      <c r="E46" s="44">
        <v>458085</v>
      </c>
      <c r="F46" s="44" t="s">
        <v>83</v>
      </c>
      <c r="G46" s="44" t="s">
        <v>141</v>
      </c>
      <c r="H46" s="44">
        <v>260507</v>
      </c>
      <c r="I46" s="44">
        <v>1</v>
      </c>
      <c r="J46" s="44">
        <v>11.869781231750579</v>
      </c>
      <c r="K46" s="61">
        <v>99.963414999999998</v>
      </c>
      <c r="L46" s="44">
        <v>506</v>
      </c>
      <c r="M46" s="52">
        <v>50581.487960109618</v>
      </c>
      <c r="N46" s="44"/>
      <c r="O46" s="59"/>
      <c r="P46" s="44" t="s">
        <v>81</v>
      </c>
      <c r="Q46" s="52">
        <v>50581.487960109618</v>
      </c>
      <c r="R46" s="71">
        <v>50542.97</v>
      </c>
    </row>
    <row r="47" spans="1:18" x14ac:dyDescent="0.25">
      <c r="A47" s="66" t="s">
        <v>82</v>
      </c>
      <c r="B47" s="105" t="s">
        <v>121</v>
      </c>
      <c r="C47" s="60">
        <v>45785</v>
      </c>
      <c r="D47" s="60">
        <v>45786</v>
      </c>
      <c r="E47" s="44">
        <v>458085</v>
      </c>
      <c r="F47" s="44" t="s">
        <v>83</v>
      </c>
      <c r="G47" s="44" t="s">
        <v>141</v>
      </c>
      <c r="H47" s="44">
        <v>260507</v>
      </c>
      <c r="I47" s="44">
        <v>1</v>
      </c>
      <c r="J47" s="44">
        <v>167.53750505368109</v>
      </c>
      <c r="K47" s="61">
        <v>99.963414999999998</v>
      </c>
      <c r="L47" s="44">
        <v>7142</v>
      </c>
      <c r="M47" s="52">
        <v>713938.70950810844</v>
      </c>
      <c r="N47" s="44"/>
      <c r="O47" s="59"/>
      <c r="P47" s="44" t="s">
        <v>81</v>
      </c>
      <c r="Q47" s="52">
        <v>713938.70950810844</v>
      </c>
      <c r="R47" s="71">
        <v>714015.7</v>
      </c>
    </row>
    <row r="48" spans="1:18" x14ac:dyDescent="0.25">
      <c r="A48" s="66" t="s">
        <v>82</v>
      </c>
      <c r="B48" s="105" t="s">
        <v>85</v>
      </c>
      <c r="C48" s="60">
        <v>45786</v>
      </c>
      <c r="D48" s="60">
        <v>45786</v>
      </c>
      <c r="E48" s="44">
        <v>459402</v>
      </c>
      <c r="F48" s="44" t="s">
        <v>124</v>
      </c>
      <c r="G48" s="44" t="s">
        <v>141</v>
      </c>
      <c r="H48" s="44">
        <v>260507</v>
      </c>
      <c r="I48" s="44">
        <v>3</v>
      </c>
      <c r="J48" s="44">
        <v>8.4499999999999993</v>
      </c>
      <c r="K48" s="61">
        <v>99.964877000000001</v>
      </c>
      <c r="L48" s="44">
        <v>14687</v>
      </c>
      <c r="M48" s="52">
        <v>1468184.1474498354</v>
      </c>
      <c r="N48" s="44"/>
      <c r="O48" s="59"/>
      <c r="P48" s="44" t="s">
        <v>125</v>
      </c>
      <c r="Q48" s="52">
        <v>1468184.1474498354</v>
      </c>
      <c r="R48" s="71">
        <v>-7370.58</v>
      </c>
    </row>
    <row r="49" spans="1:18" x14ac:dyDescent="0.25">
      <c r="A49" s="66" t="s">
        <v>82</v>
      </c>
      <c r="B49" s="105" t="s">
        <v>86</v>
      </c>
      <c r="C49" s="60">
        <v>45786</v>
      </c>
      <c r="D49" s="60">
        <v>45786</v>
      </c>
      <c r="E49" s="44">
        <v>459402</v>
      </c>
      <c r="F49" s="44" t="s">
        <v>124</v>
      </c>
      <c r="G49" s="44" t="s">
        <v>141</v>
      </c>
      <c r="H49" s="44">
        <v>260507</v>
      </c>
      <c r="I49" s="44">
        <v>3</v>
      </c>
      <c r="J49" s="44">
        <v>8.4499999999999993</v>
      </c>
      <c r="K49" s="61">
        <v>99.964877000000001</v>
      </c>
      <c r="L49" s="44">
        <v>506</v>
      </c>
      <c r="M49" s="52">
        <v>50582.22772585394</v>
      </c>
      <c r="N49" s="44"/>
      <c r="O49" s="59"/>
      <c r="P49" s="44" t="s">
        <v>125</v>
      </c>
      <c r="Q49" s="52">
        <v>50582.22772585394</v>
      </c>
      <c r="R49" s="71">
        <v>-39.26</v>
      </c>
    </row>
    <row r="50" spans="1:18" x14ac:dyDescent="0.25">
      <c r="A50" s="66" t="s">
        <v>82</v>
      </c>
      <c r="B50" s="105" t="s">
        <v>121</v>
      </c>
      <c r="C50" s="60">
        <v>45786</v>
      </c>
      <c r="D50" s="60">
        <v>45786</v>
      </c>
      <c r="E50" s="44">
        <v>459402</v>
      </c>
      <c r="F50" s="44" t="s">
        <v>124</v>
      </c>
      <c r="G50" s="44" t="s">
        <v>141</v>
      </c>
      <c r="H50" s="44">
        <v>260507</v>
      </c>
      <c r="I50" s="44">
        <v>3</v>
      </c>
      <c r="J50" s="44">
        <v>8.4499999999999993</v>
      </c>
      <c r="K50" s="61">
        <v>99.964877000000001</v>
      </c>
      <c r="L50" s="44">
        <v>7233</v>
      </c>
      <c r="M50" s="52">
        <v>723045.95482431143</v>
      </c>
      <c r="N50" s="44"/>
      <c r="O50" s="59"/>
      <c r="P50" s="44" t="s">
        <v>125</v>
      </c>
      <c r="Q50" s="52">
        <v>723045.95482431143</v>
      </c>
      <c r="R50" s="71">
        <v>-9030.25</v>
      </c>
    </row>
    <row r="51" spans="1:18" x14ac:dyDescent="0.25">
      <c r="A51" s="66" t="s">
        <v>80</v>
      </c>
      <c r="B51" s="105" t="s">
        <v>85</v>
      </c>
      <c r="C51" s="60">
        <v>45786</v>
      </c>
      <c r="D51" s="60">
        <v>45786</v>
      </c>
      <c r="E51" s="44">
        <v>853339</v>
      </c>
      <c r="F51" s="44" t="s">
        <v>159</v>
      </c>
      <c r="G51" s="44" t="s">
        <v>142</v>
      </c>
      <c r="H51" s="44">
        <v>11</v>
      </c>
      <c r="I51" s="44"/>
      <c r="J51" s="44"/>
      <c r="K51" s="88"/>
      <c r="L51" s="44"/>
      <c r="M51" s="52">
        <v>7379.77</v>
      </c>
      <c r="N51" s="44"/>
      <c r="O51" s="59"/>
      <c r="P51" s="44" t="s">
        <v>81</v>
      </c>
      <c r="Q51" s="52">
        <v>7379.77</v>
      </c>
      <c r="R51" s="70">
        <v>9.19</v>
      </c>
    </row>
    <row r="52" spans="1:18" x14ac:dyDescent="0.25">
      <c r="A52" s="66" t="s">
        <v>80</v>
      </c>
      <c r="B52" s="105" t="s">
        <v>121</v>
      </c>
      <c r="C52" s="60">
        <v>45786</v>
      </c>
      <c r="D52" s="60">
        <v>45786</v>
      </c>
      <c r="E52" s="44">
        <v>853339</v>
      </c>
      <c r="F52" s="44" t="s">
        <v>159</v>
      </c>
      <c r="G52" s="44" t="s">
        <v>142</v>
      </c>
      <c r="H52" s="44">
        <v>11</v>
      </c>
      <c r="I52" s="44"/>
      <c r="J52" s="44"/>
      <c r="K52" s="88"/>
      <c r="L52" s="44"/>
      <c r="M52" s="52">
        <v>9066.82</v>
      </c>
      <c r="N52" s="44"/>
      <c r="O52" s="59"/>
      <c r="P52" s="44" t="s">
        <v>81</v>
      </c>
      <c r="Q52" s="52">
        <v>9066.82</v>
      </c>
      <c r="R52" s="70">
        <v>36.57</v>
      </c>
    </row>
    <row r="53" spans="1:18" x14ac:dyDescent="0.25">
      <c r="A53" s="66" t="s">
        <v>82</v>
      </c>
      <c r="B53" s="105" t="s">
        <v>85</v>
      </c>
      <c r="C53" s="60">
        <v>45786</v>
      </c>
      <c r="D53" s="60">
        <v>45789</v>
      </c>
      <c r="E53" s="44">
        <v>459402</v>
      </c>
      <c r="F53" s="44" t="s">
        <v>83</v>
      </c>
      <c r="G53" s="44" t="s">
        <v>141</v>
      </c>
      <c r="H53" s="44">
        <v>260507</v>
      </c>
      <c r="I53" s="44">
        <v>3</v>
      </c>
      <c r="J53" s="52">
        <v>1033.8401052349948</v>
      </c>
      <c r="K53" s="61">
        <v>100.035268</v>
      </c>
      <c r="L53" s="44">
        <v>14687</v>
      </c>
      <c r="M53" s="52">
        <v>1469217.9875550745</v>
      </c>
      <c r="N53" s="44"/>
      <c r="O53" s="59"/>
      <c r="P53" s="44" t="s">
        <v>81</v>
      </c>
      <c r="Q53" s="52">
        <v>1469217.9875550745</v>
      </c>
      <c r="R53" s="71">
        <v>1469227.17</v>
      </c>
    </row>
    <row r="54" spans="1:18" x14ac:dyDescent="0.25">
      <c r="A54" s="66" t="s">
        <v>82</v>
      </c>
      <c r="B54" s="105" t="s">
        <v>86</v>
      </c>
      <c r="C54" s="60">
        <v>45786</v>
      </c>
      <c r="D54" s="60">
        <v>45789</v>
      </c>
      <c r="E54" s="44">
        <v>459402</v>
      </c>
      <c r="F54" s="44" t="s">
        <v>83</v>
      </c>
      <c r="G54" s="44" t="s">
        <v>141</v>
      </c>
      <c r="H54" s="44">
        <v>260507</v>
      </c>
      <c r="I54" s="44">
        <v>3</v>
      </c>
      <c r="J54" s="52">
        <v>35.618103986444297</v>
      </c>
      <c r="K54" s="61">
        <v>100.035268</v>
      </c>
      <c r="L54" s="44">
        <v>506</v>
      </c>
      <c r="M54" s="52">
        <v>50617.845829840517</v>
      </c>
      <c r="N54" s="44"/>
      <c r="O54" s="59"/>
      <c r="P54" s="44" t="s">
        <v>81</v>
      </c>
      <c r="Q54" s="52">
        <v>50617.845829840517</v>
      </c>
      <c r="R54" s="71">
        <v>50578.59</v>
      </c>
    </row>
    <row r="55" spans="1:18" x14ac:dyDescent="0.25">
      <c r="A55" s="66" t="s">
        <v>82</v>
      </c>
      <c r="B55" s="105" t="s">
        <v>121</v>
      </c>
      <c r="C55" s="60">
        <v>45786</v>
      </c>
      <c r="D55" s="60">
        <v>45789</v>
      </c>
      <c r="E55" s="44">
        <v>459402</v>
      </c>
      <c r="F55" s="44" t="s">
        <v>83</v>
      </c>
      <c r="G55" s="44" t="s">
        <v>141</v>
      </c>
      <c r="H55" s="44">
        <v>260507</v>
      </c>
      <c r="I55" s="44">
        <v>3</v>
      </c>
      <c r="J55" s="52">
        <v>509.14179077856051</v>
      </c>
      <c r="K55" s="61">
        <v>100.035268</v>
      </c>
      <c r="L55" s="44">
        <v>7233</v>
      </c>
      <c r="M55" s="52">
        <v>723555.0966150919</v>
      </c>
      <c r="N55" s="44"/>
      <c r="O55" s="59"/>
      <c r="P55" s="44" t="s">
        <v>81</v>
      </c>
      <c r="Q55" s="52">
        <v>723555.0966150919</v>
      </c>
      <c r="R55" s="71">
        <v>723591.67</v>
      </c>
    </row>
    <row r="56" spans="1:18" x14ac:dyDescent="0.25">
      <c r="A56" s="66" t="s">
        <v>80</v>
      </c>
      <c r="B56" s="105" t="s">
        <v>86</v>
      </c>
      <c r="C56" s="60">
        <v>45789</v>
      </c>
      <c r="D56" s="60">
        <v>45789</v>
      </c>
      <c r="E56" s="44">
        <v>460786</v>
      </c>
      <c r="F56" s="44" t="s">
        <v>156</v>
      </c>
      <c r="G56" s="44"/>
      <c r="H56" s="44"/>
      <c r="I56" s="44"/>
      <c r="J56" s="44"/>
      <c r="K56" s="88"/>
      <c r="L56" s="44"/>
      <c r="M56" s="44">
        <v>600</v>
      </c>
      <c r="N56" s="44"/>
      <c r="O56" s="59"/>
      <c r="P56" s="44" t="s">
        <v>125</v>
      </c>
      <c r="Q56" s="44">
        <v>600</v>
      </c>
      <c r="R56" s="71">
        <v>49978.59</v>
      </c>
    </row>
    <row r="57" spans="1:18" x14ac:dyDescent="0.25">
      <c r="A57" s="66" t="s">
        <v>82</v>
      </c>
      <c r="B57" s="105" t="s">
        <v>85</v>
      </c>
      <c r="C57" s="60">
        <v>45789</v>
      </c>
      <c r="D57" s="60">
        <v>45789</v>
      </c>
      <c r="E57" s="44">
        <v>461256</v>
      </c>
      <c r="F57" s="44" t="s">
        <v>124</v>
      </c>
      <c r="G57" s="44" t="s">
        <v>141</v>
      </c>
      <c r="H57" s="44">
        <v>260507</v>
      </c>
      <c r="I57" s="44">
        <v>1</v>
      </c>
      <c r="J57" s="44">
        <v>8.4499999999999993</v>
      </c>
      <c r="K57" s="61">
        <v>100.03967400000001</v>
      </c>
      <c r="L57" s="44">
        <v>14855</v>
      </c>
      <c r="M57" s="52">
        <v>1486089.3564749307</v>
      </c>
      <c r="N57" s="44"/>
      <c r="O57" s="59"/>
      <c r="P57" s="44" t="s">
        <v>125</v>
      </c>
      <c r="Q57" s="52">
        <v>1486089.3564749307</v>
      </c>
      <c r="R57" s="71">
        <v>-16862.189999999999</v>
      </c>
    </row>
    <row r="58" spans="1:18" x14ac:dyDescent="0.25">
      <c r="A58" s="66" t="s">
        <v>82</v>
      </c>
      <c r="B58" s="105" t="s">
        <v>86</v>
      </c>
      <c r="C58" s="60">
        <v>45789</v>
      </c>
      <c r="D58" s="60">
        <v>45789</v>
      </c>
      <c r="E58" s="44">
        <v>461256</v>
      </c>
      <c r="F58" s="44" t="s">
        <v>124</v>
      </c>
      <c r="G58" s="44" t="s">
        <v>141</v>
      </c>
      <c r="H58" s="44">
        <v>260507</v>
      </c>
      <c r="I58" s="44">
        <v>1</v>
      </c>
      <c r="J58" s="44">
        <v>8.4499999999999993</v>
      </c>
      <c r="K58" s="61">
        <v>100.03967400000001</v>
      </c>
      <c r="L58" s="44">
        <v>500</v>
      </c>
      <c r="M58" s="52">
        <v>50019.836973238998</v>
      </c>
      <c r="N58" s="44"/>
      <c r="O58" s="59"/>
      <c r="P58" s="44" t="s">
        <v>125</v>
      </c>
      <c r="Q58" s="52">
        <v>50019.836973238998</v>
      </c>
      <c r="R58" s="71">
        <v>-41.25</v>
      </c>
    </row>
    <row r="59" spans="1:18" x14ac:dyDescent="0.25">
      <c r="A59" s="66" t="s">
        <v>82</v>
      </c>
      <c r="B59" s="105" t="s">
        <v>121</v>
      </c>
      <c r="C59" s="60">
        <v>45789</v>
      </c>
      <c r="D59" s="60">
        <v>45789</v>
      </c>
      <c r="E59" s="44">
        <v>461256</v>
      </c>
      <c r="F59" s="44" t="s">
        <v>124</v>
      </c>
      <c r="G59" s="44" t="s">
        <v>141</v>
      </c>
      <c r="H59" s="44">
        <v>260507</v>
      </c>
      <c r="I59" s="44">
        <v>1</v>
      </c>
      <c r="J59" s="44">
        <v>8.4499999999999993</v>
      </c>
      <c r="K59" s="61">
        <v>100.03967400000001</v>
      </c>
      <c r="L59" s="44">
        <v>7402</v>
      </c>
      <c r="M59" s="52">
        <v>740493.66655183013</v>
      </c>
      <c r="N59" s="44"/>
      <c r="O59" s="59"/>
      <c r="P59" s="44" t="s">
        <v>125</v>
      </c>
      <c r="Q59" s="52">
        <v>740493.66655183013</v>
      </c>
      <c r="R59" s="71">
        <v>-16902</v>
      </c>
    </row>
    <row r="60" spans="1:18" x14ac:dyDescent="0.25">
      <c r="A60" s="66" t="s">
        <v>80</v>
      </c>
      <c r="B60" s="105" t="s">
        <v>85</v>
      </c>
      <c r="C60" s="60">
        <v>45789</v>
      </c>
      <c r="D60" s="60">
        <v>45789</v>
      </c>
      <c r="E60" s="44">
        <v>853390</v>
      </c>
      <c r="F60" s="44" t="s">
        <v>150</v>
      </c>
      <c r="G60" s="44" t="s">
        <v>98</v>
      </c>
      <c r="H60" s="44" t="s">
        <v>89</v>
      </c>
      <c r="I60" s="44"/>
      <c r="J60" s="44"/>
      <c r="K60" s="88"/>
      <c r="L60" s="44"/>
      <c r="M60" s="52">
        <v>16912.5</v>
      </c>
      <c r="N60" s="44"/>
      <c r="O60" s="59"/>
      <c r="P60" s="44" t="s">
        <v>81</v>
      </c>
      <c r="Q60" s="52">
        <v>16912.5</v>
      </c>
      <c r="R60" s="70">
        <v>50.32</v>
      </c>
    </row>
    <row r="61" spans="1:18" x14ac:dyDescent="0.25">
      <c r="A61" s="66" t="s">
        <v>80</v>
      </c>
      <c r="B61" s="105" t="s">
        <v>86</v>
      </c>
      <c r="C61" s="60">
        <v>45789</v>
      </c>
      <c r="D61" s="60">
        <v>45789</v>
      </c>
      <c r="E61" s="44">
        <v>853390</v>
      </c>
      <c r="F61" s="44" t="s">
        <v>150</v>
      </c>
      <c r="G61" s="44" t="s">
        <v>98</v>
      </c>
      <c r="H61" s="44" t="s">
        <v>89</v>
      </c>
      <c r="I61" s="44"/>
      <c r="J61" s="44"/>
      <c r="K61" s="88"/>
      <c r="L61" s="44"/>
      <c r="M61" s="52">
        <v>10.25</v>
      </c>
      <c r="N61" s="44"/>
      <c r="O61" s="59"/>
      <c r="P61" s="44" t="s">
        <v>81</v>
      </c>
      <c r="Q61" s="52">
        <v>10.25</v>
      </c>
      <c r="R61" s="70">
        <v>-31</v>
      </c>
    </row>
    <row r="62" spans="1:18" x14ac:dyDescent="0.25">
      <c r="A62" s="66" t="s">
        <v>80</v>
      </c>
      <c r="B62" s="105" t="s">
        <v>121</v>
      </c>
      <c r="C62" s="60">
        <v>45789</v>
      </c>
      <c r="D62" s="60">
        <v>45789</v>
      </c>
      <c r="E62" s="44">
        <v>853390</v>
      </c>
      <c r="F62" s="44" t="s">
        <v>150</v>
      </c>
      <c r="G62" s="44" t="s">
        <v>98</v>
      </c>
      <c r="H62" s="44" t="s">
        <v>89</v>
      </c>
      <c r="I62" s="44"/>
      <c r="J62" s="44"/>
      <c r="K62" s="88"/>
      <c r="L62" s="44"/>
      <c r="M62" s="52">
        <v>16912.5</v>
      </c>
      <c r="N62" s="44"/>
      <c r="O62" s="59"/>
      <c r="P62" s="44" t="s">
        <v>81</v>
      </c>
      <c r="Q62" s="52">
        <v>16912.5</v>
      </c>
      <c r="R62" s="70">
        <v>10.5</v>
      </c>
    </row>
    <row r="63" spans="1:18" x14ac:dyDescent="0.25">
      <c r="A63" s="66" t="s">
        <v>80</v>
      </c>
      <c r="B63" s="105" t="s">
        <v>86</v>
      </c>
      <c r="C63" s="60">
        <v>45789</v>
      </c>
      <c r="D63" s="60">
        <v>45789</v>
      </c>
      <c r="E63" s="44">
        <v>853391</v>
      </c>
      <c r="F63" s="44" t="s">
        <v>150</v>
      </c>
      <c r="G63" s="44" t="s">
        <v>63</v>
      </c>
      <c r="H63" s="44" t="s">
        <v>89</v>
      </c>
      <c r="I63" s="44"/>
      <c r="J63" s="44"/>
      <c r="K63" s="88"/>
      <c r="L63" s="44"/>
      <c r="M63" s="44">
        <v>32.200000000000003</v>
      </c>
      <c r="N63" s="44"/>
      <c r="O63" s="59"/>
      <c r="P63" s="44" t="s">
        <v>81</v>
      </c>
      <c r="Q63" s="44">
        <v>32.200000000000003</v>
      </c>
      <c r="R63" s="70">
        <v>1.2</v>
      </c>
    </row>
    <row r="64" spans="1:18" x14ac:dyDescent="0.25">
      <c r="A64" s="66" t="s">
        <v>82</v>
      </c>
      <c r="B64" s="105" t="s">
        <v>85</v>
      </c>
      <c r="C64" s="60">
        <v>45789</v>
      </c>
      <c r="D64" s="60">
        <v>45790</v>
      </c>
      <c r="E64" s="44">
        <v>461256</v>
      </c>
      <c r="F64" s="44" t="s">
        <v>83</v>
      </c>
      <c r="G64" s="44" t="s">
        <v>141</v>
      </c>
      <c r="H64" s="44">
        <v>260507</v>
      </c>
      <c r="I64" s="44">
        <v>1</v>
      </c>
      <c r="J64" s="44">
        <v>348.81213692490184</v>
      </c>
      <c r="K64" s="61">
        <v>100.06315499999999</v>
      </c>
      <c r="L64" s="44">
        <v>14855</v>
      </c>
      <c r="M64" s="52">
        <v>1486438.1686118513</v>
      </c>
      <c r="N64" s="44"/>
      <c r="O64" s="59"/>
      <c r="P64" s="44" t="s">
        <v>81</v>
      </c>
      <c r="Q64" s="52">
        <v>1486438.1686118513</v>
      </c>
      <c r="R64" s="71">
        <v>1486488.49</v>
      </c>
    </row>
    <row r="65" spans="1:18" x14ac:dyDescent="0.25">
      <c r="A65" s="66" t="s">
        <v>82</v>
      </c>
      <c r="B65" s="105" t="s">
        <v>86</v>
      </c>
      <c r="C65" s="60">
        <v>45789</v>
      </c>
      <c r="D65" s="60">
        <v>45790</v>
      </c>
      <c r="E65" s="44">
        <v>461256</v>
      </c>
      <c r="F65" s="44" t="s">
        <v>83</v>
      </c>
      <c r="G65" s="44" t="s">
        <v>141</v>
      </c>
      <c r="H65" s="44">
        <v>260507</v>
      </c>
      <c r="I65" s="44">
        <v>1</v>
      </c>
      <c r="J65" s="44">
        <v>11.74056334314715</v>
      </c>
      <c r="K65" s="61">
        <v>100.06315499999999</v>
      </c>
      <c r="L65" s="44">
        <v>500</v>
      </c>
      <c r="M65" s="52">
        <v>50031.577536582001</v>
      </c>
      <c r="N65" s="44"/>
      <c r="O65" s="59"/>
      <c r="P65" s="44" t="s">
        <v>81</v>
      </c>
      <c r="Q65" s="52">
        <v>50031.577536582001</v>
      </c>
      <c r="R65" s="71">
        <v>50032.78</v>
      </c>
    </row>
    <row r="66" spans="1:18" x14ac:dyDescent="0.25">
      <c r="A66" s="66" t="s">
        <v>82</v>
      </c>
      <c r="B66" s="105" t="s">
        <v>121</v>
      </c>
      <c r="C66" s="60">
        <v>45789</v>
      </c>
      <c r="D66" s="60">
        <v>45790</v>
      </c>
      <c r="E66" s="44">
        <v>461256</v>
      </c>
      <c r="F66" s="44" t="s">
        <v>83</v>
      </c>
      <c r="G66" s="44" t="s">
        <v>141</v>
      </c>
      <c r="H66" s="44">
        <v>260507</v>
      </c>
      <c r="I66" s="44">
        <v>1</v>
      </c>
      <c r="J66" s="44">
        <v>173.80729973195042</v>
      </c>
      <c r="K66" s="61">
        <v>100.06315499999999</v>
      </c>
      <c r="L66" s="44">
        <v>7402</v>
      </c>
      <c r="M66" s="52">
        <v>740667.47385155992</v>
      </c>
      <c r="N66" s="44"/>
      <c r="O66" s="59"/>
      <c r="P66" s="44" t="s">
        <v>81</v>
      </c>
      <c r="Q66" s="52">
        <v>740667.47385155992</v>
      </c>
      <c r="R66" s="71">
        <v>740677.97</v>
      </c>
    </row>
    <row r="67" spans="1:18" x14ac:dyDescent="0.25">
      <c r="A67" s="66" t="s">
        <v>82</v>
      </c>
      <c r="B67" s="105" t="s">
        <v>85</v>
      </c>
      <c r="C67" s="60">
        <v>45790</v>
      </c>
      <c r="D67" s="60">
        <v>45790</v>
      </c>
      <c r="E67" s="44">
        <v>462175</v>
      </c>
      <c r="F67" s="44" t="s">
        <v>124</v>
      </c>
      <c r="G67" s="44" t="s">
        <v>141</v>
      </c>
      <c r="H67" s="44">
        <v>260507</v>
      </c>
      <c r="I67" s="44">
        <v>1</v>
      </c>
      <c r="J67" s="44">
        <v>8.4499999999999993</v>
      </c>
      <c r="K67" s="61">
        <v>100.064618</v>
      </c>
      <c r="L67" s="44">
        <v>14876</v>
      </c>
      <c r="M67" s="52">
        <v>1488561.2571290617</v>
      </c>
      <c r="N67" s="44"/>
      <c r="O67" s="59"/>
      <c r="P67" s="44" t="s">
        <v>125</v>
      </c>
      <c r="Q67" s="52">
        <v>1488561.2571290617</v>
      </c>
      <c r="R67" s="71">
        <v>-2072.77</v>
      </c>
    </row>
    <row r="68" spans="1:18" x14ac:dyDescent="0.25">
      <c r="A68" s="66" t="s">
        <v>82</v>
      </c>
      <c r="B68" s="105" t="s">
        <v>86</v>
      </c>
      <c r="C68" s="60">
        <v>45790</v>
      </c>
      <c r="D68" s="60">
        <v>45790</v>
      </c>
      <c r="E68" s="44">
        <v>462175</v>
      </c>
      <c r="F68" s="44" t="s">
        <v>124</v>
      </c>
      <c r="G68" s="44" t="s">
        <v>141</v>
      </c>
      <c r="H68" s="44">
        <v>260507</v>
      </c>
      <c r="I68" s="44">
        <v>1</v>
      </c>
      <c r="J68" s="44">
        <v>8.4499999999999993</v>
      </c>
      <c r="K68" s="61">
        <v>100.064618</v>
      </c>
      <c r="L68" s="44">
        <v>500</v>
      </c>
      <c r="M68" s="52">
        <v>50032.308991969003</v>
      </c>
      <c r="N68" s="44"/>
      <c r="O68" s="59"/>
      <c r="P68" s="44" t="s">
        <v>125</v>
      </c>
      <c r="Q68" s="52">
        <v>50032.308991969003</v>
      </c>
      <c r="R68" s="71">
        <v>0.47</v>
      </c>
    </row>
    <row r="69" spans="1:18" x14ac:dyDescent="0.25">
      <c r="A69" s="66" t="s">
        <v>82</v>
      </c>
      <c r="B69" s="105" t="s">
        <v>121</v>
      </c>
      <c r="C69" s="60">
        <v>45790</v>
      </c>
      <c r="D69" s="60">
        <v>45790</v>
      </c>
      <c r="E69" s="44">
        <v>462175</v>
      </c>
      <c r="F69" s="44" t="s">
        <v>124</v>
      </c>
      <c r="G69" s="44" t="s">
        <v>141</v>
      </c>
      <c r="H69" s="44">
        <v>260507</v>
      </c>
      <c r="I69" s="44">
        <v>1</v>
      </c>
      <c r="J69" s="44">
        <v>8.4499999999999993</v>
      </c>
      <c r="K69" s="61">
        <v>100.064618</v>
      </c>
      <c r="L69" s="44">
        <v>7411</v>
      </c>
      <c r="M69" s="52">
        <v>741578.88387896447</v>
      </c>
      <c r="N69" s="44"/>
      <c r="O69" s="59"/>
      <c r="P69" s="44" t="s">
        <v>125</v>
      </c>
      <c r="Q69" s="52">
        <v>741578.88387896447</v>
      </c>
      <c r="R69" s="71">
        <v>-900.91</v>
      </c>
    </row>
    <row r="70" spans="1:18" x14ac:dyDescent="0.25">
      <c r="A70" s="66" t="s">
        <v>80</v>
      </c>
      <c r="B70" s="105" t="s">
        <v>85</v>
      </c>
      <c r="C70" s="60">
        <v>45790</v>
      </c>
      <c r="D70" s="60">
        <v>45790</v>
      </c>
      <c r="E70" s="44">
        <v>853426</v>
      </c>
      <c r="F70" s="44" t="s">
        <v>160</v>
      </c>
      <c r="G70" s="44" t="s">
        <v>135</v>
      </c>
      <c r="H70" s="44">
        <v>13</v>
      </c>
      <c r="I70" s="44"/>
      <c r="J70" s="44"/>
      <c r="K70" s="88"/>
      <c r="L70" s="44"/>
      <c r="M70" s="52">
        <v>997.73</v>
      </c>
      <c r="N70" s="44"/>
      <c r="O70" s="59"/>
      <c r="P70" s="44" t="s">
        <v>81</v>
      </c>
      <c r="Q70" s="52">
        <v>997.73</v>
      </c>
      <c r="R70" s="71">
        <v>-1075.04</v>
      </c>
    </row>
    <row r="71" spans="1:18" x14ac:dyDescent="0.25">
      <c r="A71" s="66" t="s">
        <v>80</v>
      </c>
      <c r="B71" s="105" t="s">
        <v>121</v>
      </c>
      <c r="C71" s="60">
        <v>45790</v>
      </c>
      <c r="D71" s="60">
        <v>45790</v>
      </c>
      <c r="E71" s="44">
        <v>853426</v>
      </c>
      <c r="F71" s="44" t="s">
        <v>160</v>
      </c>
      <c r="G71" s="44" t="s">
        <v>135</v>
      </c>
      <c r="H71" s="44">
        <v>13</v>
      </c>
      <c r="I71" s="44"/>
      <c r="J71" s="44"/>
      <c r="K71" s="88"/>
      <c r="L71" s="44"/>
      <c r="M71" s="52">
        <v>419.12999999999988</v>
      </c>
      <c r="N71" s="44"/>
      <c r="O71" s="59"/>
      <c r="P71" s="44" t="s">
        <v>81</v>
      </c>
      <c r="Q71" s="52">
        <v>419.12999999999988</v>
      </c>
      <c r="R71" s="71">
        <v>-481.78</v>
      </c>
    </row>
    <row r="72" spans="1:18" x14ac:dyDescent="0.25">
      <c r="A72" s="66" t="s">
        <v>80</v>
      </c>
      <c r="B72" s="105" t="s">
        <v>85</v>
      </c>
      <c r="C72" s="60">
        <v>45790</v>
      </c>
      <c r="D72" s="60">
        <v>45790</v>
      </c>
      <c r="E72" s="44">
        <v>853427</v>
      </c>
      <c r="F72" s="44" t="s">
        <v>159</v>
      </c>
      <c r="G72" s="44" t="s">
        <v>135</v>
      </c>
      <c r="H72" s="44">
        <v>13</v>
      </c>
      <c r="I72" s="44"/>
      <c r="J72" s="44"/>
      <c r="K72" s="88"/>
      <c r="L72" s="44"/>
      <c r="M72" s="52">
        <v>1144.72</v>
      </c>
      <c r="N72" s="44"/>
      <c r="O72" s="59"/>
      <c r="P72" s="44" t="s">
        <v>81</v>
      </c>
      <c r="Q72" s="52">
        <v>1144.72</v>
      </c>
      <c r="R72" s="70">
        <v>69.69</v>
      </c>
    </row>
    <row r="73" spans="1:18" x14ac:dyDescent="0.25">
      <c r="A73" s="66" t="s">
        <v>80</v>
      </c>
      <c r="B73" s="105" t="s">
        <v>121</v>
      </c>
      <c r="C73" s="60">
        <v>45790</v>
      </c>
      <c r="D73" s="60">
        <v>45790</v>
      </c>
      <c r="E73" s="44">
        <v>853427</v>
      </c>
      <c r="F73" s="44" t="s">
        <v>159</v>
      </c>
      <c r="G73" s="44" t="s">
        <v>135</v>
      </c>
      <c r="H73" s="44">
        <v>13</v>
      </c>
      <c r="I73" s="44"/>
      <c r="J73" s="44"/>
      <c r="K73" s="88"/>
      <c r="L73" s="44"/>
      <c r="M73" s="52">
        <v>480.86999999999989</v>
      </c>
      <c r="N73" s="44"/>
      <c r="O73" s="59"/>
      <c r="P73" s="44" t="s">
        <v>81</v>
      </c>
      <c r="Q73" s="52">
        <v>480.86999999999989</v>
      </c>
      <c r="R73" s="70">
        <v>-0.91</v>
      </c>
    </row>
    <row r="74" spans="1:18" x14ac:dyDescent="0.25">
      <c r="A74" s="66" t="s">
        <v>80</v>
      </c>
      <c r="B74" s="105" t="s">
        <v>86</v>
      </c>
      <c r="C74" s="60">
        <v>45790</v>
      </c>
      <c r="D74" s="60">
        <v>45790</v>
      </c>
      <c r="E74" s="44">
        <v>853428</v>
      </c>
      <c r="F74" s="44" t="s">
        <v>159</v>
      </c>
      <c r="G74" s="44" t="s">
        <v>155</v>
      </c>
      <c r="H74" s="44">
        <v>14</v>
      </c>
      <c r="I74" s="44"/>
      <c r="J74" s="44"/>
      <c r="K74" s="88"/>
      <c r="L74" s="44"/>
      <c r="M74" s="44">
        <v>5.87</v>
      </c>
      <c r="N74" s="44"/>
      <c r="O74" s="59"/>
      <c r="P74" s="44" t="s">
        <v>81</v>
      </c>
      <c r="Q74" s="44">
        <v>5.87</v>
      </c>
      <c r="R74" s="70">
        <v>6.34</v>
      </c>
    </row>
    <row r="75" spans="1:18" x14ac:dyDescent="0.25">
      <c r="A75" s="79"/>
      <c r="B75" s="105" t="s">
        <v>86</v>
      </c>
      <c r="C75" s="93">
        <v>45790</v>
      </c>
      <c r="D75" s="93">
        <v>45791</v>
      </c>
      <c r="E75" s="77">
        <v>8279</v>
      </c>
      <c r="F75" s="77" t="s">
        <v>162</v>
      </c>
      <c r="G75" s="77" t="s">
        <v>93</v>
      </c>
      <c r="H75" s="77" t="s">
        <v>94</v>
      </c>
      <c r="I75" s="77"/>
      <c r="J75" s="77"/>
      <c r="K75" s="101">
        <v>45.63</v>
      </c>
      <c r="L75" s="77">
        <v>26</v>
      </c>
      <c r="M75" s="78">
        <v>1186.3800000000001</v>
      </c>
      <c r="N75" s="77"/>
      <c r="O75" s="94"/>
      <c r="P75" s="77" t="s">
        <v>81</v>
      </c>
      <c r="Q75" s="78">
        <v>1186.3800000000001</v>
      </c>
      <c r="R75" s="96">
        <v>1192.72</v>
      </c>
    </row>
    <row r="76" spans="1:18" x14ac:dyDescent="0.25">
      <c r="A76" s="66"/>
      <c r="B76" s="105" t="s">
        <v>86</v>
      </c>
      <c r="C76" s="60">
        <v>45790</v>
      </c>
      <c r="D76" s="60">
        <v>45791</v>
      </c>
      <c r="E76" s="44">
        <v>8279</v>
      </c>
      <c r="F76" s="44" t="s">
        <v>163</v>
      </c>
      <c r="G76" s="44" t="s">
        <v>93</v>
      </c>
      <c r="H76" s="44" t="s">
        <v>94</v>
      </c>
      <c r="I76" s="44"/>
      <c r="J76" s="44"/>
      <c r="K76" s="44">
        <v>4.1066999999999999E-2</v>
      </c>
      <c r="L76" s="44"/>
      <c r="M76" s="44">
        <v>1.07</v>
      </c>
      <c r="N76" s="44"/>
      <c r="O76" s="44">
        <v>0.17</v>
      </c>
      <c r="P76" s="44" t="s">
        <v>125</v>
      </c>
      <c r="Q76" s="44">
        <v>1.24</v>
      </c>
      <c r="R76" s="71">
        <v>1191.48</v>
      </c>
    </row>
    <row r="77" spans="1:18" x14ac:dyDescent="0.25">
      <c r="A77" s="66"/>
      <c r="B77" s="105" t="s">
        <v>86</v>
      </c>
      <c r="C77" s="60">
        <v>45790</v>
      </c>
      <c r="D77" s="60">
        <v>45791</v>
      </c>
      <c r="E77" s="44">
        <v>8280</v>
      </c>
      <c r="F77" s="44" t="s">
        <v>162</v>
      </c>
      <c r="G77" s="44" t="s">
        <v>92</v>
      </c>
      <c r="H77" s="44" t="s">
        <v>97</v>
      </c>
      <c r="I77" s="44"/>
      <c r="J77" s="44"/>
      <c r="K77" s="88">
        <v>16.43</v>
      </c>
      <c r="L77" s="44">
        <v>12</v>
      </c>
      <c r="M77" s="44">
        <v>197.16</v>
      </c>
      <c r="N77" s="44"/>
      <c r="O77" s="59"/>
      <c r="P77" s="44" t="s">
        <v>81</v>
      </c>
      <c r="Q77" s="44">
        <v>197.16</v>
      </c>
      <c r="R77" s="71">
        <v>1388.64</v>
      </c>
    </row>
    <row r="78" spans="1:18" x14ac:dyDescent="0.25">
      <c r="A78" s="66"/>
      <c r="B78" s="105" t="s">
        <v>86</v>
      </c>
      <c r="C78" s="60">
        <v>45790</v>
      </c>
      <c r="D78" s="60">
        <v>45791</v>
      </c>
      <c r="E78" s="44">
        <v>8280</v>
      </c>
      <c r="F78" s="44" t="s">
        <v>163</v>
      </c>
      <c r="G78" s="44" t="s">
        <v>92</v>
      </c>
      <c r="H78" s="44" t="s">
        <v>97</v>
      </c>
      <c r="I78" s="44"/>
      <c r="J78" s="44"/>
      <c r="K78" s="88">
        <v>1.4800000000000001E-2</v>
      </c>
      <c r="L78" s="44"/>
      <c r="M78" s="44">
        <v>0.18</v>
      </c>
      <c r="N78" s="44"/>
      <c r="O78" s="59">
        <v>0.03</v>
      </c>
      <c r="P78" s="44" t="s">
        <v>125</v>
      </c>
      <c r="Q78" s="44">
        <v>0.21</v>
      </c>
      <c r="R78" s="71">
        <v>1388.43</v>
      </c>
    </row>
    <row r="79" spans="1:18" x14ac:dyDescent="0.25">
      <c r="A79" s="66"/>
      <c r="B79" s="105" t="s">
        <v>86</v>
      </c>
      <c r="C79" s="60">
        <v>45790</v>
      </c>
      <c r="D79" s="60">
        <v>45791</v>
      </c>
      <c r="E79" s="44">
        <v>8281</v>
      </c>
      <c r="F79" s="44" t="s">
        <v>162</v>
      </c>
      <c r="G79" s="44" t="s">
        <v>96</v>
      </c>
      <c r="H79" s="44" t="s">
        <v>97</v>
      </c>
      <c r="I79" s="44"/>
      <c r="J79" s="44"/>
      <c r="K79" s="88">
        <v>6.65</v>
      </c>
      <c r="L79" s="44">
        <v>23</v>
      </c>
      <c r="M79" s="44">
        <v>152.94999999999999</v>
      </c>
      <c r="N79" s="44"/>
      <c r="O79" s="59"/>
      <c r="P79" s="44" t="s">
        <v>81</v>
      </c>
      <c r="Q79" s="44">
        <v>152.94999999999999</v>
      </c>
      <c r="R79" s="71">
        <v>1541.38</v>
      </c>
    </row>
    <row r="80" spans="1:18" x14ac:dyDescent="0.25">
      <c r="A80" s="66"/>
      <c r="B80" s="105" t="s">
        <v>86</v>
      </c>
      <c r="C80" s="60">
        <v>45790</v>
      </c>
      <c r="D80" s="60">
        <v>45791</v>
      </c>
      <c r="E80" s="44">
        <v>8281</v>
      </c>
      <c r="F80" s="44" t="s">
        <v>163</v>
      </c>
      <c r="G80" s="44" t="s">
        <v>96</v>
      </c>
      <c r="H80" s="44" t="s">
        <v>97</v>
      </c>
      <c r="I80" s="44"/>
      <c r="J80" s="44"/>
      <c r="K80" s="88">
        <v>6.0000000000000001E-3</v>
      </c>
      <c r="L80" s="44"/>
      <c r="M80" s="44">
        <v>0.14000000000000001</v>
      </c>
      <c r="N80" s="44"/>
      <c r="O80" s="59">
        <v>0.02</v>
      </c>
      <c r="P80" s="44" t="s">
        <v>125</v>
      </c>
      <c r="Q80" s="44">
        <v>0.16</v>
      </c>
      <c r="R80" s="71">
        <v>1541.22</v>
      </c>
    </row>
    <row r="81" spans="1:18" x14ac:dyDescent="0.25">
      <c r="A81" s="66"/>
      <c r="B81" s="105" t="s">
        <v>86</v>
      </c>
      <c r="C81" s="60">
        <v>45790</v>
      </c>
      <c r="D81" s="60">
        <v>45791</v>
      </c>
      <c r="E81" s="44">
        <v>8282</v>
      </c>
      <c r="F81" s="44" t="s">
        <v>162</v>
      </c>
      <c r="G81" s="44" t="s">
        <v>98</v>
      </c>
      <c r="H81" s="44" t="s">
        <v>89</v>
      </c>
      <c r="I81" s="44"/>
      <c r="J81" s="44"/>
      <c r="K81" s="88">
        <v>40.020000000000003</v>
      </c>
      <c r="L81" s="44">
        <v>5</v>
      </c>
      <c r="M81" s="44">
        <v>200.1</v>
      </c>
      <c r="N81" s="44"/>
      <c r="O81" s="59"/>
      <c r="P81" s="44" t="s">
        <v>81</v>
      </c>
      <c r="Q81" s="44">
        <v>200.1</v>
      </c>
      <c r="R81" s="71">
        <v>1741.32</v>
      </c>
    </row>
    <row r="82" spans="1:18" x14ac:dyDescent="0.25">
      <c r="A82" s="66"/>
      <c r="B82" s="105" t="s">
        <v>86</v>
      </c>
      <c r="C82" s="60">
        <v>45790</v>
      </c>
      <c r="D82" s="60">
        <v>45791</v>
      </c>
      <c r="E82" s="44">
        <v>8282</v>
      </c>
      <c r="F82" s="44" t="s">
        <v>163</v>
      </c>
      <c r="G82" s="44" t="s">
        <v>98</v>
      </c>
      <c r="H82" s="44" t="s">
        <v>89</v>
      </c>
      <c r="I82" s="44"/>
      <c r="J82" s="44"/>
      <c r="K82" s="88">
        <v>3.5999999999999997E-2</v>
      </c>
      <c r="L82" s="44"/>
      <c r="M82" s="44">
        <v>0.18</v>
      </c>
      <c r="N82" s="44"/>
      <c r="O82" s="59">
        <v>0.03</v>
      </c>
      <c r="P82" s="44" t="s">
        <v>125</v>
      </c>
      <c r="Q82" s="44">
        <v>0.21</v>
      </c>
      <c r="R82" s="71">
        <v>1741.11</v>
      </c>
    </row>
    <row r="83" spans="1:18" x14ac:dyDescent="0.25">
      <c r="A83" s="66"/>
      <c r="B83" s="105" t="s">
        <v>86</v>
      </c>
      <c r="C83" s="60">
        <v>45790</v>
      </c>
      <c r="D83" s="60">
        <v>45791</v>
      </c>
      <c r="E83" s="44">
        <v>8283</v>
      </c>
      <c r="F83" s="44" t="s">
        <v>162</v>
      </c>
      <c r="G83" s="44" t="s">
        <v>99</v>
      </c>
      <c r="H83" s="44" t="s">
        <v>100</v>
      </c>
      <c r="I83" s="44"/>
      <c r="J83" s="44"/>
      <c r="K83" s="88">
        <v>13</v>
      </c>
      <c r="L83" s="44">
        <v>46</v>
      </c>
      <c r="M83" s="44">
        <v>598</v>
      </c>
      <c r="N83" s="44"/>
      <c r="O83" s="59"/>
      <c r="P83" s="44" t="s">
        <v>81</v>
      </c>
      <c r="Q83" s="44">
        <v>598</v>
      </c>
      <c r="R83" s="71">
        <v>2339.1099999999997</v>
      </c>
    </row>
    <row r="84" spans="1:18" x14ac:dyDescent="0.25">
      <c r="A84" s="66"/>
      <c r="B84" s="105" t="s">
        <v>86</v>
      </c>
      <c r="C84" s="60">
        <v>45790</v>
      </c>
      <c r="D84" s="60">
        <v>45791</v>
      </c>
      <c r="E84" s="44">
        <v>8283</v>
      </c>
      <c r="F84" s="44" t="s">
        <v>163</v>
      </c>
      <c r="G84" s="44" t="s">
        <v>99</v>
      </c>
      <c r="H84" s="44" t="s">
        <v>100</v>
      </c>
      <c r="I84" s="44"/>
      <c r="J84" s="44"/>
      <c r="K84" s="88">
        <v>1.17E-2</v>
      </c>
      <c r="L84" s="44"/>
      <c r="M84" s="44">
        <v>0.54</v>
      </c>
      <c r="N84" s="44"/>
      <c r="O84" s="59">
        <v>0.09</v>
      </c>
      <c r="P84" s="44" t="s">
        <v>125</v>
      </c>
      <c r="Q84" s="44">
        <v>0.62</v>
      </c>
      <c r="R84" s="71">
        <v>2338.4899999999998</v>
      </c>
    </row>
    <row r="85" spans="1:18" x14ac:dyDescent="0.25">
      <c r="A85" s="66"/>
      <c r="B85" s="105" t="s">
        <v>86</v>
      </c>
      <c r="C85" s="60">
        <v>45790</v>
      </c>
      <c r="D85" s="60">
        <v>45791</v>
      </c>
      <c r="E85" s="44">
        <v>8284</v>
      </c>
      <c r="F85" s="44" t="s">
        <v>162</v>
      </c>
      <c r="G85" s="44" t="s">
        <v>101</v>
      </c>
      <c r="H85" s="44" t="s">
        <v>102</v>
      </c>
      <c r="I85" s="44"/>
      <c r="J85" s="44"/>
      <c r="K85" s="88">
        <v>195.11</v>
      </c>
      <c r="L85" s="44">
        <v>5</v>
      </c>
      <c r="M85" s="44">
        <v>975.55</v>
      </c>
      <c r="N85" s="44"/>
      <c r="O85" s="59"/>
      <c r="P85" s="44" t="s">
        <v>81</v>
      </c>
      <c r="Q85" s="44">
        <v>975.55</v>
      </c>
      <c r="R85" s="71">
        <v>3314.04</v>
      </c>
    </row>
    <row r="86" spans="1:18" x14ac:dyDescent="0.25">
      <c r="A86" s="66"/>
      <c r="B86" s="105" t="s">
        <v>86</v>
      </c>
      <c r="C86" s="60">
        <v>45790</v>
      </c>
      <c r="D86" s="60">
        <v>45791</v>
      </c>
      <c r="E86" s="44">
        <v>8284</v>
      </c>
      <c r="F86" s="44" t="s">
        <v>163</v>
      </c>
      <c r="G86" s="44" t="s">
        <v>101</v>
      </c>
      <c r="H86" s="44" t="s">
        <v>102</v>
      </c>
      <c r="I86" s="44"/>
      <c r="J86" s="44"/>
      <c r="K86" s="88">
        <v>0.17560000000000001</v>
      </c>
      <c r="L86" s="44"/>
      <c r="M86" s="44">
        <v>0.88</v>
      </c>
      <c r="N86" s="44"/>
      <c r="O86" s="59">
        <v>0.14000000000000001</v>
      </c>
      <c r="P86" s="44" t="s">
        <v>125</v>
      </c>
      <c r="Q86" s="44">
        <v>1.02</v>
      </c>
      <c r="R86" s="71">
        <v>3313.02</v>
      </c>
    </row>
    <row r="87" spans="1:18" x14ac:dyDescent="0.25">
      <c r="A87" s="66"/>
      <c r="B87" s="105" t="s">
        <v>86</v>
      </c>
      <c r="C87" s="60">
        <v>45790</v>
      </c>
      <c r="D87" s="60">
        <v>45791</v>
      </c>
      <c r="E87" s="44">
        <v>8285</v>
      </c>
      <c r="F87" s="44" t="s">
        <v>162</v>
      </c>
      <c r="G87" s="44" t="s">
        <v>155</v>
      </c>
      <c r="H87" s="44">
        <v>14</v>
      </c>
      <c r="I87" s="44"/>
      <c r="J87" s="44"/>
      <c r="K87" s="88">
        <v>67.73</v>
      </c>
      <c r="L87" s="44">
        <v>7</v>
      </c>
      <c r="M87" s="44">
        <v>474.11</v>
      </c>
      <c r="N87" s="44"/>
      <c r="O87" s="59"/>
      <c r="P87" s="44" t="s">
        <v>81</v>
      </c>
      <c r="Q87" s="44">
        <v>474.11</v>
      </c>
      <c r="R87" s="71">
        <v>3787.13</v>
      </c>
    </row>
    <row r="88" spans="1:18" x14ac:dyDescent="0.25">
      <c r="A88" s="66"/>
      <c r="B88" s="105" t="s">
        <v>86</v>
      </c>
      <c r="C88" s="60">
        <v>45790</v>
      </c>
      <c r="D88" s="60">
        <v>45791</v>
      </c>
      <c r="E88" s="44">
        <v>8285</v>
      </c>
      <c r="F88" s="44" t="s">
        <v>163</v>
      </c>
      <c r="G88" s="44" t="s">
        <v>155</v>
      </c>
      <c r="H88" s="44">
        <v>14</v>
      </c>
      <c r="I88" s="44"/>
      <c r="J88" s="44"/>
      <c r="K88" s="88">
        <v>6.0999999999999999E-2</v>
      </c>
      <c r="L88" s="44"/>
      <c r="M88" s="44">
        <v>0.43</v>
      </c>
      <c r="N88" s="44"/>
      <c r="O88" s="59">
        <v>7.0000000000000007E-2</v>
      </c>
      <c r="P88" s="44" t="s">
        <v>125</v>
      </c>
      <c r="Q88" s="44">
        <v>0.49</v>
      </c>
      <c r="R88" s="71">
        <v>3786.6400000000003</v>
      </c>
    </row>
    <row r="89" spans="1:18" x14ac:dyDescent="0.25">
      <c r="A89" s="66"/>
      <c r="B89" s="105" t="s">
        <v>86</v>
      </c>
      <c r="C89" s="60">
        <v>45790</v>
      </c>
      <c r="D89" s="60">
        <v>45791</v>
      </c>
      <c r="E89" s="44">
        <v>8285</v>
      </c>
      <c r="F89" s="44" t="s">
        <v>162</v>
      </c>
      <c r="G89" s="44" t="s">
        <v>155</v>
      </c>
      <c r="H89" s="44">
        <v>14</v>
      </c>
      <c r="I89" s="44"/>
      <c r="J89" s="44"/>
      <c r="K89" s="88">
        <v>67.69</v>
      </c>
      <c r="L89" s="44">
        <v>1</v>
      </c>
      <c r="M89" s="44">
        <v>67.69</v>
      </c>
      <c r="N89" s="44"/>
      <c r="O89" s="59"/>
      <c r="P89" s="44" t="s">
        <v>81</v>
      </c>
      <c r="Q89" s="44">
        <v>67.69</v>
      </c>
      <c r="R89" s="71">
        <v>3854.3300000000004</v>
      </c>
    </row>
    <row r="90" spans="1:18" x14ac:dyDescent="0.25">
      <c r="A90" s="66"/>
      <c r="B90" s="105" t="s">
        <v>86</v>
      </c>
      <c r="C90" s="60">
        <v>45790</v>
      </c>
      <c r="D90" s="60">
        <v>45791</v>
      </c>
      <c r="E90" s="44">
        <v>8285</v>
      </c>
      <c r="F90" s="44" t="s">
        <v>163</v>
      </c>
      <c r="G90" s="44" t="s">
        <v>155</v>
      </c>
      <c r="H90" s="44">
        <v>14</v>
      </c>
      <c r="I90" s="44"/>
      <c r="J90" s="44"/>
      <c r="K90" s="88">
        <v>6.0900000000000003E-2</v>
      </c>
      <c r="L90" s="44"/>
      <c r="M90" s="44">
        <v>0.06</v>
      </c>
      <c r="N90" s="44"/>
      <c r="O90" s="59">
        <v>0.01</v>
      </c>
      <c r="P90" s="44" t="s">
        <v>125</v>
      </c>
      <c r="Q90" s="44">
        <v>7.0000000000000007E-2</v>
      </c>
      <c r="R90" s="71">
        <v>3854.26</v>
      </c>
    </row>
    <row r="91" spans="1:18" x14ac:dyDescent="0.25">
      <c r="A91" s="66"/>
      <c r="B91" s="105" t="s">
        <v>86</v>
      </c>
      <c r="C91" s="60">
        <v>45790</v>
      </c>
      <c r="D91" s="60">
        <v>45791</v>
      </c>
      <c r="E91" s="44">
        <v>8286</v>
      </c>
      <c r="F91" s="44" t="s">
        <v>162</v>
      </c>
      <c r="G91" s="44" t="s">
        <v>103</v>
      </c>
      <c r="H91" s="44" t="s">
        <v>104</v>
      </c>
      <c r="I91" s="44"/>
      <c r="J91" s="44"/>
      <c r="K91" s="88">
        <v>165.72</v>
      </c>
      <c r="L91" s="44">
        <v>5</v>
      </c>
      <c r="M91" s="44">
        <v>828.6</v>
      </c>
      <c r="N91" s="44"/>
      <c r="O91" s="59"/>
      <c r="P91" s="44" t="s">
        <v>81</v>
      </c>
      <c r="Q91" s="44">
        <v>828.6</v>
      </c>
      <c r="R91" s="71">
        <v>4682.8600000000006</v>
      </c>
    </row>
    <row r="92" spans="1:18" x14ac:dyDescent="0.25">
      <c r="A92" s="66"/>
      <c r="B92" s="105" t="s">
        <v>86</v>
      </c>
      <c r="C92" s="60">
        <v>45790</v>
      </c>
      <c r="D92" s="60">
        <v>45791</v>
      </c>
      <c r="E92" s="44">
        <v>8286</v>
      </c>
      <c r="F92" s="44" t="s">
        <v>163</v>
      </c>
      <c r="G92" s="44" t="s">
        <v>103</v>
      </c>
      <c r="H92" s="44" t="s">
        <v>104</v>
      </c>
      <c r="I92" s="44"/>
      <c r="J92" s="44"/>
      <c r="K92" s="88">
        <v>0.14910000000000001</v>
      </c>
      <c r="L92" s="44"/>
      <c r="M92" s="44">
        <v>0.75</v>
      </c>
      <c r="N92" s="44"/>
      <c r="O92" s="59">
        <v>0.12</v>
      </c>
      <c r="P92" s="44" t="s">
        <v>125</v>
      </c>
      <c r="Q92" s="44">
        <v>0.87</v>
      </c>
      <c r="R92" s="71">
        <v>4681.9900000000007</v>
      </c>
    </row>
    <row r="93" spans="1:18" x14ac:dyDescent="0.25">
      <c r="A93" s="66"/>
      <c r="B93" s="105" t="s">
        <v>86</v>
      </c>
      <c r="C93" s="60">
        <v>45790</v>
      </c>
      <c r="D93" s="60">
        <v>45791</v>
      </c>
      <c r="E93" s="44">
        <v>8287</v>
      </c>
      <c r="F93" s="44" t="s">
        <v>162</v>
      </c>
      <c r="G93" s="44" t="s">
        <v>105</v>
      </c>
      <c r="H93" s="44" t="s">
        <v>97</v>
      </c>
      <c r="I93" s="44"/>
      <c r="J93" s="44"/>
      <c r="K93" s="88">
        <v>2.57</v>
      </c>
      <c r="L93" s="44">
        <v>54</v>
      </c>
      <c r="M93" s="44">
        <v>138.78</v>
      </c>
      <c r="N93" s="44"/>
      <c r="O93" s="59"/>
      <c r="P93" s="44" t="s">
        <v>81</v>
      </c>
      <c r="Q93" s="44">
        <v>138.78</v>
      </c>
      <c r="R93" s="71">
        <v>4820.7700000000004</v>
      </c>
    </row>
    <row r="94" spans="1:18" x14ac:dyDescent="0.25">
      <c r="A94" s="66"/>
      <c r="B94" s="105" t="s">
        <v>86</v>
      </c>
      <c r="C94" s="60">
        <v>45790</v>
      </c>
      <c r="D94" s="60">
        <v>45791</v>
      </c>
      <c r="E94" s="44">
        <v>8287</v>
      </c>
      <c r="F94" s="44" t="s">
        <v>163</v>
      </c>
      <c r="G94" s="44" t="s">
        <v>105</v>
      </c>
      <c r="H94" s="44" t="s">
        <v>97</v>
      </c>
      <c r="I94" s="44"/>
      <c r="J94" s="44"/>
      <c r="K94" s="88">
        <v>2.3E-3</v>
      </c>
      <c r="L94" s="44"/>
      <c r="M94" s="44">
        <v>0.12</v>
      </c>
      <c r="N94" s="44"/>
      <c r="O94" s="59">
        <v>0.02</v>
      </c>
      <c r="P94" s="44" t="s">
        <v>125</v>
      </c>
      <c r="Q94" s="44">
        <v>0.14000000000000001</v>
      </c>
      <c r="R94" s="71">
        <v>4820.63</v>
      </c>
    </row>
    <row r="95" spans="1:18" x14ac:dyDescent="0.25">
      <c r="A95" s="66"/>
      <c r="B95" s="105" t="s">
        <v>86</v>
      </c>
      <c r="C95" s="60">
        <v>45790</v>
      </c>
      <c r="D95" s="60">
        <v>45791</v>
      </c>
      <c r="E95" s="44">
        <v>8287</v>
      </c>
      <c r="F95" s="44" t="s">
        <v>162</v>
      </c>
      <c r="G95" s="44" t="s">
        <v>105</v>
      </c>
      <c r="H95" s="44" t="s">
        <v>97</v>
      </c>
      <c r="I95" s="44"/>
      <c r="J95" s="44"/>
      <c r="K95" s="88">
        <v>2.57</v>
      </c>
      <c r="L95" s="44">
        <v>4</v>
      </c>
      <c r="M95" s="44">
        <v>10.28</v>
      </c>
      <c r="N95" s="44"/>
      <c r="O95" s="59"/>
      <c r="P95" s="44" t="s">
        <v>81</v>
      </c>
      <c r="Q95" s="44">
        <v>10.28</v>
      </c>
      <c r="R95" s="71">
        <v>4830.91</v>
      </c>
    </row>
    <row r="96" spans="1:18" x14ac:dyDescent="0.25">
      <c r="A96" s="66"/>
      <c r="B96" s="105" t="s">
        <v>86</v>
      </c>
      <c r="C96" s="60">
        <v>45790</v>
      </c>
      <c r="D96" s="60">
        <v>45791</v>
      </c>
      <c r="E96" s="44">
        <v>8287</v>
      </c>
      <c r="F96" s="44" t="s">
        <v>163</v>
      </c>
      <c r="G96" s="44" t="s">
        <v>105</v>
      </c>
      <c r="H96" s="44" t="s">
        <v>97</v>
      </c>
      <c r="I96" s="44"/>
      <c r="J96" s="44"/>
      <c r="K96" s="88">
        <v>2.3E-3</v>
      </c>
      <c r="L96" s="44"/>
      <c r="M96" s="44">
        <v>0.01</v>
      </c>
      <c r="N96" s="44"/>
      <c r="O96" s="59">
        <v>0</v>
      </c>
      <c r="P96" s="44" t="s">
        <v>125</v>
      </c>
      <c r="Q96" s="44">
        <v>0.01</v>
      </c>
      <c r="R96" s="71">
        <v>4830.8999999999996</v>
      </c>
    </row>
    <row r="97" spans="1:18" x14ac:dyDescent="0.25">
      <c r="A97" s="66"/>
      <c r="B97" s="105" t="s">
        <v>86</v>
      </c>
      <c r="C97" s="60">
        <v>45790</v>
      </c>
      <c r="D97" s="60">
        <v>45791</v>
      </c>
      <c r="E97" s="44">
        <v>8287</v>
      </c>
      <c r="F97" s="44" t="s">
        <v>162</v>
      </c>
      <c r="G97" s="44" t="s">
        <v>105</v>
      </c>
      <c r="H97" s="44" t="s">
        <v>97</v>
      </c>
      <c r="I97" s="44"/>
      <c r="J97" s="44"/>
      <c r="K97" s="88">
        <v>2.57</v>
      </c>
      <c r="L97" s="44">
        <v>1</v>
      </c>
      <c r="M97" s="44">
        <v>2.57</v>
      </c>
      <c r="N97" s="44"/>
      <c r="O97" s="59"/>
      <c r="P97" s="44" t="s">
        <v>81</v>
      </c>
      <c r="Q97" s="44">
        <v>2.57</v>
      </c>
      <c r="R97" s="71">
        <v>4833.4699999999993</v>
      </c>
    </row>
    <row r="98" spans="1:18" x14ac:dyDescent="0.25">
      <c r="A98" s="66"/>
      <c r="B98" s="105" t="s">
        <v>86</v>
      </c>
      <c r="C98" s="60">
        <v>45790</v>
      </c>
      <c r="D98" s="60">
        <v>45791</v>
      </c>
      <c r="E98" s="44">
        <v>8287</v>
      </c>
      <c r="F98" s="44" t="s">
        <v>163</v>
      </c>
      <c r="G98" s="44" t="s">
        <v>105</v>
      </c>
      <c r="H98" s="44" t="s">
        <v>97</v>
      </c>
      <c r="I98" s="44"/>
      <c r="J98" s="44"/>
      <c r="K98" s="88">
        <v>2.3E-3</v>
      </c>
      <c r="L98" s="44"/>
      <c r="M98" s="44">
        <v>0</v>
      </c>
      <c r="N98" s="44"/>
      <c r="O98" s="59">
        <v>0</v>
      </c>
      <c r="P98" s="44" t="s">
        <v>125</v>
      </c>
      <c r="Q98" s="44">
        <v>0</v>
      </c>
      <c r="R98" s="71">
        <v>4833.4699999999993</v>
      </c>
    </row>
    <row r="99" spans="1:18" x14ac:dyDescent="0.25">
      <c r="A99" s="66"/>
      <c r="B99" s="105" t="s">
        <v>86</v>
      </c>
      <c r="C99" s="60">
        <v>45790</v>
      </c>
      <c r="D99" s="60">
        <v>45791</v>
      </c>
      <c r="E99" s="44">
        <v>8287</v>
      </c>
      <c r="F99" s="44" t="s">
        <v>162</v>
      </c>
      <c r="G99" s="44" t="s">
        <v>105</v>
      </c>
      <c r="H99" s="44" t="s">
        <v>97</v>
      </c>
      <c r="I99" s="44"/>
      <c r="J99" s="44"/>
      <c r="K99" s="88">
        <v>2.54</v>
      </c>
      <c r="L99" s="44">
        <v>100</v>
      </c>
      <c r="M99" s="44">
        <v>254</v>
      </c>
      <c r="N99" s="44"/>
      <c r="O99" s="59"/>
      <c r="P99" s="44" t="s">
        <v>81</v>
      </c>
      <c r="Q99" s="44">
        <v>254</v>
      </c>
      <c r="R99" s="71">
        <v>5087.4699999999993</v>
      </c>
    </row>
    <row r="100" spans="1:18" x14ac:dyDescent="0.25">
      <c r="A100" s="66"/>
      <c r="B100" s="105" t="s">
        <v>86</v>
      </c>
      <c r="C100" s="60">
        <v>45790</v>
      </c>
      <c r="D100" s="60">
        <v>45791</v>
      </c>
      <c r="E100" s="44">
        <v>8287</v>
      </c>
      <c r="F100" s="44" t="s">
        <v>163</v>
      </c>
      <c r="G100" s="44" t="s">
        <v>105</v>
      </c>
      <c r="H100" s="44" t="s">
        <v>97</v>
      </c>
      <c r="I100" s="44"/>
      <c r="J100" s="44"/>
      <c r="K100" s="88">
        <v>2.3E-3</v>
      </c>
      <c r="L100" s="44"/>
      <c r="M100" s="44">
        <v>0.23</v>
      </c>
      <c r="N100" s="44"/>
      <c r="O100" s="59">
        <v>0.04</v>
      </c>
      <c r="P100" s="44" t="s">
        <v>125</v>
      </c>
      <c r="Q100" s="44">
        <v>0.27</v>
      </c>
      <c r="R100" s="71">
        <v>5087.1999999999989</v>
      </c>
    </row>
    <row r="101" spans="1:18" x14ac:dyDescent="0.25">
      <c r="A101" s="79"/>
      <c r="B101" s="105" t="s">
        <v>86</v>
      </c>
      <c r="C101" s="93">
        <v>45790</v>
      </c>
      <c r="D101" s="93">
        <v>45791</v>
      </c>
      <c r="E101" s="77">
        <v>8288</v>
      </c>
      <c r="F101" s="77" t="s">
        <v>162</v>
      </c>
      <c r="G101" s="77" t="s">
        <v>106</v>
      </c>
      <c r="H101" s="77" t="s">
        <v>97</v>
      </c>
      <c r="I101" s="77"/>
      <c r="J101" s="77"/>
      <c r="K101" s="101">
        <v>103.43</v>
      </c>
      <c r="L101" s="77">
        <v>8</v>
      </c>
      <c r="M101" s="77">
        <v>827.44</v>
      </c>
      <c r="N101" s="77"/>
      <c r="O101" s="94"/>
      <c r="P101" s="77" t="s">
        <v>81</v>
      </c>
      <c r="Q101" s="77">
        <v>827.44</v>
      </c>
      <c r="R101" s="71">
        <v>5914.6399999999994</v>
      </c>
    </row>
    <row r="102" spans="1:18" x14ac:dyDescent="0.25">
      <c r="A102" s="66"/>
      <c r="B102" s="105" t="s">
        <v>86</v>
      </c>
      <c r="C102" s="60">
        <v>45790</v>
      </c>
      <c r="D102" s="60">
        <v>45791</v>
      </c>
      <c r="E102" s="44">
        <v>8288</v>
      </c>
      <c r="F102" s="44" t="s">
        <v>163</v>
      </c>
      <c r="G102" s="44" t="s">
        <v>106</v>
      </c>
      <c r="H102" s="44" t="s">
        <v>97</v>
      </c>
      <c r="I102" s="44"/>
      <c r="J102" s="44"/>
      <c r="K102" s="44">
        <v>9.3087000000000003E-2</v>
      </c>
      <c r="L102" s="44"/>
      <c r="M102" s="44">
        <v>0.74</v>
      </c>
      <c r="N102" s="44"/>
      <c r="O102" s="44">
        <v>0.12</v>
      </c>
      <c r="P102" s="44" t="s">
        <v>125</v>
      </c>
      <c r="Q102" s="44">
        <v>0.86</v>
      </c>
      <c r="R102" s="71">
        <v>5913.78</v>
      </c>
    </row>
    <row r="103" spans="1:18" x14ac:dyDescent="0.25">
      <c r="A103" s="66"/>
      <c r="B103" s="105" t="s">
        <v>86</v>
      </c>
      <c r="C103" s="60">
        <v>45790</v>
      </c>
      <c r="D103" s="60">
        <v>45791</v>
      </c>
      <c r="E103" s="44">
        <v>8289</v>
      </c>
      <c r="F103" s="44" t="s">
        <v>162</v>
      </c>
      <c r="G103" s="44" t="s">
        <v>107</v>
      </c>
      <c r="H103" s="44" t="s">
        <v>108</v>
      </c>
      <c r="I103" s="44"/>
      <c r="J103" s="44"/>
      <c r="K103" s="88">
        <v>177.22</v>
      </c>
      <c r="L103" s="44">
        <v>2</v>
      </c>
      <c r="M103" s="44">
        <v>354.44</v>
      </c>
      <c r="N103" s="44"/>
      <c r="O103" s="59"/>
      <c r="P103" s="44" t="s">
        <v>81</v>
      </c>
      <c r="Q103" s="44">
        <v>354.44</v>
      </c>
      <c r="R103" s="71">
        <v>6268.2199999999993</v>
      </c>
    </row>
    <row r="104" spans="1:18" x14ac:dyDescent="0.25">
      <c r="A104" s="66"/>
      <c r="B104" s="105" t="s">
        <v>86</v>
      </c>
      <c r="C104" s="60">
        <v>45790</v>
      </c>
      <c r="D104" s="60">
        <v>45791</v>
      </c>
      <c r="E104" s="44">
        <v>8289</v>
      </c>
      <c r="F104" s="44" t="s">
        <v>163</v>
      </c>
      <c r="G104" s="44" t="s">
        <v>107</v>
      </c>
      <c r="H104" s="44" t="s">
        <v>108</v>
      </c>
      <c r="I104" s="44"/>
      <c r="J104" s="44"/>
      <c r="K104" s="88">
        <v>0.1595</v>
      </c>
      <c r="L104" s="44"/>
      <c r="M104" s="44">
        <v>0.32</v>
      </c>
      <c r="N104" s="44"/>
      <c r="O104" s="59">
        <v>0.05</v>
      </c>
      <c r="P104" s="44" t="s">
        <v>125</v>
      </c>
      <c r="Q104" s="44">
        <v>0.37</v>
      </c>
      <c r="R104" s="71">
        <v>6267.8499999999995</v>
      </c>
    </row>
    <row r="105" spans="1:18" x14ac:dyDescent="0.25">
      <c r="A105" s="66"/>
      <c r="B105" s="105" t="s">
        <v>86</v>
      </c>
      <c r="C105" s="60">
        <v>45790</v>
      </c>
      <c r="D105" s="60">
        <v>45791</v>
      </c>
      <c r="E105" s="44">
        <v>8290</v>
      </c>
      <c r="F105" s="44" t="s">
        <v>162</v>
      </c>
      <c r="G105" s="44" t="s">
        <v>119</v>
      </c>
      <c r="H105" s="44" t="s">
        <v>94</v>
      </c>
      <c r="I105" s="44"/>
      <c r="J105" s="44"/>
      <c r="K105" s="88">
        <v>3.2</v>
      </c>
      <c r="L105" s="44">
        <v>1</v>
      </c>
      <c r="M105" s="44">
        <v>3.2</v>
      </c>
      <c r="N105" s="44"/>
      <c r="O105" s="59"/>
      <c r="P105" s="44" t="s">
        <v>81</v>
      </c>
      <c r="Q105" s="44">
        <v>3.2</v>
      </c>
      <c r="R105" s="71">
        <v>6271.0499999999993</v>
      </c>
    </row>
    <row r="106" spans="1:18" x14ac:dyDescent="0.25">
      <c r="A106" s="66"/>
      <c r="B106" s="105" t="s">
        <v>86</v>
      </c>
      <c r="C106" s="60">
        <v>45790</v>
      </c>
      <c r="D106" s="60">
        <v>45791</v>
      </c>
      <c r="E106" s="44">
        <v>8290</v>
      </c>
      <c r="F106" s="44" t="s">
        <v>163</v>
      </c>
      <c r="G106" s="44" t="s">
        <v>119</v>
      </c>
      <c r="H106" s="44" t="s">
        <v>94</v>
      </c>
      <c r="I106" s="44"/>
      <c r="J106" s="44"/>
      <c r="K106" s="88">
        <v>2.8999999999999998E-3</v>
      </c>
      <c r="L106" s="44"/>
      <c r="M106" s="44">
        <v>0</v>
      </c>
      <c r="N106" s="44"/>
      <c r="O106" s="59">
        <v>0</v>
      </c>
      <c r="P106" s="44" t="s">
        <v>125</v>
      </c>
      <c r="Q106" s="44">
        <v>0</v>
      </c>
      <c r="R106" s="71">
        <v>6271.0499999999993</v>
      </c>
    </row>
    <row r="107" spans="1:18" x14ac:dyDescent="0.25">
      <c r="A107" s="66"/>
      <c r="B107" s="105" t="s">
        <v>86</v>
      </c>
      <c r="C107" s="60">
        <v>45790</v>
      </c>
      <c r="D107" s="60">
        <v>45791</v>
      </c>
      <c r="E107" s="44">
        <v>8291</v>
      </c>
      <c r="F107" s="44" t="s">
        <v>162</v>
      </c>
      <c r="G107" s="44" t="s">
        <v>109</v>
      </c>
      <c r="H107" s="44" t="s">
        <v>100</v>
      </c>
      <c r="I107" s="44"/>
      <c r="J107" s="44"/>
      <c r="K107" s="88">
        <v>52.59</v>
      </c>
      <c r="L107" s="44">
        <v>5</v>
      </c>
      <c r="M107" s="44">
        <v>262.95</v>
      </c>
      <c r="N107" s="44"/>
      <c r="O107" s="59"/>
      <c r="P107" s="44" t="s">
        <v>81</v>
      </c>
      <c r="Q107" s="44">
        <v>262.95</v>
      </c>
      <c r="R107" s="71">
        <v>6533.9999999999991</v>
      </c>
    </row>
    <row r="108" spans="1:18" x14ac:dyDescent="0.25">
      <c r="A108" s="66"/>
      <c r="B108" s="105" t="s">
        <v>86</v>
      </c>
      <c r="C108" s="60">
        <v>45790</v>
      </c>
      <c r="D108" s="60">
        <v>45791</v>
      </c>
      <c r="E108" s="44">
        <v>8291</v>
      </c>
      <c r="F108" s="44" t="s">
        <v>163</v>
      </c>
      <c r="G108" s="44" t="s">
        <v>109</v>
      </c>
      <c r="H108" s="44" t="s">
        <v>100</v>
      </c>
      <c r="I108" s="44"/>
      <c r="J108" s="44"/>
      <c r="K108" s="88">
        <v>4.7300000000000002E-2</v>
      </c>
      <c r="L108" s="44"/>
      <c r="M108" s="44">
        <v>0.24</v>
      </c>
      <c r="N108" s="44"/>
      <c r="O108" s="59">
        <v>0.04</v>
      </c>
      <c r="P108" s="44" t="s">
        <v>125</v>
      </c>
      <c r="Q108" s="44">
        <v>0.27</v>
      </c>
      <c r="R108" s="71">
        <v>6533.7299999999987</v>
      </c>
    </row>
    <row r="109" spans="1:18" x14ac:dyDescent="0.25">
      <c r="A109" s="66"/>
      <c r="B109" s="105" t="s">
        <v>86</v>
      </c>
      <c r="C109" s="60">
        <v>45790</v>
      </c>
      <c r="D109" s="60">
        <v>45791</v>
      </c>
      <c r="E109" s="44">
        <v>8293</v>
      </c>
      <c r="F109" s="44" t="s">
        <v>162</v>
      </c>
      <c r="G109" s="44" t="s">
        <v>90</v>
      </c>
      <c r="H109" s="44" t="s">
        <v>89</v>
      </c>
      <c r="I109" s="44"/>
      <c r="J109" s="44"/>
      <c r="K109" s="88">
        <v>3.01</v>
      </c>
      <c r="L109" s="44">
        <v>195</v>
      </c>
      <c r="M109" s="44">
        <v>586.95000000000005</v>
      </c>
      <c r="N109" s="44"/>
      <c r="O109" s="59"/>
      <c r="P109" s="44" t="s">
        <v>81</v>
      </c>
      <c r="Q109" s="44">
        <v>586.95000000000005</v>
      </c>
      <c r="R109" s="71">
        <v>7120.6799999999985</v>
      </c>
    </row>
    <row r="110" spans="1:18" x14ac:dyDescent="0.25">
      <c r="A110" s="66"/>
      <c r="B110" s="105" t="s">
        <v>86</v>
      </c>
      <c r="C110" s="60">
        <v>45790</v>
      </c>
      <c r="D110" s="60">
        <v>45791</v>
      </c>
      <c r="E110" s="44">
        <v>8293</v>
      </c>
      <c r="F110" s="44" t="s">
        <v>163</v>
      </c>
      <c r="G110" s="44" t="s">
        <v>90</v>
      </c>
      <c r="H110" s="44" t="s">
        <v>89</v>
      </c>
      <c r="I110" s="44"/>
      <c r="J110" s="44"/>
      <c r="K110" s="88">
        <v>2.7000000000000001E-3</v>
      </c>
      <c r="L110" s="44"/>
      <c r="M110" s="44">
        <v>0.53</v>
      </c>
      <c r="N110" s="44"/>
      <c r="O110" s="59">
        <v>0.08</v>
      </c>
      <c r="P110" s="44" t="s">
        <v>125</v>
      </c>
      <c r="Q110" s="44">
        <v>0.61</v>
      </c>
      <c r="R110" s="71">
        <v>7120.0699999999988</v>
      </c>
    </row>
    <row r="111" spans="1:18" x14ac:dyDescent="0.25">
      <c r="A111" s="66"/>
      <c r="B111" s="105" t="s">
        <v>86</v>
      </c>
      <c r="C111" s="60">
        <v>45790</v>
      </c>
      <c r="D111" s="60">
        <v>45791</v>
      </c>
      <c r="E111" s="44">
        <v>8294</v>
      </c>
      <c r="F111" s="44" t="s">
        <v>162</v>
      </c>
      <c r="G111" s="44" t="s">
        <v>110</v>
      </c>
      <c r="H111" s="44" t="s">
        <v>94</v>
      </c>
      <c r="I111" s="44"/>
      <c r="J111" s="44"/>
      <c r="K111" s="88">
        <v>216.28</v>
      </c>
      <c r="L111" s="44">
        <v>2</v>
      </c>
      <c r="M111" s="44">
        <v>432.56</v>
      </c>
      <c r="N111" s="44"/>
      <c r="O111" s="59"/>
      <c r="P111" s="44" t="s">
        <v>81</v>
      </c>
      <c r="Q111" s="44">
        <v>432.56</v>
      </c>
      <c r="R111" s="71">
        <v>7552.6299999999992</v>
      </c>
    </row>
    <row r="112" spans="1:18" x14ac:dyDescent="0.25">
      <c r="A112" s="66"/>
      <c r="B112" s="105" t="s">
        <v>86</v>
      </c>
      <c r="C112" s="60">
        <v>45790</v>
      </c>
      <c r="D112" s="60">
        <v>45791</v>
      </c>
      <c r="E112" s="44">
        <v>8294</v>
      </c>
      <c r="F112" s="44" t="s">
        <v>163</v>
      </c>
      <c r="G112" s="44" t="s">
        <v>110</v>
      </c>
      <c r="H112" s="44" t="s">
        <v>94</v>
      </c>
      <c r="I112" s="44"/>
      <c r="J112" s="44"/>
      <c r="K112" s="88">
        <v>0.19470000000000001</v>
      </c>
      <c r="L112" s="44"/>
      <c r="M112" s="44">
        <v>0.39</v>
      </c>
      <c r="N112" s="44"/>
      <c r="O112" s="59">
        <v>0.06</v>
      </c>
      <c r="P112" s="44" t="s">
        <v>125</v>
      </c>
      <c r="Q112" s="44">
        <v>0.45</v>
      </c>
      <c r="R112" s="71">
        <v>7552.1799999999994</v>
      </c>
    </row>
    <row r="113" spans="1:18" x14ac:dyDescent="0.25">
      <c r="A113" s="66"/>
      <c r="B113" s="105" t="s">
        <v>86</v>
      </c>
      <c r="C113" s="60">
        <v>45790</v>
      </c>
      <c r="D113" s="60">
        <v>45791</v>
      </c>
      <c r="E113" s="44">
        <v>8295</v>
      </c>
      <c r="F113" s="44" t="s">
        <v>162</v>
      </c>
      <c r="G113" s="44" t="s">
        <v>63</v>
      </c>
      <c r="H113" s="44" t="s">
        <v>89</v>
      </c>
      <c r="I113" s="44"/>
      <c r="J113" s="44"/>
      <c r="K113" s="88">
        <v>145.22</v>
      </c>
      <c r="L113" s="44">
        <v>7</v>
      </c>
      <c r="M113" s="52">
        <v>1016.54</v>
      </c>
      <c r="N113" s="44"/>
      <c r="O113" s="59"/>
      <c r="P113" s="44" t="s">
        <v>81</v>
      </c>
      <c r="Q113" s="52">
        <v>1016.54</v>
      </c>
      <c r="R113" s="71">
        <v>8568.7199999999993</v>
      </c>
    </row>
    <row r="114" spans="1:18" x14ac:dyDescent="0.25">
      <c r="A114" s="66"/>
      <c r="B114" s="105" t="s">
        <v>86</v>
      </c>
      <c r="C114" s="60">
        <v>45790</v>
      </c>
      <c r="D114" s="60">
        <v>45791</v>
      </c>
      <c r="E114" s="44">
        <v>8295</v>
      </c>
      <c r="F114" s="44" t="s">
        <v>163</v>
      </c>
      <c r="G114" s="44" t="s">
        <v>63</v>
      </c>
      <c r="H114" s="44" t="s">
        <v>89</v>
      </c>
      <c r="I114" s="44"/>
      <c r="J114" s="44"/>
      <c r="K114" s="88">
        <v>0.13070000000000001</v>
      </c>
      <c r="L114" s="44"/>
      <c r="M114" s="44">
        <v>0.91</v>
      </c>
      <c r="N114" s="44"/>
      <c r="O114" s="59">
        <v>0.15</v>
      </c>
      <c r="P114" s="44" t="s">
        <v>125</v>
      </c>
      <c r="Q114" s="44">
        <v>1.06</v>
      </c>
      <c r="R114" s="71">
        <v>8567.66</v>
      </c>
    </row>
    <row r="115" spans="1:18" x14ac:dyDescent="0.25">
      <c r="A115" s="66"/>
      <c r="B115" s="105" t="s">
        <v>86</v>
      </c>
      <c r="C115" s="60">
        <v>45790</v>
      </c>
      <c r="D115" s="60">
        <v>45791</v>
      </c>
      <c r="E115" s="44">
        <v>8296</v>
      </c>
      <c r="F115" s="44" t="s">
        <v>162</v>
      </c>
      <c r="G115" s="44" t="s">
        <v>112</v>
      </c>
      <c r="H115" s="44" t="s">
        <v>100</v>
      </c>
      <c r="I115" s="44"/>
      <c r="J115" s="44"/>
      <c r="K115" s="88">
        <v>7.28</v>
      </c>
      <c r="L115" s="44">
        <v>10</v>
      </c>
      <c r="M115" s="44">
        <v>72.8</v>
      </c>
      <c r="N115" s="44"/>
      <c r="O115" s="59"/>
      <c r="P115" s="44" t="s">
        <v>81</v>
      </c>
      <c r="Q115" s="44">
        <v>72.8</v>
      </c>
      <c r="R115" s="71">
        <v>8640.4599999999991</v>
      </c>
    </row>
    <row r="116" spans="1:18" x14ac:dyDescent="0.25">
      <c r="A116" s="66"/>
      <c r="B116" s="105" t="s">
        <v>86</v>
      </c>
      <c r="C116" s="60">
        <v>45790</v>
      </c>
      <c r="D116" s="60">
        <v>45791</v>
      </c>
      <c r="E116" s="44">
        <v>8296</v>
      </c>
      <c r="F116" s="44" t="s">
        <v>163</v>
      </c>
      <c r="G116" s="44" t="s">
        <v>112</v>
      </c>
      <c r="H116" s="44" t="s">
        <v>100</v>
      </c>
      <c r="I116" s="44"/>
      <c r="J116" s="44"/>
      <c r="K116" s="88">
        <v>6.6E-3</v>
      </c>
      <c r="L116" s="44"/>
      <c r="M116" s="44">
        <v>7.0000000000000007E-2</v>
      </c>
      <c r="N116" s="44"/>
      <c r="O116" s="59">
        <v>0.01</v>
      </c>
      <c r="P116" s="44" t="s">
        <v>125</v>
      </c>
      <c r="Q116" s="44">
        <v>0.08</v>
      </c>
      <c r="R116" s="71">
        <v>8640.3799999999992</v>
      </c>
    </row>
    <row r="117" spans="1:18" x14ac:dyDescent="0.25">
      <c r="A117" s="66"/>
      <c r="B117" s="105" t="s">
        <v>86</v>
      </c>
      <c r="C117" s="60">
        <v>45790</v>
      </c>
      <c r="D117" s="60">
        <v>45791</v>
      </c>
      <c r="E117" s="44">
        <v>8297</v>
      </c>
      <c r="F117" s="44" t="s">
        <v>162</v>
      </c>
      <c r="G117" s="44" t="s">
        <v>113</v>
      </c>
      <c r="H117" s="44" t="s">
        <v>89</v>
      </c>
      <c r="I117" s="44"/>
      <c r="J117" s="44"/>
      <c r="K117" s="88">
        <v>19.71</v>
      </c>
      <c r="L117" s="44">
        <v>6</v>
      </c>
      <c r="M117" s="44">
        <v>118.26</v>
      </c>
      <c r="N117" s="44"/>
      <c r="O117" s="59"/>
      <c r="P117" s="44" t="s">
        <v>81</v>
      </c>
      <c r="Q117" s="44">
        <v>118.26</v>
      </c>
      <c r="R117" s="71">
        <v>8758.64</v>
      </c>
    </row>
    <row r="118" spans="1:18" x14ac:dyDescent="0.25">
      <c r="A118" s="66"/>
      <c r="B118" s="105" t="s">
        <v>86</v>
      </c>
      <c r="C118" s="60">
        <v>45790</v>
      </c>
      <c r="D118" s="60">
        <v>45791</v>
      </c>
      <c r="E118" s="44">
        <v>8297</v>
      </c>
      <c r="F118" s="44" t="s">
        <v>163</v>
      </c>
      <c r="G118" s="44" t="s">
        <v>113</v>
      </c>
      <c r="H118" s="44" t="s">
        <v>89</v>
      </c>
      <c r="I118" s="44"/>
      <c r="J118" s="44"/>
      <c r="K118" s="88">
        <v>1.77E-2</v>
      </c>
      <c r="L118" s="44"/>
      <c r="M118" s="44">
        <v>0.11</v>
      </c>
      <c r="N118" s="44"/>
      <c r="O118" s="59">
        <v>0.02</v>
      </c>
      <c r="P118" s="44" t="s">
        <v>125</v>
      </c>
      <c r="Q118" s="44">
        <v>0.12</v>
      </c>
      <c r="R118" s="71">
        <v>8758.5199999999986</v>
      </c>
    </row>
    <row r="119" spans="1:18" x14ac:dyDescent="0.25">
      <c r="A119" s="66"/>
      <c r="B119" s="105" t="s">
        <v>86</v>
      </c>
      <c r="C119" s="60">
        <v>45790</v>
      </c>
      <c r="D119" s="60">
        <v>45791</v>
      </c>
      <c r="E119" s="44">
        <v>8298</v>
      </c>
      <c r="F119" s="44" t="s">
        <v>162</v>
      </c>
      <c r="G119" s="44" t="s">
        <v>114</v>
      </c>
      <c r="H119" s="44" t="s">
        <v>94</v>
      </c>
      <c r="I119" s="44"/>
      <c r="J119" s="44"/>
      <c r="K119" s="88">
        <v>0.36399999999999999</v>
      </c>
      <c r="L119" s="44">
        <v>9</v>
      </c>
      <c r="M119" s="44">
        <v>3.28</v>
      </c>
      <c r="N119" s="44"/>
      <c r="O119" s="59"/>
      <c r="P119" s="44" t="s">
        <v>81</v>
      </c>
      <c r="Q119" s="44">
        <v>3.28</v>
      </c>
      <c r="R119" s="71">
        <v>8761.7999999999993</v>
      </c>
    </row>
    <row r="120" spans="1:18" x14ac:dyDescent="0.25">
      <c r="A120" s="66"/>
      <c r="B120" s="105" t="s">
        <v>86</v>
      </c>
      <c r="C120" s="60">
        <v>45790</v>
      </c>
      <c r="D120" s="60">
        <v>45791</v>
      </c>
      <c r="E120" s="44">
        <v>8298</v>
      </c>
      <c r="F120" s="44" t="s">
        <v>163</v>
      </c>
      <c r="G120" s="44" t="s">
        <v>114</v>
      </c>
      <c r="H120" s="44" t="s">
        <v>94</v>
      </c>
      <c r="I120" s="44"/>
      <c r="J120" s="44"/>
      <c r="K120" s="88">
        <v>2.9999999999999997E-4</v>
      </c>
      <c r="L120" s="44"/>
      <c r="M120" s="44">
        <v>0</v>
      </c>
      <c r="N120" s="44"/>
      <c r="O120" s="59">
        <v>0</v>
      </c>
      <c r="P120" s="44" t="s">
        <v>125</v>
      </c>
      <c r="Q120" s="44">
        <v>0</v>
      </c>
      <c r="R120" s="71">
        <v>8761.7999999999993</v>
      </c>
    </row>
    <row r="121" spans="1:18" x14ac:dyDescent="0.25">
      <c r="A121" s="66"/>
      <c r="B121" s="105" t="s">
        <v>86</v>
      </c>
      <c r="C121" s="60">
        <v>45790</v>
      </c>
      <c r="D121" s="60">
        <v>45791</v>
      </c>
      <c r="E121" s="44">
        <v>8298</v>
      </c>
      <c r="F121" s="44" t="s">
        <v>162</v>
      </c>
      <c r="G121" s="44" t="s">
        <v>114</v>
      </c>
      <c r="H121" s="44" t="s">
        <v>94</v>
      </c>
      <c r="I121" s="44"/>
      <c r="J121" s="44"/>
      <c r="K121" s="88">
        <v>0.36</v>
      </c>
      <c r="L121" s="44">
        <v>2</v>
      </c>
      <c r="M121" s="44">
        <v>0.72</v>
      </c>
      <c r="N121" s="44"/>
      <c r="O121" s="59"/>
      <c r="P121" s="44" t="s">
        <v>81</v>
      </c>
      <c r="Q121" s="44">
        <v>0.72</v>
      </c>
      <c r="R121" s="71">
        <v>8762.5199999999986</v>
      </c>
    </row>
    <row r="122" spans="1:18" x14ac:dyDescent="0.25">
      <c r="A122" s="66"/>
      <c r="B122" s="105" t="s">
        <v>86</v>
      </c>
      <c r="C122" s="60">
        <v>45790</v>
      </c>
      <c r="D122" s="60">
        <v>45791</v>
      </c>
      <c r="E122" s="44">
        <v>8298</v>
      </c>
      <c r="F122" s="44" t="s">
        <v>163</v>
      </c>
      <c r="G122" s="44" t="s">
        <v>114</v>
      </c>
      <c r="H122" s="44" t="s">
        <v>94</v>
      </c>
      <c r="I122" s="44"/>
      <c r="J122" s="44"/>
      <c r="K122" s="88">
        <v>2.9999999999999997E-4</v>
      </c>
      <c r="L122" s="44"/>
      <c r="M122" s="44">
        <v>0</v>
      </c>
      <c r="N122" s="44"/>
      <c r="O122" s="59">
        <v>0</v>
      </c>
      <c r="P122" s="44" t="s">
        <v>125</v>
      </c>
      <c r="Q122" s="44">
        <v>0</v>
      </c>
      <c r="R122" s="71">
        <v>8762.5199999999986</v>
      </c>
    </row>
    <row r="123" spans="1:18" x14ac:dyDescent="0.25">
      <c r="A123" s="66"/>
      <c r="B123" s="105" t="s">
        <v>86</v>
      </c>
      <c r="C123" s="60">
        <v>45790</v>
      </c>
      <c r="D123" s="60">
        <v>45791</v>
      </c>
      <c r="E123" s="44">
        <v>8299</v>
      </c>
      <c r="F123" s="44" t="s">
        <v>162</v>
      </c>
      <c r="G123" s="44" t="s">
        <v>115</v>
      </c>
      <c r="H123" s="44" t="s">
        <v>94</v>
      </c>
      <c r="I123" s="44"/>
      <c r="J123" s="44"/>
      <c r="K123" s="88">
        <v>53.87</v>
      </c>
      <c r="L123" s="44">
        <v>17</v>
      </c>
      <c r="M123" s="44">
        <v>915.79</v>
      </c>
      <c r="N123" s="44"/>
      <c r="O123" s="59"/>
      <c r="P123" s="44" t="s">
        <v>81</v>
      </c>
      <c r="Q123" s="44">
        <v>915.79</v>
      </c>
      <c r="R123" s="71">
        <v>9678.3099999999977</v>
      </c>
    </row>
    <row r="124" spans="1:18" x14ac:dyDescent="0.25">
      <c r="A124" s="66"/>
      <c r="B124" s="105" t="s">
        <v>86</v>
      </c>
      <c r="C124" s="60">
        <v>45790</v>
      </c>
      <c r="D124" s="60">
        <v>45791</v>
      </c>
      <c r="E124" s="44">
        <v>8299</v>
      </c>
      <c r="F124" s="44" t="s">
        <v>163</v>
      </c>
      <c r="G124" s="44" t="s">
        <v>115</v>
      </c>
      <c r="H124" s="44" t="s">
        <v>94</v>
      </c>
      <c r="I124" s="44"/>
      <c r="J124" s="44"/>
      <c r="K124" s="88">
        <v>4.8500000000000001E-2</v>
      </c>
      <c r="L124" s="44"/>
      <c r="M124" s="44">
        <v>0.82</v>
      </c>
      <c r="N124" s="44"/>
      <c r="O124" s="59">
        <v>0.13</v>
      </c>
      <c r="P124" s="44" t="s">
        <v>125</v>
      </c>
      <c r="Q124" s="44">
        <v>0.96</v>
      </c>
      <c r="R124" s="71">
        <v>9677.3499999999985</v>
      </c>
    </row>
    <row r="125" spans="1:18" x14ac:dyDescent="0.25">
      <c r="A125" s="66" t="s">
        <v>82</v>
      </c>
      <c r="B125" s="105" t="s">
        <v>85</v>
      </c>
      <c r="C125" s="60">
        <v>45790</v>
      </c>
      <c r="D125" s="60">
        <v>45791</v>
      </c>
      <c r="E125" s="44">
        <v>462175</v>
      </c>
      <c r="F125" s="44" t="s">
        <v>83</v>
      </c>
      <c r="G125" s="44" t="s">
        <v>141</v>
      </c>
      <c r="H125" s="44">
        <v>260507</v>
      </c>
      <c r="I125" s="44">
        <v>1</v>
      </c>
      <c r="J125" s="44">
        <v>349.39374204590263</v>
      </c>
      <c r="K125" s="61">
        <v>100.088105</v>
      </c>
      <c r="L125" s="44">
        <v>14876</v>
      </c>
      <c r="M125" s="52">
        <v>1488910.6508711171</v>
      </c>
      <c r="N125" s="44"/>
      <c r="O125" s="59"/>
      <c r="P125" s="44" t="s">
        <v>81</v>
      </c>
      <c r="Q125" s="52">
        <v>1488910.6508711171</v>
      </c>
      <c r="R125" s="71">
        <v>1488980.34</v>
      </c>
    </row>
    <row r="126" spans="1:18" x14ac:dyDescent="0.25">
      <c r="A126" s="66" t="s">
        <v>82</v>
      </c>
      <c r="B126" s="105" t="s">
        <v>86</v>
      </c>
      <c r="C126" s="60">
        <v>45790</v>
      </c>
      <c r="D126" s="60">
        <v>45791</v>
      </c>
      <c r="E126" s="44">
        <v>462175</v>
      </c>
      <c r="F126" s="44" t="s">
        <v>83</v>
      </c>
      <c r="G126" s="44" t="s">
        <v>141</v>
      </c>
      <c r="H126" s="44">
        <v>260507</v>
      </c>
      <c r="I126" s="44">
        <v>1</v>
      </c>
      <c r="J126" s="44">
        <v>11.743537982182801</v>
      </c>
      <c r="K126" s="61">
        <v>100.088105</v>
      </c>
      <c r="L126" s="44">
        <v>500</v>
      </c>
      <c r="M126" s="52">
        <v>50044.052529951507</v>
      </c>
      <c r="N126" s="44"/>
      <c r="O126" s="59"/>
      <c r="P126" s="44" t="s">
        <v>81</v>
      </c>
      <c r="Q126" s="52">
        <v>50044.052529951507</v>
      </c>
      <c r="R126" s="71">
        <v>59721.4</v>
      </c>
    </row>
    <row r="127" spans="1:18" x14ac:dyDescent="0.25">
      <c r="A127" s="66" t="s">
        <v>82</v>
      </c>
      <c r="B127" s="105" t="s">
        <v>121</v>
      </c>
      <c r="C127" s="60">
        <v>45790</v>
      </c>
      <c r="D127" s="60">
        <v>45791</v>
      </c>
      <c r="E127" s="44">
        <v>462175</v>
      </c>
      <c r="F127" s="44" t="s">
        <v>83</v>
      </c>
      <c r="G127" s="44" t="s">
        <v>141</v>
      </c>
      <c r="H127" s="44">
        <v>260507</v>
      </c>
      <c r="I127" s="44">
        <v>1</v>
      </c>
      <c r="J127" s="44">
        <v>174.06271997191348</v>
      </c>
      <c r="K127" s="61">
        <v>100.088105</v>
      </c>
      <c r="L127" s="44">
        <v>7411</v>
      </c>
      <c r="M127" s="52">
        <v>741752.94659894123</v>
      </c>
      <c r="N127" s="44"/>
      <c r="O127" s="59"/>
      <c r="P127" s="44" t="s">
        <v>81</v>
      </c>
      <c r="Q127" s="52">
        <v>741752.94659894123</v>
      </c>
      <c r="R127" s="71">
        <v>741752.04</v>
      </c>
    </row>
    <row r="128" spans="1:18" x14ac:dyDescent="0.25">
      <c r="A128" s="66" t="s">
        <v>82</v>
      </c>
      <c r="B128" s="105" t="s">
        <v>85</v>
      </c>
      <c r="C128" s="60">
        <v>45791</v>
      </c>
      <c r="D128" s="60">
        <v>45791</v>
      </c>
      <c r="E128" s="44">
        <v>463600</v>
      </c>
      <c r="F128" s="44" t="s">
        <v>124</v>
      </c>
      <c r="G128" s="44" t="s">
        <v>141</v>
      </c>
      <c r="H128" s="44">
        <v>260507</v>
      </c>
      <c r="I128" s="44">
        <v>1</v>
      </c>
      <c r="J128" s="44">
        <v>8.4499999999999993</v>
      </c>
      <c r="K128" s="61">
        <v>100.089569</v>
      </c>
      <c r="L128" s="44">
        <v>15143</v>
      </c>
      <c r="M128" s="52">
        <v>1515656.339937913</v>
      </c>
      <c r="N128" s="44"/>
      <c r="O128" s="59"/>
      <c r="P128" s="44" t="s">
        <v>125</v>
      </c>
      <c r="Q128" s="52">
        <v>1515656.339937913</v>
      </c>
      <c r="R128" s="71">
        <v>-26676</v>
      </c>
    </row>
    <row r="129" spans="1:18" x14ac:dyDescent="0.25">
      <c r="A129" s="66" t="s">
        <v>82</v>
      </c>
      <c r="B129" s="105" t="s">
        <v>86</v>
      </c>
      <c r="C129" s="60">
        <v>45791</v>
      </c>
      <c r="D129" s="60">
        <v>45791</v>
      </c>
      <c r="E129" s="44">
        <v>463600</v>
      </c>
      <c r="F129" s="44" t="s">
        <v>124</v>
      </c>
      <c r="G129" s="44" t="s">
        <v>141</v>
      </c>
      <c r="H129" s="44">
        <v>260507</v>
      </c>
      <c r="I129" s="44">
        <v>1</v>
      </c>
      <c r="J129" s="44">
        <v>8.4499999999999993</v>
      </c>
      <c r="K129" s="61">
        <v>100.089569</v>
      </c>
      <c r="L129" s="44">
        <v>597</v>
      </c>
      <c r="M129" s="52">
        <v>59753.472557811147</v>
      </c>
      <c r="N129" s="44"/>
      <c r="O129" s="59"/>
      <c r="P129" s="44" t="s">
        <v>125</v>
      </c>
      <c r="Q129" s="52">
        <v>59753.472557811147</v>
      </c>
      <c r="R129" s="71">
        <v>-32.06</v>
      </c>
    </row>
    <row r="130" spans="1:18" x14ac:dyDescent="0.25">
      <c r="A130" s="66" t="s">
        <v>82</v>
      </c>
      <c r="B130" s="105" t="s">
        <v>121</v>
      </c>
      <c r="C130" s="60">
        <v>45791</v>
      </c>
      <c r="D130" s="60">
        <v>45791</v>
      </c>
      <c r="E130" s="44">
        <v>463600</v>
      </c>
      <c r="F130" s="44" t="s">
        <v>124</v>
      </c>
      <c r="G130" s="44" t="s">
        <v>141</v>
      </c>
      <c r="H130" s="44">
        <v>260507</v>
      </c>
      <c r="I130" s="44">
        <v>1</v>
      </c>
      <c r="J130" s="44">
        <v>8.4499999999999993</v>
      </c>
      <c r="K130" s="61">
        <v>100.089569</v>
      </c>
      <c r="L130" s="44">
        <v>7612</v>
      </c>
      <c r="M130" s="52">
        <v>761881.79750428547</v>
      </c>
      <c r="N130" s="44"/>
      <c r="O130" s="59"/>
      <c r="P130" s="44" t="s">
        <v>125</v>
      </c>
      <c r="Q130" s="52">
        <v>761881.79750428547</v>
      </c>
      <c r="R130" s="71">
        <v>-20129.759999999998</v>
      </c>
    </row>
    <row r="131" spans="1:18" x14ac:dyDescent="0.25">
      <c r="A131" s="79" t="s">
        <v>80</v>
      </c>
      <c r="B131" s="77" t="s">
        <v>85</v>
      </c>
      <c r="C131" s="93">
        <v>45791</v>
      </c>
      <c r="D131" s="93">
        <v>45791</v>
      </c>
      <c r="E131" s="77">
        <v>853460</v>
      </c>
      <c r="F131" s="77" t="s">
        <v>150</v>
      </c>
      <c r="G131" s="77" t="s">
        <v>146</v>
      </c>
      <c r="H131" s="77" t="s">
        <v>94</v>
      </c>
      <c r="I131" s="77"/>
      <c r="J131" s="77"/>
      <c r="K131" s="101"/>
      <c r="L131" s="77"/>
      <c r="M131" s="78">
        <v>2048.61</v>
      </c>
      <c r="N131" s="77"/>
      <c r="O131" s="94"/>
      <c r="P131" s="77" t="s">
        <v>81</v>
      </c>
      <c r="Q131" s="78">
        <v>2048.61</v>
      </c>
      <c r="R131" s="96">
        <v>-24627.39</v>
      </c>
    </row>
    <row r="132" spans="1:18" x14ac:dyDescent="0.25">
      <c r="A132" s="79" t="s">
        <v>80</v>
      </c>
      <c r="B132" s="77" t="s">
        <v>121</v>
      </c>
      <c r="C132" s="93">
        <v>45791</v>
      </c>
      <c r="D132" s="93">
        <v>45791</v>
      </c>
      <c r="E132" s="77">
        <v>853460</v>
      </c>
      <c r="F132" s="77" t="s">
        <v>150</v>
      </c>
      <c r="G132" s="77" t="s">
        <v>146</v>
      </c>
      <c r="H132" s="77" t="s">
        <v>94</v>
      </c>
      <c r="I132" s="77"/>
      <c r="J132" s="77"/>
      <c r="K132" s="101"/>
      <c r="L132" s="77"/>
      <c r="M132" s="78">
        <v>2048.61</v>
      </c>
      <c r="N132" s="77"/>
      <c r="O132" s="94"/>
      <c r="P132" s="77" t="s">
        <v>81</v>
      </c>
      <c r="Q132" s="78">
        <v>2048.61</v>
      </c>
      <c r="R132" s="96">
        <v>-18081.150000000001</v>
      </c>
    </row>
    <row r="133" spans="1:18" x14ac:dyDescent="0.25">
      <c r="A133" s="66" t="s">
        <v>80</v>
      </c>
      <c r="B133" s="105" t="s">
        <v>85</v>
      </c>
      <c r="C133" s="60">
        <v>45791</v>
      </c>
      <c r="D133" s="60">
        <v>45791</v>
      </c>
      <c r="E133" s="44">
        <v>853475</v>
      </c>
      <c r="F133" s="44" t="s">
        <v>150</v>
      </c>
      <c r="G133" s="44" t="s">
        <v>151</v>
      </c>
      <c r="H133" s="44" t="s">
        <v>94</v>
      </c>
      <c r="I133" s="44"/>
      <c r="J133" s="44"/>
      <c r="K133" s="44"/>
      <c r="L133" s="44"/>
      <c r="M133" s="52">
        <v>13232.47</v>
      </c>
      <c r="N133" s="44"/>
      <c r="O133" s="44"/>
      <c r="P133" s="44" t="s">
        <v>81</v>
      </c>
      <c r="Q133" s="52">
        <v>13232.47</v>
      </c>
      <c r="R133" s="71">
        <v>-11394.92</v>
      </c>
    </row>
    <row r="134" spans="1:18" x14ac:dyDescent="0.25">
      <c r="A134" s="66" t="s">
        <v>80</v>
      </c>
      <c r="B134" s="105" t="s">
        <v>121</v>
      </c>
      <c r="C134" s="60">
        <v>45791</v>
      </c>
      <c r="D134" s="60">
        <v>45791</v>
      </c>
      <c r="E134" s="44">
        <v>853475</v>
      </c>
      <c r="F134" s="44" t="s">
        <v>150</v>
      </c>
      <c r="G134" s="44" t="s">
        <v>151</v>
      </c>
      <c r="H134" s="44" t="s">
        <v>94</v>
      </c>
      <c r="I134" s="44"/>
      <c r="J134" s="44"/>
      <c r="K134" s="44"/>
      <c r="L134" s="44"/>
      <c r="M134" s="52">
        <v>16303.4</v>
      </c>
      <c r="N134" s="44"/>
      <c r="O134" s="44"/>
      <c r="P134" s="44" t="s">
        <v>81</v>
      </c>
      <c r="Q134" s="52">
        <v>16303.4</v>
      </c>
      <c r="R134" s="71">
        <v>-1777.75</v>
      </c>
    </row>
    <row r="135" spans="1:18" x14ac:dyDescent="0.25">
      <c r="A135" s="66" t="s">
        <v>80</v>
      </c>
      <c r="B135" s="105" t="s">
        <v>85</v>
      </c>
      <c r="C135" s="60">
        <v>45791</v>
      </c>
      <c r="D135" s="60">
        <v>45791</v>
      </c>
      <c r="E135" s="44">
        <v>853477</v>
      </c>
      <c r="F135" s="44" t="s">
        <v>150</v>
      </c>
      <c r="G135" s="44" t="s">
        <v>132</v>
      </c>
      <c r="H135" s="44" t="s">
        <v>94</v>
      </c>
      <c r="I135" s="44"/>
      <c r="J135" s="44"/>
      <c r="K135" s="88"/>
      <c r="L135" s="44"/>
      <c r="M135" s="52">
        <v>11470.41</v>
      </c>
      <c r="N135" s="44"/>
      <c r="O135" s="59"/>
      <c r="P135" s="44" t="s">
        <v>81</v>
      </c>
      <c r="Q135" s="52">
        <v>11470.41</v>
      </c>
      <c r="R135" s="70">
        <v>75.47</v>
      </c>
    </row>
    <row r="136" spans="1:18" x14ac:dyDescent="0.25">
      <c r="A136" s="66" t="s">
        <v>80</v>
      </c>
      <c r="B136" s="105" t="s">
        <v>121</v>
      </c>
      <c r="C136" s="60">
        <v>45791</v>
      </c>
      <c r="D136" s="60">
        <v>45791</v>
      </c>
      <c r="E136" s="44">
        <v>853477</v>
      </c>
      <c r="F136" s="44" t="s">
        <v>150</v>
      </c>
      <c r="G136" s="44" t="s">
        <v>132</v>
      </c>
      <c r="H136" s="44" t="s">
        <v>94</v>
      </c>
      <c r="I136" s="44"/>
      <c r="J136" s="44"/>
      <c r="K136" s="88"/>
      <c r="L136" s="44"/>
      <c r="M136" s="52">
        <v>1833.4600000000009</v>
      </c>
      <c r="N136" s="44"/>
      <c r="O136" s="59"/>
      <c r="P136" s="44" t="s">
        <v>81</v>
      </c>
      <c r="Q136" s="52">
        <v>1833.4600000000009</v>
      </c>
      <c r="R136" s="70">
        <v>55.69</v>
      </c>
    </row>
    <row r="137" spans="1:18" x14ac:dyDescent="0.25">
      <c r="A137" s="66" t="s">
        <v>82</v>
      </c>
      <c r="B137" s="105" t="s">
        <v>85</v>
      </c>
      <c r="C137" s="60">
        <v>45791</v>
      </c>
      <c r="D137" s="60">
        <v>45792</v>
      </c>
      <c r="E137" s="44">
        <v>463600</v>
      </c>
      <c r="F137" s="44" t="s">
        <v>83</v>
      </c>
      <c r="G137" s="44" t="s">
        <v>141</v>
      </c>
      <c r="H137" s="44">
        <v>260507</v>
      </c>
      <c r="I137" s="44">
        <v>1</v>
      </c>
      <c r="J137" s="44">
        <v>355.75544835560152</v>
      </c>
      <c r="K137" s="61">
        <v>100.113062</v>
      </c>
      <c r="L137" s="44">
        <v>15143</v>
      </c>
      <c r="M137" s="52">
        <v>1516012.0953862579</v>
      </c>
      <c r="N137" s="44"/>
      <c r="O137" s="59"/>
      <c r="P137" s="44" t="s">
        <v>81</v>
      </c>
      <c r="Q137" s="52">
        <v>1516012.0953862579</v>
      </c>
      <c r="R137" s="71">
        <v>1516087.57</v>
      </c>
    </row>
    <row r="138" spans="1:18" x14ac:dyDescent="0.25">
      <c r="A138" s="66" t="s">
        <v>82</v>
      </c>
      <c r="B138" s="105" t="s">
        <v>86</v>
      </c>
      <c r="C138" s="60">
        <v>45791</v>
      </c>
      <c r="D138" s="60">
        <v>45792</v>
      </c>
      <c r="E138" s="44">
        <v>463600</v>
      </c>
      <c r="F138" s="44" t="s">
        <v>83</v>
      </c>
      <c r="G138" s="44" t="s">
        <v>141</v>
      </c>
      <c r="H138" s="44">
        <v>260507</v>
      </c>
      <c r="I138" s="44">
        <v>1</v>
      </c>
      <c r="J138" s="44">
        <v>14.025358427543692</v>
      </c>
      <c r="K138" s="61">
        <v>100.113062</v>
      </c>
      <c r="L138" s="44">
        <v>597</v>
      </c>
      <c r="M138" s="52">
        <v>59767.497916238266</v>
      </c>
      <c r="N138" s="44"/>
      <c r="O138" s="59"/>
      <c r="P138" s="44" t="s">
        <v>81</v>
      </c>
      <c r="Q138" s="52">
        <v>59767.497916238266</v>
      </c>
      <c r="R138" s="71">
        <v>59735.44</v>
      </c>
    </row>
    <row r="139" spans="1:18" x14ac:dyDescent="0.25">
      <c r="A139" s="66" t="s">
        <v>82</v>
      </c>
      <c r="B139" s="105" t="s">
        <v>121</v>
      </c>
      <c r="C139" s="60">
        <v>45791</v>
      </c>
      <c r="D139" s="60">
        <v>45792</v>
      </c>
      <c r="E139" s="44">
        <v>463600</v>
      </c>
      <c r="F139" s="44" t="s">
        <v>83</v>
      </c>
      <c r="G139" s="44" t="s">
        <v>141</v>
      </c>
      <c r="H139" s="44">
        <v>260507</v>
      </c>
      <c r="I139" s="44">
        <v>1</v>
      </c>
      <c r="J139" s="44">
        <v>178.82919321685523</v>
      </c>
      <c r="K139" s="61">
        <v>100.113062</v>
      </c>
      <c r="L139" s="44">
        <v>7612</v>
      </c>
      <c r="M139" s="52">
        <v>762060.62669749698</v>
      </c>
      <c r="N139" s="44"/>
      <c r="O139" s="59"/>
      <c r="P139" s="44" t="s">
        <v>81</v>
      </c>
      <c r="Q139" s="52">
        <v>762060.62669749698</v>
      </c>
      <c r="R139" s="71">
        <v>762116.32</v>
      </c>
    </row>
    <row r="140" spans="1:18" x14ac:dyDescent="0.25">
      <c r="A140" s="66" t="s">
        <v>82</v>
      </c>
      <c r="B140" s="105" t="s">
        <v>85</v>
      </c>
      <c r="C140" s="60">
        <v>45792</v>
      </c>
      <c r="D140" s="60">
        <v>45792</v>
      </c>
      <c r="E140" s="44">
        <v>464967</v>
      </c>
      <c r="F140" s="44" t="s">
        <v>124</v>
      </c>
      <c r="G140" s="44" t="s">
        <v>141</v>
      </c>
      <c r="H140" s="44">
        <v>260507</v>
      </c>
      <c r="I140" s="44">
        <v>1</v>
      </c>
      <c r="J140" s="44">
        <v>8.4499999999999993</v>
      </c>
      <c r="K140" s="61">
        <v>100.114526</v>
      </c>
      <c r="L140" s="44">
        <v>15144</v>
      </c>
      <c r="M140" s="52">
        <v>1516134.3809969162</v>
      </c>
      <c r="N140" s="44"/>
      <c r="O140" s="59"/>
      <c r="P140" s="44" t="s">
        <v>125</v>
      </c>
      <c r="Q140" s="52">
        <v>1516134.3809969162</v>
      </c>
      <c r="R140" s="70">
        <v>-46.81</v>
      </c>
    </row>
    <row r="141" spans="1:18" x14ac:dyDescent="0.25">
      <c r="A141" s="66" t="s">
        <v>82</v>
      </c>
      <c r="B141" s="105" t="s">
        <v>86</v>
      </c>
      <c r="C141" s="60">
        <v>45792</v>
      </c>
      <c r="D141" s="60">
        <v>45792</v>
      </c>
      <c r="E141" s="44">
        <v>464967</v>
      </c>
      <c r="F141" s="44" t="s">
        <v>124</v>
      </c>
      <c r="G141" s="44" t="s">
        <v>141</v>
      </c>
      <c r="H141" s="44">
        <v>260507</v>
      </c>
      <c r="I141" s="44">
        <v>1</v>
      </c>
      <c r="J141" s="44">
        <v>8.4499999999999993</v>
      </c>
      <c r="K141" s="61">
        <v>100.114526</v>
      </c>
      <c r="L141" s="44">
        <v>597</v>
      </c>
      <c r="M141" s="52">
        <v>59768.371992548797</v>
      </c>
      <c r="N141" s="44"/>
      <c r="O141" s="59"/>
      <c r="P141" s="44" t="s">
        <v>125</v>
      </c>
      <c r="Q141" s="52">
        <v>59768.371992548797</v>
      </c>
      <c r="R141" s="70">
        <v>-32.93</v>
      </c>
    </row>
    <row r="142" spans="1:18" x14ac:dyDescent="0.25">
      <c r="A142" s="66" t="s">
        <v>82</v>
      </c>
      <c r="B142" s="105" t="s">
        <v>121</v>
      </c>
      <c r="C142" s="60">
        <v>45792</v>
      </c>
      <c r="D142" s="60">
        <v>45792</v>
      </c>
      <c r="E142" s="44">
        <v>464967</v>
      </c>
      <c r="F142" s="44" t="s">
        <v>124</v>
      </c>
      <c r="G142" s="44" t="s">
        <v>141</v>
      </c>
      <c r="H142" s="44">
        <v>260507</v>
      </c>
      <c r="I142" s="44">
        <v>1</v>
      </c>
      <c r="J142" s="44">
        <v>8.4499999999999993</v>
      </c>
      <c r="K142" s="61">
        <v>100.114526</v>
      </c>
      <c r="L142" s="44">
        <v>7611</v>
      </c>
      <c r="M142" s="52">
        <v>761971.6570105342</v>
      </c>
      <c r="N142" s="44"/>
      <c r="O142" s="59"/>
      <c r="P142" s="44" t="s">
        <v>125</v>
      </c>
      <c r="Q142" s="52">
        <v>761971.6570105342</v>
      </c>
      <c r="R142" s="70">
        <v>144.66</v>
      </c>
    </row>
    <row r="143" spans="1:18" x14ac:dyDescent="0.25">
      <c r="A143" s="66" t="s">
        <v>82</v>
      </c>
      <c r="B143" s="105" t="s">
        <v>85</v>
      </c>
      <c r="C143" s="60">
        <v>45428</v>
      </c>
      <c r="D143" s="60">
        <v>45793</v>
      </c>
      <c r="E143" s="44">
        <v>105206</v>
      </c>
      <c r="F143" s="44" t="s">
        <v>153</v>
      </c>
      <c r="G143" s="44" t="s">
        <v>149</v>
      </c>
      <c r="H143" s="44">
        <v>24</v>
      </c>
      <c r="I143" s="44">
        <v>365</v>
      </c>
      <c r="J143" s="44"/>
      <c r="K143" s="61">
        <v>57.962428000000003</v>
      </c>
      <c r="L143" s="44"/>
      <c r="M143" s="52">
        <v>32034.15</v>
      </c>
      <c r="N143" s="44"/>
      <c r="O143" s="59"/>
      <c r="P143" s="44" t="s">
        <v>81</v>
      </c>
      <c r="Q143" s="52">
        <v>32034.15</v>
      </c>
      <c r="R143" s="71">
        <v>31987.34</v>
      </c>
    </row>
    <row r="144" spans="1:18" x14ac:dyDescent="0.25">
      <c r="A144" s="66" t="s">
        <v>82</v>
      </c>
      <c r="B144" s="105" t="s">
        <v>121</v>
      </c>
      <c r="C144" s="60">
        <v>45428</v>
      </c>
      <c r="D144" s="60">
        <v>45793</v>
      </c>
      <c r="E144" s="44">
        <v>105206</v>
      </c>
      <c r="F144" s="44" t="s">
        <v>153</v>
      </c>
      <c r="G144" s="44" t="s">
        <v>149</v>
      </c>
      <c r="H144" s="44">
        <v>24</v>
      </c>
      <c r="I144" s="44">
        <v>365</v>
      </c>
      <c r="J144" s="44"/>
      <c r="K144" s="61">
        <v>57.962428000000003</v>
      </c>
      <c r="L144" s="44"/>
      <c r="M144" s="52">
        <v>32034.14</v>
      </c>
      <c r="N144" s="44"/>
      <c r="O144" s="59"/>
      <c r="P144" s="44" t="s">
        <v>81</v>
      </c>
      <c r="Q144" s="52">
        <v>32034.14</v>
      </c>
      <c r="R144" s="71">
        <v>32178.79</v>
      </c>
    </row>
    <row r="145" spans="1:18" x14ac:dyDescent="0.25">
      <c r="A145" s="66" t="s">
        <v>80</v>
      </c>
      <c r="B145" s="105" t="s">
        <v>85</v>
      </c>
      <c r="C145" s="60">
        <v>45428</v>
      </c>
      <c r="D145" s="60">
        <v>45793</v>
      </c>
      <c r="E145" s="44">
        <v>105206</v>
      </c>
      <c r="F145" s="44" t="s">
        <v>154</v>
      </c>
      <c r="G145" s="44" t="s">
        <v>149</v>
      </c>
      <c r="H145" s="44">
        <v>24</v>
      </c>
      <c r="I145" s="44"/>
      <c r="J145" s="44"/>
      <c r="K145" s="61"/>
      <c r="L145" s="44"/>
      <c r="M145" s="52">
        <v>8221.31</v>
      </c>
      <c r="N145" s="44"/>
      <c r="O145" s="59"/>
      <c r="P145" s="44" t="s">
        <v>81</v>
      </c>
      <c r="Q145" s="52">
        <v>8221.31</v>
      </c>
      <c r="R145" s="71">
        <v>40208.65</v>
      </c>
    </row>
    <row r="146" spans="1:18" x14ac:dyDescent="0.25">
      <c r="A146" s="66" t="s">
        <v>80</v>
      </c>
      <c r="B146" s="105" t="s">
        <v>121</v>
      </c>
      <c r="C146" s="60">
        <v>45428</v>
      </c>
      <c r="D146" s="60">
        <v>45793</v>
      </c>
      <c r="E146" s="44">
        <v>105206</v>
      </c>
      <c r="F146" s="44" t="s">
        <v>154</v>
      </c>
      <c r="G146" s="44" t="s">
        <v>149</v>
      </c>
      <c r="H146" s="44">
        <v>24</v>
      </c>
      <c r="I146" s="44"/>
      <c r="J146" s="44"/>
      <c r="K146" s="61"/>
      <c r="L146" s="44"/>
      <c r="M146" s="52">
        <v>8221.3000000000011</v>
      </c>
      <c r="N146" s="44"/>
      <c r="O146" s="59"/>
      <c r="P146" s="44" t="s">
        <v>81</v>
      </c>
      <c r="Q146" s="52">
        <v>8221.3000000000011</v>
      </c>
      <c r="R146" s="71">
        <v>40400.089999999997</v>
      </c>
    </row>
    <row r="147" spans="1:18" x14ac:dyDescent="0.25">
      <c r="A147" s="66" t="s">
        <v>82</v>
      </c>
      <c r="B147" s="105" t="s">
        <v>85</v>
      </c>
      <c r="C147" s="60">
        <v>45428</v>
      </c>
      <c r="D147" s="60">
        <v>45793</v>
      </c>
      <c r="E147" s="44">
        <v>105207</v>
      </c>
      <c r="F147" s="44" t="s">
        <v>153</v>
      </c>
      <c r="G147" s="44" t="s">
        <v>149</v>
      </c>
      <c r="H147" s="44">
        <v>24</v>
      </c>
      <c r="I147" s="44">
        <v>365</v>
      </c>
      <c r="J147" s="44"/>
      <c r="K147" s="61">
        <v>57.962428000000003</v>
      </c>
      <c r="L147" s="44"/>
      <c r="M147" s="52">
        <v>12844.49</v>
      </c>
      <c r="N147" s="44"/>
      <c r="O147" s="59"/>
      <c r="P147" s="44" t="s">
        <v>81</v>
      </c>
      <c r="Q147" s="52">
        <v>12844.49</v>
      </c>
      <c r="R147" s="71">
        <v>53053.14</v>
      </c>
    </row>
    <row r="148" spans="1:18" x14ac:dyDescent="0.25">
      <c r="A148" s="66" t="s">
        <v>82</v>
      </c>
      <c r="B148" s="105" t="s">
        <v>121</v>
      </c>
      <c r="C148" s="60">
        <v>45428</v>
      </c>
      <c r="D148" s="60">
        <v>45793</v>
      </c>
      <c r="E148" s="44">
        <v>105207</v>
      </c>
      <c r="F148" s="44" t="s">
        <v>153</v>
      </c>
      <c r="G148" s="44" t="s">
        <v>149</v>
      </c>
      <c r="H148" s="44">
        <v>24</v>
      </c>
      <c r="I148" s="44">
        <v>365</v>
      </c>
      <c r="J148" s="44"/>
      <c r="K148" s="61">
        <v>57.962428000000003</v>
      </c>
      <c r="L148" s="44"/>
      <c r="M148" s="52">
        <v>12844.480000000001</v>
      </c>
      <c r="N148" s="44"/>
      <c r="O148" s="59"/>
      <c r="P148" s="44" t="s">
        <v>81</v>
      </c>
      <c r="Q148" s="52">
        <v>12844.480000000001</v>
      </c>
      <c r="R148" s="71">
        <v>53244.57</v>
      </c>
    </row>
    <row r="149" spans="1:18" x14ac:dyDescent="0.25">
      <c r="A149" s="66" t="s">
        <v>80</v>
      </c>
      <c r="B149" s="105" t="s">
        <v>85</v>
      </c>
      <c r="C149" s="60">
        <v>45428</v>
      </c>
      <c r="D149" s="60">
        <v>45793</v>
      </c>
      <c r="E149" s="44">
        <v>105207</v>
      </c>
      <c r="F149" s="44" t="s">
        <v>154</v>
      </c>
      <c r="G149" s="44" t="s">
        <v>149</v>
      </c>
      <c r="H149" s="44">
        <v>24</v>
      </c>
      <c r="I149" s="44"/>
      <c r="J149" s="44"/>
      <c r="K149" s="61"/>
      <c r="L149" s="44"/>
      <c r="M149" s="52">
        <v>3296.44</v>
      </c>
      <c r="N149" s="44"/>
      <c r="O149" s="59"/>
      <c r="P149" s="44" t="s">
        <v>81</v>
      </c>
      <c r="Q149" s="52">
        <v>3296.44</v>
      </c>
      <c r="R149" s="71">
        <v>56349.58</v>
      </c>
    </row>
    <row r="150" spans="1:18" x14ac:dyDescent="0.25">
      <c r="A150" s="66" t="s">
        <v>80</v>
      </c>
      <c r="B150" s="105" t="s">
        <v>121</v>
      </c>
      <c r="C150" s="60">
        <v>45428</v>
      </c>
      <c r="D150" s="60">
        <v>45793</v>
      </c>
      <c r="E150" s="44">
        <v>105207</v>
      </c>
      <c r="F150" s="44" t="s">
        <v>154</v>
      </c>
      <c r="G150" s="44" t="s">
        <v>149</v>
      </c>
      <c r="H150" s="44">
        <v>24</v>
      </c>
      <c r="I150" s="44"/>
      <c r="J150" s="44"/>
      <c r="K150" s="61"/>
      <c r="L150" s="44"/>
      <c r="M150" s="52">
        <v>3296.43</v>
      </c>
      <c r="N150" s="44"/>
      <c r="O150" s="59"/>
      <c r="P150" s="44" t="s">
        <v>81</v>
      </c>
      <c r="Q150" s="52">
        <v>3296.43</v>
      </c>
      <c r="R150" s="71">
        <v>56541</v>
      </c>
    </row>
    <row r="151" spans="1:18" x14ac:dyDescent="0.25">
      <c r="A151" s="66" t="s">
        <v>82</v>
      </c>
      <c r="B151" s="105" t="s">
        <v>85</v>
      </c>
      <c r="C151" s="60">
        <v>45792</v>
      </c>
      <c r="D151" s="60">
        <v>45793</v>
      </c>
      <c r="E151" s="44">
        <v>464967</v>
      </c>
      <c r="F151" s="44" t="s">
        <v>83</v>
      </c>
      <c r="G151" s="44" t="s">
        <v>141</v>
      </c>
      <c r="H151" s="44">
        <v>260507</v>
      </c>
      <c r="I151" s="44">
        <v>1</v>
      </c>
      <c r="J151" s="44">
        <v>355.86973278520026</v>
      </c>
      <c r="K151" s="61">
        <v>100.138025</v>
      </c>
      <c r="L151" s="44">
        <v>15144</v>
      </c>
      <c r="M151" s="52">
        <v>1516490.2507297082</v>
      </c>
      <c r="N151" s="44"/>
      <c r="O151" s="59"/>
      <c r="P151" s="44" t="s">
        <v>81</v>
      </c>
      <c r="Q151" s="52">
        <v>1516490.2507297082</v>
      </c>
      <c r="R151" s="71">
        <v>1572839.83</v>
      </c>
    </row>
    <row r="152" spans="1:18" x14ac:dyDescent="0.25">
      <c r="A152" s="66" t="s">
        <v>82</v>
      </c>
      <c r="B152" s="105" t="s">
        <v>86</v>
      </c>
      <c r="C152" s="60">
        <v>45792</v>
      </c>
      <c r="D152" s="60">
        <v>45793</v>
      </c>
      <c r="E152" s="44">
        <v>464967</v>
      </c>
      <c r="F152" s="44" t="s">
        <v>83</v>
      </c>
      <c r="G152" s="44" t="s">
        <v>141</v>
      </c>
      <c r="H152" s="44">
        <v>260507</v>
      </c>
      <c r="I152" s="44">
        <v>1</v>
      </c>
      <c r="J152" s="44">
        <v>14.028937564234321</v>
      </c>
      <c r="K152" s="61">
        <v>100.138025</v>
      </c>
      <c r="L152" s="44">
        <v>597</v>
      </c>
      <c r="M152" s="52">
        <v>59782.400930113305</v>
      </c>
      <c r="N152" s="44"/>
      <c r="O152" s="59"/>
      <c r="P152" s="44" t="s">
        <v>81</v>
      </c>
      <c r="Q152" s="52">
        <v>59782.400930113305</v>
      </c>
      <c r="R152" s="71">
        <v>59749.47</v>
      </c>
    </row>
    <row r="153" spans="1:18" x14ac:dyDescent="0.25">
      <c r="A153" s="66" t="s">
        <v>82</v>
      </c>
      <c r="B153" s="105" t="s">
        <v>121</v>
      </c>
      <c r="C153" s="60">
        <v>45792</v>
      </c>
      <c r="D153" s="60">
        <v>45793</v>
      </c>
      <c r="E153" s="44">
        <v>464967</v>
      </c>
      <c r="F153" s="44" t="s">
        <v>83</v>
      </c>
      <c r="G153" s="44" t="s">
        <v>141</v>
      </c>
      <c r="H153" s="44">
        <v>260507</v>
      </c>
      <c r="I153" s="44">
        <v>1</v>
      </c>
      <c r="J153" s="44">
        <v>178.85132965056516</v>
      </c>
      <c r="K153" s="61">
        <v>100.138025</v>
      </c>
      <c r="L153" s="44">
        <v>7611</v>
      </c>
      <c r="M153" s="52">
        <v>762150.50834018819</v>
      </c>
      <c r="N153" s="44"/>
      <c r="O153" s="59"/>
      <c r="P153" s="44" t="s">
        <v>81</v>
      </c>
      <c r="Q153" s="52">
        <v>762150.50834018819</v>
      </c>
      <c r="R153" s="71">
        <v>818691.51</v>
      </c>
    </row>
    <row r="154" spans="1:18" x14ac:dyDescent="0.25">
      <c r="A154" s="66" t="s">
        <v>82</v>
      </c>
      <c r="B154" s="105" t="s">
        <v>85</v>
      </c>
      <c r="C154" s="60">
        <v>45793</v>
      </c>
      <c r="D154" s="60">
        <v>45793</v>
      </c>
      <c r="E154" s="44">
        <v>467083</v>
      </c>
      <c r="F154" s="44" t="s">
        <v>124</v>
      </c>
      <c r="G154" s="44" t="s">
        <v>141</v>
      </c>
      <c r="H154" s="44">
        <v>280511</v>
      </c>
      <c r="I154" s="44">
        <v>3</v>
      </c>
      <c r="J154" s="44">
        <v>7.75</v>
      </c>
      <c r="K154" s="61">
        <v>99.948435000000003</v>
      </c>
      <c r="L154" s="44">
        <v>15737</v>
      </c>
      <c r="M154" s="52">
        <v>1572888.5162209987</v>
      </c>
      <c r="N154" s="44"/>
      <c r="O154" s="59"/>
      <c r="P154" s="44" t="s">
        <v>125</v>
      </c>
      <c r="Q154" s="52">
        <v>1572888.5162209987</v>
      </c>
      <c r="R154" s="70">
        <v>-48.69</v>
      </c>
    </row>
    <row r="155" spans="1:18" x14ac:dyDescent="0.25">
      <c r="A155" s="66" t="s">
        <v>82</v>
      </c>
      <c r="B155" s="105" t="s">
        <v>86</v>
      </c>
      <c r="C155" s="60">
        <v>45793</v>
      </c>
      <c r="D155" s="60">
        <v>45793</v>
      </c>
      <c r="E155" s="44">
        <v>467083</v>
      </c>
      <c r="F155" s="44" t="s">
        <v>124</v>
      </c>
      <c r="G155" s="44" t="s">
        <v>141</v>
      </c>
      <c r="H155" s="44">
        <v>280511</v>
      </c>
      <c r="I155" s="44">
        <v>3</v>
      </c>
      <c r="J155" s="44">
        <v>7.75</v>
      </c>
      <c r="K155" s="61">
        <v>99.948435000000003</v>
      </c>
      <c r="L155" s="44">
        <v>598</v>
      </c>
      <c r="M155" s="52">
        <v>59769.163925789988</v>
      </c>
      <c r="N155" s="44"/>
      <c r="O155" s="59"/>
      <c r="P155" s="44" t="s">
        <v>125</v>
      </c>
      <c r="Q155" s="52">
        <v>59769.163925789988</v>
      </c>
      <c r="R155" s="70">
        <v>-19.690000000000001</v>
      </c>
    </row>
    <row r="156" spans="1:18" x14ac:dyDescent="0.25">
      <c r="A156" s="66" t="s">
        <v>82</v>
      </c>
      <c r="B156" s="105" t="s">
        <v>121</v>
      </c>
      <c r="C156" s="60">
        <v>45793</v>
      </c>
      <c r="D156" s="60">
        <v>45793</v>
      </c>
      <c r="E156" s="44">
        <v>467083</v>
      </c>
      <c r="F156" s="44" t="s">
        <v>124</v>
      </c>
      <c r="G156" s="44" t="s">
        <v>141</v>
      </c>
      <c r="H156" s="44">
        <v>280511</v>
      </c>
      <c r="I156" s="44">
        <v>3</v>
      </c>
      <c r="J156" s="44">
        <v>7.75</v>
      </c>
      <c r="K156" s="61">
        <v>99.948435000000003</v>
      </c>
      <c r="L156" s="44">
        <v>8190</v>
      </c>
      <c r="M156" s="52">
        <v>818577.67985321081</v>
      </c>
      <c r="N156" s="44"/>
      <c r="O156" s="59"/>
      <c r="P156" s="44" t="s">
        <v>125</v>
      </c>
      <c r="Q156" s="52">
        <v>818577.67985321081</v>
      </c>
      <c r="R156" s="70">
        <v>113.83</v>
      </c>
    </row>
    <row r="157" spans="1:18" x14ac:dyDescent="0.25">
      <c r="A157" s="66" t="s">
        <v>82</v>
      </c>
      <c r="B157" s="105" t="s">
        <v>85</v>
      </c>
      <c r="C157" s="60">
        <v>45793</v>
      </c>
      <c r="D157" s="60">
        <v>45796</v>
      </c>
      <c r="E157" s="44">
        <v>467083</v>
      </c>
      <c r="F157" s="44" t="s">
        <v>83</v>
      </c>
      <c r="G157" s="44" t="s">
        <v>141</v>
      </c>
      <c r="H157" s="44">
        <v>280511</v>
      </c>
      <c r="I157" s="44">
        <v>3</v>
      </c>
      <c r="J157" s="52">
        <v>1015.8177353720685</v>
      </c>
      <c r="K157" s="61">
        <v>100.012984</v>
      </c>
      <c r="L157" s="44">
        <v>15737</v>
      </c>
      <c r="M157" s="52">
        <v>1573904.3339563722</v>
      </c>
      <c r="N157" s="44"/>
      <c r="O157" s="59"/>
      <c r="P157" s="44" t="s">
        <v>81</v>
      </c>
      <c r="Q157" s="52">
        <v>1573904.3339563722</v>
      </c>
      <c r="R157" s="71">
        <v>1573855.64</v>
      </c>
    </row>
    <row r="158" spans="1:18" x14ac:dyDescent="0.25">
      <c r="A158" s="66" t="s">
        <v>82</v>
      </c>
      <c r="B158" s="105" t="s">
        <v>86</v>
      </c>
      <c r="C158" s="60">
        <v>45793</v>
      </c>
      <c r="D158" s="60">
        <v>45796</v>
      </c>
      <c r="E158" s="44">
        <v>467083</v>
      </c>
      <c r="F158" s="44" t="s">
        <v>83</v>
      </c>
      <c r="G158" s="44" t="s">
        <v>141</v>
      </c>
      <c r="H158" s="44">
        <v>280511</v>
      </c>
      <c r="I158" s="44">
        <v>3</v>
      </c>
      <c r="J158" s="52">
        <v>38.600686646279279</v>
      </c>
      <c r="K158" s="61">
        <v>100.012984</v>
      </c>
      <c r="L158" s="44">
        <v>598</v>
      </c>
      <c r="M158" s="52">
        <v>59807.764612436338</v>
      </c>
      <c r="N158" s="44"/>
      <c r="O158" s="59"/>
      <c r="P158" s="44" t="s">
        <v>81</v>
      </c>
      <c r="Q158" s="52">
        <v>59807.764612436338</v>
      </c>
      <c r="R158" s="71">
        <v>59788.07</v>
      </c>
    </row>
    <row r="159" spans="1:18" x14ac:dyDescent="0.25">
      <c r="A159" s="66" t="s">
        <v>82</v>
      </c>
      <c r="B159" s="105" t="s">
        <v>121</v>
      </c>
      <c r="C159" s="60">
        <v>45793</v>
      </c>
      <c r="D159" s="60">
        <v>45796</v>
      </c>
      <c r="E159" s="44">
        <v>467083</v>
      </c>
      <c r="F159" s="44" t="s">
        <v>83</v>
      </c>
      <c r="G159" s="44" t="s">
        <v>141</v>
      </c>
      <c r="H159" s="44">
        <v>280511</v>
      </c>
      <c r="I159" s="44">
        <v>3</v>
      </c>
      <c r="J159" s="52">
        <v>528.66157798165091</v>
      </c>
      <c r="K159" s="61">
        <v>100.012984</v>
      </c>
      <c r="L159" s="44">
        <v>8190</v>
      </c>
      <c r="M159" s="52">
        <v>819106.34143119317</v>
      </c>
      <c r="N159" s="44"/>
      <c r="O159" s="59"/>
      <c r="P159" s="44" t="s">
        <v>81</v>
      </c>
      <c r="Q159" s="52">
        <v>819106.34143119317</v>
      </c>
      <c r="R159" s="71">
        <v>819220.17</v>
      </c>
    </row>
    <row r="160" spans="1:18" x14ac:dyDescent="0.25">
      <c r="A160" s="66" t="s">
        <v>82</v>
      </c>
      <c r="B160" s="105" t="s">
        <v>85</v>
      </c>
      <c r="C160" s="60">
        <v>45796</v>
      </c>
      <c r="D160" s="60">
        <v>45796</v>
      </c>
      <c r="E160" s="44">
        <v>467679</v>
      </c>
      <c r="F160" s="44" t="s">
        <v>124</v>
      </c>
      <c r="G160" s="44" t="s">
        <v>141</v>
      </c>
      <c r="H160" s="44">
        <v>260507</v>
      </c>
      <c r="I160" s="44">
        <v>1</v>
      </c>
      <c r="J160" s="44">
        <v>7.95</v>
      </c>
      <c r="K160" s="61">
        <v>100.21659200000001</v>
      </c>
      <c r="L160" s="44">
        <v>15735</v>
      </c>
      <c r="M160" s="52">
        <v>1576908.0700513474</v>
      </c>
      <c r="N160" s="44"/>
      <c r="O160" s="59"/>
      <c r="P160" s="44" t="s">
        <v>125</v>
      </c>
      <c r="Q160" s="52">
        <v>1576908.0700513474</v>
      </c>
      <c r="R160" s="71">
        <v>-3052.43</v>
      </c>
    </row>
    <row r="161" spans="1:18" x14ac:dyDescent="0.25">
      <c r="A161" s="66" t="s">
        <v>82</v>
      </c>
      <c r="B161" s="105" t="s">
        <v>86</v>
      </c>
      <c r="C161" s="60">
        <v>45796</v>
      </c>
      <c r="D161" s="60">
        <v>45796</v>
      </c>
      <c r="E161" s="44">
        <v>467679</v>
      </c>
      <c r="F161" s="44" t="s">
        <v>124</v>
      </c>
      <c r="G161" s="44" t="s">
        <v>141</v>
      </c>
      <c r="H161" s="44">
        <v>260507</v>
      </c>
      <c r="I161" s="44">
        <v>1</v>
      </c>
      <c r="J161" s="44">
        <v>7.95</v>
      </c>
      <c r="K161" s="61">
        <v>100.21659200000001</v>
      </c>
      <c r="L161" s="44">
        <v>597</v>
      </c>
      <c r="M161" s="52">
        <v>59829.305231690778</v>
      </c>
      <c r="N161" s="44"/>
      <c r="O161" s="59"/>
      <c r="P161" s="44" t="s">
        <v>125</v>
      </c>
      <c r="Q161" s="52">
        <v>59829.305231690778</v>
      </c>
      <c r="R161" s="71">
        <v>-41.25</v>
      </c>
    </row>
    <row r="162" spans="1:18" x14ac:dyDescent="0.25">
      <c r="A162" s="66" t="s">
        <v>82</v>
      </c>
      <c r="B162" s="105" t="s">
        <v>121</v>
      </c>
      <c r="C162" s="60">
        <v>45796</v>
      </c>
      <c r="D162" s="60">
        <v>45796</v>
      </c>
      <c r="E162" s="44">
        <v>467679</v>
      </c>
      <c r="F162" s="44" t="s">
        <v>124</v>
      </c>
      <c r="G162" s="44" t="s">
        <v>141</v>
      </c>
      <c r="H162" s="44">
        <v>260507</v>
      </c>
      <c r="I162" s="44">
        <v>1</v>
      </c>
      <c r="J162" s="44">
        <v>7.95</v>
      </c>
      <c r="K162" s="61">
        <v>100.21659200000001</v>
      </c>
      <c r="L162" s="44">
        <v>8205</v>
      </c>
      <c r="M162" s="52">
        <v>822277.13471695618</v>
      </c>
      <c r="N162" s="44"/>
      <c r="O162" s="59"/>
      <c r="P162" s="44" t="s">
        <v>125</v>
      </c>
      <c r="Q162" s="52">
        <v>822277.13471695618</v>
      </c>
      <c r="R162" s="71">
        <v>-3056.96</v>
      </c>
    </row>
    <row r="163" spans="1:18" x14ac:dyDescent="0.25">
      <c r="A163" s="66" t="s">
        <v>80</v>
      </c>
      <c r="B163" s="105" t="s">
        <v>85</v>
      </c>
      <c r="C163" s="60">
        <v>45796</v>
      </c>
      <c r="D163" s="60">
        <v>45796</v>
      </c>
      <c r="E163" s="44">
        <v>853532</v>
      </c>
      <c r="F163" s="44" t="s">
        <v>160</v>
      </c>
      <c r="G163" s="44" t="s">
        <v>147</v>
      </c>
      <c r="H163" s="44">
        <v>12</v>
      </c>
      <c r="I163" s="44"/>
      <c r="J163" s="44"/>
      <c r="K163" s="88"/>
      <c r="L163" s="44"/>
      <c r="M163" s="52">
        <v>3105</v>
      </c>
      <c r="N163" s="44"/>
      <c r="O163" s="59"/>
      <c r="P163" s="44" t="s">
        <v>81</v>
      </c>
      <c r="Q163" s="52">
        <v>3105</v>
      </c>
      <c r="R163" s="70">
        <v>52.58</v>
      </c>
    </row>
    <row r="164" spans="1:18" x14ac:dyDescent="0.25">
      <c r="A164" s="66" t="s">
        <v>80</v>
      </c>
      <c r="B164" s="105" t="s">
        <v>121</v>
      </c>
      <c r="C164" s="60">
        <v>45796</v>
      </c>
      <c r="D164" s="60">
        <v>45796</v>
      </c>
      <c r="E164" s="44">
        <v>853532</v>
      </c>
      <c r="F164" s="44" t="s">
        <v>160</v>
      </c>
      <c r="G164" s="44" t="s">
        <v>147</v>
      </c>
      <c r="H164" s="44">
        <v>12</v>
      </c>
      <c r="I164" s="44"/>
      <c r="J164" s="44"/>
      <c r="K164" s="88"/>
      <c r="L164" s="44"/>
      <c r="M164" s="52">
        <v>3105</v>
      </c>
      <c r="N164" s="44"/>
      <c r="O164" s="59"/>
      <c r="P164" s="44" t="s">
        <v>81</v>
      </c>
      <c r="Q164" s="52">
        <v>3105</v>
      </c>
      <c r="R164" s="70">
        <v>48.05</v>
      </c>
    </row>
    <row r="165" spans="1:18" x14ac:dyDescent="0.25">
      <c r="A165" s="66" t="s">
        <v>82</v>
      </c>
      <c r="B165" s="105" t="s">
        <v>85</v>
      </c>
      <c r="C165" s="60">
        <v>45796</v>
      </c>
      <c r="D165" s="60">
        <v>45797</v>
      </c>
      <c r="E165" s="44">
        <v>467679</v>
      </c>
      <c r="F165" s="44" t="s">
        <v>83</v>
      </c>
      <c r="G165" s="44" t="s">
        <v>141</v>
      </c>
      <c r="H165" s="44">
        <v>260507</v>
      </c>
      <c r="I165" s="44">
        <v>1</v>
      </c>
      <c r="J165" s="44">
        <v>348.23234502995541</v>
      </c>
      <c r="K165" s="61">
        <v>100.23872299999999</v>
      </c>
      <c r="L165" s="44">
        <v>15735</v>
      </c>
      <c r="M165" s="52">
        <v>1577256.3023963829</v>
      </c>
      <c r="N165" s="44"/>
      <c r="O165" s="59"/>
      <c r="P165" s="44" t="s">
        <v>81</v>
      </c>
      <c r="Q165" s="52">
        <v>1577256.3023963829</v>
      </c>
      <c r="R165" s="71">
        <v>1577308.88</v>
      </c>
    </row>
    <row r="166" spans="1:18" x14ac:dyDescent="0.25">
      <c r="A166" s="66" t="s">
        <v>82</v>
      </c>
      <c r="B166" s="105" t="s">
        <v>86</v>
      </c>
      <c r="C166" s="60">
        <v>45796</v>
      </c>
      <c r="D166" s="60">
        <v>45797</v>
      </c>
      <c r="E166" s="44">
        <v>467679</v>
      </c>
      <c r="F166" s="44" t="s">
        <v>83</v>
      </c>
      <c r="G166" s="44" t="s">
        <v>141</v>
      </c>
      <c r="H166" s="44">
        <v>260507</v>
      </c>
      <c r="I166" s="44">
        <v>1</v>
      </c>
      <c r="J166" s="44">
        <v>13.212247218486393</v>
      </c>
      <c r="K166" s="61">
        <v>100.23872299999999</v>
      </c>
      <c r="L166" s="44">
        <v>597</v>
      </c>
      <c r="M166" s="52">
        <v>59842.517478909474</v>
      </c>
      <c r="N166" s="44"/>
      <c r="O166" s="59"/>
      <c r="P166" s="44" t="s">
        <v>81</v>
      </c>
      <c r="Q166" s="52">
        <v>59842.517478909474</v>
      </c>
      <c r="R166" s="71">
        <v>59801.27</v>
      </c>
    </row>
    <row r="167" spans="1:18" x14ac:dyDescent="0.25">
      <c r="A167" s="66" t="s">
        <v>82</v>
      </c>
      <c r="B167" s="105" t="s">
        <v>121</v>
      </c>
      <c r="C167" s="60">
        <v>45796</v>
      </c>
      <c r="D167" s="60">
        <v>45797</v>
      </c>
      <c r="E167" s="44">
        <v>467679</v>
      </c>
      <c r="F167" s="44" t="s">
        <v>83</v>
      </c>
      <c r="G167" s="44" t="s">
        <v>141</v>
      </c>
      <c r="H167" s="44">
        <v>260507</v>
      </c>
      <c r="I167" s="44">
        <v>1</v>
      </c>
      <c r="J167" s="44">
        <v>181.58540775155922</v>
      </c>
      <c r="K167" s="61">
        <v>100.23872299999999</v>
      </c>
      <c r="L167" s="44">
        <v>8205</v>
      </c>
      <c r="M167" s="52">
        <v>822458.7201247107</v>
      </c>
      <c r="N167" s="44"/>
      <c r="O167" s="59"/>
      <c r="P167" s="44" t="s">
        <v>81</v>
      </c>
      <c r="Q167" s="52">
        <v>822458.7201247107</v>
      </c>
      <c r="R167" s="71">
        <v>822506.77</v>
      </c>
    </row>
    <row r="168" spans="1:18" x14ac:dyDescent="0.25">
      <c r="A168" s="66" t="s">
        <v>82</v>
      </c>
      <c r="B168" s="105" t="s">
        <v>85</v>
      </c>
      <c r="C168" s="60">
        <v>45797</v>
      </c>
      <c r="D168" s="60">
        <v>45797</v>
      </c>
      <c r="E168" s="44">
        <v>469043</v>
      </c>
      <c r="F168" s="44" t="s">
        <v>124</v>
      </c>
      <c r="G168" s="44" t="s">
        <v>141</v>
      </c>
      <c r="H168" s="44">
        <v>280511</v>
      </c>
      <c r="I168" s="44">
        <v>1</v>
      </c>
      <c r="J168" s="44">
        <v>7.95</v>
      </c>
      <c r="K168" s="61">
        <v>100.161768</v>
      </c>
      <c r="L168" s="44">
        <v>15748</v>
      </c>
      <c r="M168" s="52">
        <v>1577347.5192523212</v>
      </c>
      <c r="N168" s="44"/>
      <c r="O168" s="59"/>
      <c r="P168" s="44" t="s">
        <v>125</v>
      </c>
      <c r="Q168" s="52">
        <v>1577347.5192523212</v>
      </c>
      <c r="R168" s="70">
        <v>-38.64</v>
      </c>
    </row>
    <row r="169" spans="1:18" x14ac:dyDescent="0.25">
      <c r="A169" s="66" t="s">
        <v>82</v>
      </c>
      <c r="B169" s="105" t="s">
        <v>86</v>
      </c>
      <c r="C169" s="60">
        <v>45797</v>
      </c>
      <c r="D169" s="60">
        <v>45797</v>
      </c>
      <c r="E169" s="44">
        <v>469043</v>
      </c>
      <c r="F169" s="44" t="s">
        <v>124</v>
      </c>
      <c r="G169" s="44" t="s">
        <v>141</v>
      </c>
      <c r="H169" s="44">
        <v>280511</v>
      </c>
      <c r="I169" s="44">
        <v>1</v>
      </c>
      <c r="J169" s="44">
        <v>7.95</v>
      </c>
      <c r="K169" s="61">
        <v>100.161768</v>
      </c>
      <c r="L169" s="44">
        <v>597</v>
      </c>
      <c r="M169" s="52">
        <v>59796.575374246626</v>
      </c>
      <c r="N169" s="44"/>
      <c r="O169" s="59"/>
      <c r="P169" s="44" t="s">
        <v>125</v>
      </c>
      <c r="Q169" s="52">
        <v>59796.575374246626</v>
      </c>
      <c r="R169" s="70">
        <v>4.6900000000000004</v>
      </c>
    </row>
    <row r="170" spans="1:18" x14ac:dyDescent="0.25">
      <c r="A170" s="66" t="s">
        <v>82</v>
      </c>
      <c r="B170" s="105" t="s">
        <v>121</v>
      </c>
      <c r="C170" s="60">
        <v>45797</v>
      </c>
      <c r="D170" s="60">
        <v>45797</v>
      </c>
      <c r="E170" s="44">
        <v>469043</v>
      </c>
      <c r="F170" s="44" t="s">
        <v>124</v>
      </c>
      <c r="G170" s="44" t="s">
        <v>141</v>
      </c>
      <c r="H170" s="44">
        <v>280511</v>
      </c>
      <c r="I170" s="44">
        <v>1</v>
      </c>
      <c r="J170" s="44">
        <v>7.95</v>
      </c>
      <c r="K170" s="61">
        <v>100.161768</v>
      </c>
      <c r="L170" s="44">
        <v>8211</v>
      </c>
      <c r="M170" s="52">
        <v>822428.2753734322</v>
      </c>
      <c r="N170" s="44"/>
      <c r="O170" s="59"/>
      <c r="P170" s="44" t="s">
        <v>125</v>
      </c>
      <c r="Q170" s="52">
        <v>822428.2753734322</v>
      </c>
      <c r="R170" s="70">
        <v>78.489999999999995</v>
      </c>
    </row>
    <row r="171" spans="1:18" x14ac:dyDescent="0.25">
      <c r="A171" s="66" t="s">
        <v>82</v>
      </c>
      <c r="B171" s="105" t="s">
        <v>85</v>
      </c>
      <c r="C171" s="60">
        <v>45797</v>
      </c>
      <c r="D171" s="60">
        <v>45798</v>
      </c>
      <c r="E171" s="44">
        <v>469043</v>
      </c>
      <c r="F171" s="44" t="s">
        <v>83</v>
      </c>
      <c r="G171" s="44" t="s">
        <v>141</v>
      </c>
      <c r="H171" s="44">
        <v>280511</v>
      </c>
      <c r="I171" s="44">
        <v>1</v>
      </c>
      <c r="J171" s="44">
        <v>348.32734158657706</v>
      </c>
      <c r="K171" s="61">
        <v>100.183887</v>
      </c>
      <c r="L171" s="44">
        <v>15748</v>
      </c>
      <c r="M171" s="52">
        <v>1577695.8465939015</v>
      </c>
      <c r="N171" s="44"/>
      <c r="O171" s="59"/>
      <c r="P171" s="44" t="s">
        <v>81</v>
      </c>
      <c r="Q171" s="52">
        <v>1577695.8465939015</v>
      </c>
      <c r="R171" s="71">
        <v>1577657.21</v>
      </c>
    </row>
    <row r="172" spans="1:18" x14ac:dyDescent="0.25">
      <c r="A172" s="66" t="s">
        <v>82</v>
      </c>
      <c r="B172" s="105" t="s">
        <v>86</v>
      </c>
      <c r="C172" s="60">
        <v>45797</v>
      </c>
      <c r="D172" s="60">
        <v>45798</v>
      </c>
      <c r="E172" s="44">
        <v>469043</v>
      </c>
      <c r="F172" s="44" t="s">
        <v>83</v>
      </c>
      <c r="G172" s="44" t="s">
        <v>141</v>
      </c>
      <c r="H172" s="44">
        <v>280511</v>
      </c>
      <c r="I172" s="44">
        <v>1</v>
      </c>
      <c r="J172" s="44">
        <v>13.204941765759875</v>
      </c>
      <c r="K172" s="61">
        <v>100.183887</v>
      </c>
      <c r="L172" s="44">
        <v>597</v>
      </c>
      <c r="M172" s="52">
        <v>59809.780316012148</v>
      </c>
      <c r="N172" s="44"/>
      <c r="O172" s="59"/>
      <c r="P172" s="44" t="s">
        <v>81</v>
      </c>
      <c r="Q172" s="52">
        <v>59809.780316012148</v>
      </c>
      <c r="R172" s="71">
        <v>59814.47</v>
      </c>
    </row>
    <row r="173" spans="1:18" x14ac:dyDescent="0.25">
      <c r="A173" s="66" t="s">
        <v>82</v>
      </c>
      <c r="B173" s="105" t="s">
        <v>121</v>
      </c>
      <c r="C173" s="60">
        <v>45797</v>
      </c>
      <c r="D173" s="60">
        <v>45798</v>
      </c>
      <c r="E173" s="44">
        <v>469043</v>
      </c>
      <c r="F173" s="44" t="s">
        <v>83</v>
      </c>
      <c r="G173" s="44" t="s">
        <v>141</v>
      </c>
      <c r="H173" s="44">
        <v>280511</v>
      </c>
      <c r="I173" s="44">
        <v>1</v>
      </c>
      <c r="J173" s="44">
        <v>181.61771664766218</v>
      </c>
      <c r="K173" s="61">
        <v>100.183887</v>
      </c>
      <c r="L173" s="44">
        <v>8211</v>
      </c>
      <c r="M173" s="52">
        <v>822609.89309007651</v>
      </c>
      <c r="N173" s="44"/>
      <c r="O173" s="59"/>
      <c r="P173" s="44" t="s">
        <v>81</v>
      </c>
      <c r="Q173" s="52">
        <v>822609.89309007651</v>
      </c>
      <c r="R173" s="71">
        <v>822688.38</v>
      </c>
    </row>
    <row r="174" spans="1:18" x14ac:dyDescent="0.25">
      <c r="A174" s="66" t="s">
        <v>82</v>
      </c>
      <c r="B174" s="105" t="s">
        <v>85</v>
      </c>
      <c r="C174" s="60">
        <v>45798</v>
      </c>
      <c r="D174" s="60">
        <v>45798</v>
      </c>
      <c r="E174" s="44">
        <v>470353</v>
      </c>
      <c r="F174" s="44" t="s">
        <v>124</v>
      </c>
      <c r="G174" s="44" t="s">
        <v>141</v>
      </c>
      <c r="H174" s="44">
        <v>280907</v>
      </c>
      <c r="I174" s="44">
        <v>1</v>
      </c>
      <c r="J174" s="44">
        <v>7.95</v>
      </c>
      <c r="K174" s="61">
        <v>101.697794</v>
      </c>
      <c r="L174" s="44">
        <v>15513</v>
      </c>
      <c r="M174" s="52">
        <v>1577637.8739226994</v>
      </c>
      <c r="N174" s="44"/>
      <c r="O174" s="59"/>
      <c r="P174" s="44" t="s">
        <v>125</v>
      </c>
      <c r="Q174" s="52">
        <v>1577637.8739226994</v>
      </c>
      <c r="R174" s="70">
        <v>19.34</v>
      </c>
    </row>
    <row r="175" spans="1:18" x14ac:dyDescent="0.25">
      <c r="A175" s="66" t="s">
        <v>82</v>
      </c>
      <c r="B175" s="105" t="s">
        <v>86</v>
      </c>
      <c r="C175" s="60">
        <v>45798</v>
      </c>
      <c r="D175" s="60">
        <v>45798</v>
      </c>
      <c r="E175" s="44">
        <v>470353</v>
      </c>
      <c r="F175" s="44" t="s">
        <v>124</v>
      </c>
      <c r="G175" s="44" t="s">
        <v>141</v>
      </c>
      <c r="H175" s="44">
        <v>280907</v>
      </c>
      <c r="I175" s="44">
        <v>1</v>
      </c>
      <c r="J175" s="44">
        <v>7.95</v>
      </c>
      <c r="K175" s="61">
        <v>101.697794</v>
      </c>
      <c r="L175" s="44">
        <v>588</v>
      </c>
      <c r="M175" s="52">
        <v>59798.302705250258</v>
      </c>
      <c r="N175" s="44"/>
      <c r="O175" s="59"/>
      <c r="P175" s="44" t="s">
        <v>125</v>
      </c>
      <c r="Q175" s="52">
        <v>59798.302705250258</v>
      </c>
      <c r="R175" s="70">
        <v>16.170000000000002</v>
      </c>
    </row>
    <row r="176" spans="1:18" x14ac:dyDescent="0.25">
      <c r="A176" s="66" t="s">
        <v>82</v>
      </c>
      <c r="B176" s="105" t="s">
        <v>121</v>
      </c>
      <c r="C176" s="60">
        <v>45798</v>
      </c>
      <c r="D176" s="60">
        <v>45798</v>
      </c>
      <c r="E176" s="44">
        <v>470353</v>
      </c>
      <c r="F176" s="44" t="s">
        <v>124</v>
      </c>
      <c r="G176" s="44" t="s">
        <v>141</v>
      </c>
      <c r="H176" s="44">
        <v>280907</v>
      </c>
      <c r="I176" s="44">
        <v>1</v>
      </c>
      <c r="J176" s="44">
        <v>7.95</v>
      </c>
      <c r="K176" s="61">
        <v>101.697794</v>
      </c>
      <c r="L176" s="44">
        <v>8089</v>
      </c>
      <c r="M176" s="52">
        <v>822633.45337205671</v>
      </c>
      <c r="N176" s="44"/>
      <c r="O176" s="59"/>
      <c r="P176" s="44" t="s">
        <v>125</v>
      </c>
      <c r="Q176" s="52">
        <v>822633.45337205671</v>
      </c>
      <c r="R176" s="70">
        <v>54.93</v>
      </c>
    </row>
    <row r="177" spans="1:18" x14ac:dyDescent="0.25">
      <c r="A177" s="66" t="s">
        <v>82</v>
      </c>
      <c r="B177" s="105" t="s">
        <v>85</v>
      </c>
      <c r="C177" s="60">
        <v>45798</v>
      </c>
      <c r="D177" s="60">
        <v>45799</v>
      </c>
      <c r="E177" s="44">
        <v>470353</v>
      </c>
      <c r="F177" s="44" t="s">
        <v>83</v>
      </c>
      <c r="G177" s="44" t="s">
        <v>141</v>
      </c>
      <c r="H177" s="44">
        <v>280907</v>
      </c>
      <c r="I177" s="44">
        <v>1</v>
      </c>
      <c r="J177" s="44">
        <v>348.39158247209565</v>
      </c>
      <c r="K177" s="61">
        <v>101.720252</v>
      </c>
      <c r="L177" s="44">
        <v>15513</v>
      </c>
      <c r="M177" s="52">
        <v>1577986.2655051621</v>
      </c>
      <c r="N177" s="44"/>
      <c r="O177" s="59"/>
      <c r="P177" s="44" t="s">
        <v>81</v>
      </c>
      <c r="Q177" s="52">
        <v>1577986.2655051621</v>
      </c>
      <c r="R177" s="71">
        <v>1578005.61</v>
      </c>
    </row>
    <row r="178" spans="1:18" x14ac:dyDescent="0.25">
      <c r="A178" s="66" t="s">
        <v>82</v>
      </c>
      <c r="B178" s="105" t="s">
        <v>86</v>
      </c>
      <c r="C178" s="60">
        <v>45798</v>
      </c>
      <c r="D178" s="60">
        <v>45799</v>
      </c>
      <c r="E178" s="44">
        <v>470353</v>
      </c>
      <c r="F178" s="44" t="s">
        <v>83</v>
      </c>
      <c r="G178" s="44" t="s">
        <v>141</v>
      </c>
      <c r="H178" s="44">
        <v>280907</v>
      </c>
      <c r="I178" s="44">
        <v>1</v>
      </c>
      <c r="J178" s="44">
        <v>13.205327821413798</v>
      </c>
      <c r="K178" s="61">
        <v>101.720252</v>
      </c>
      <c r="L178" s="44">
        <v>588</v>
      </c>
      <c r="M178" s="52">
        <v>59811.50803307131</v>
      </c>
      <c r="N178" s="44"/>
      <c r="O178" s="59"/>
      <c r="P178" s="44" t="s">
        <v>81</v>
      </c>
      <c r="Q178" s="52">
        <v>59811.50803307131</v>
      </c>
      <c r="R178" s="71">
        <v>59827.68</v>
      </c>
    </row>
    <row r="179" spans="1:18" x14ac:dyDescent="0.25">
      <c r="A179" s="66" t="s">
        <v>82</v>
      </c>
      <c r="B179" s="105" t="s">
        <v>121</v>
      </c>
      <c r="C179" s="60">
        <v>45798</v>
      </c>
      <c r="D179" s="60">
        <v>45799</v>
      </c>
      <c r="E179" s="44">
        <v>470353</v>
      </c>
      <c r="F179" s="44" t="s">
        <v>83</v>
      </c>
      <c r="G179" s="44" t="s">
        <v>141</v>
      </c>
      <c r="H179" s="44">
        <v>280907</v>
      </c>
      <c r="I179" s="44">
        <v>1</v>
      </c>
      <c r="J179" s="44">
        <v>181.66308970649015</v>
      </c>
      <c r="K179" s="61">
        <v>101.720252</v>
      </c>
      <c r="L179" s="44">
        <v>8089</v>
      </c>
      <c r="M179" s="52">
        <v>822815.11646175815</v>
      </c>
      <c r="N179" s="44"/>
      <c r="O179" s="59"/>
      <c r="P179" s="44" t="s">
        <v>81</v>
      </c>
      <c r="Q179" s="52">
        <v>822815.11646175815</v>
      </c>
      <c r="R179" s="71">
        <v>822870.05</v>
      </c>
    </row>
    <row r="180" spans="1:18" x14ac:dyDescent="0.25">
      <c r="A180" s="66" t="s">
        <v>82</v>
      </c>
      <c r="B180" s="105" t="s">
        <v>85</v>
      </c>
      <c r="C180" s="60">
        <v>45799</v>
      </c>
      <c r="D180" s="60">
        <v>45799</v>
      </c>
      <c r="E180" s="44">
        <v>471644</v>
      </c>
      <c r="F180" s="44" t="s">
        <v>124</v>
      </c>
      <c r="G180" s="44" t="s">
        <v>141</v>
      </c>
      <c r="H180" s="44">
        <v>260507</v>
      </c>
      <c r="I180" s="44">
        <v>1</v>
      </c>
      <c r="J180" s="44">
        <v>7.95</v>
      </c>
      <c r="K180" s="61">
        <v>100.394249</v>
      </c>
      <c r="L180" s="44">
        <v>15718</v>
      </c>
      <c r="M180" s="52">
        <v>1577996.8038645454</v>
      </c>
      <c r="N180" s="44"/>
      <c r="O180" s="59"/>
      <c r="P180" s="44" t="s">
        <v>125</v>
      </c>
      <c r="Q180" s="52">
        <v>1577996.8038645454</v>
      </c>
      <c r="R180" s="70">
        <v>8.81</v>
      </c>
    </row>
    <row r="181" spans="1:18" x14ac:dyDescent="0.25">
      <c r="A181" s="66" t="s">
        <v>82</v>
      </c>
      <c r="B181" s="105" t="s">
        <v>86</v>
      </c>
      <c r="C181" s="60">
        <v>45799</v>
      </c>
      <c r="D181" s="60">
        <v>45799</v>
      </c>
      <c r="E181" s="44">
        <v>471644</v>
      </c>
      <c r="F181" s="44" t="s">
        <v>124</v>
      </c>
      <c r="G181" s="44" t="s">
        <v>141</v>
      </c>
      <c r="H181" s="44">
        <v>260507</v>
      </c>
      <c r="I181" s="44">
        <v>1</v>
      </c>
      <c r="J181" s="44">
        <v>7.95</v>
      </c>
      <c r="K181" s="61">
        <v>100.394249</v>
      </c>
      <c r="L181" s="44">
        <v>596</v>
      </c>
      <c r="M181" s="52">
        <v>59834.972331293357</v>
      </c>
      <c r="N181" s="44"/>
      <c r="O181" s="59"/>
      <c r="P181" s="44" t="s">
        <v>125</v>
      </c>
      <c r="Q181" s="52">
        <v>59834.972331293357</v>
      </c>
      <c r="R181" s="70">
        <v>-7.29</v>
      </c>
    </row>
    <row r="182" spans="1:18" x14ac:dyDescent="0.25">
      <c r="A182" s="66" t="s">
        <v>82</v>
      </c>
      <c r="B182" s="105" t="s">
        <v>121</v>
      </c>
      <c r="C182" s="60">
        <v>45799</v>
      </c>
      <c r="D182" s="60">
        <v>45799</v>
      </c>
      <c r="E182" s="44">
        <v>471644</v>
      </c>
      <c r="F182" s="44" t="s">
        <v>124</v>
      </c>
      <c r="G182" s="44" t="s">
        <v>141</v>
      </c>
      <c r="H182" s="44">
        <v>260507</v>
      </c>
      <c r="I182" s="44">
        <v>1</v>
      </c>
      <c r="J182" s="44">
        <v>7.95</v>
      </c>
      <c r="K182" s="61">
        <v>100.394249</v>
      </c>
      <c r="L182" s="44">
        <v>8196</v>
      </c>
      <c r="M182" s="52">
        <v>822831.2638041618</v>
      </c>
      <c r="N182" s="44"/>
      <c r="O182" s="59"/>
      <c r="P182" s="44" t="s">
        <v>125</v>
      </c>
      <c r="Q182" s="52">
        <v>822831.2638041618</v>
      </c>
      <c r="R182" s="70">
        <v>38.79</v>
      </c>
    </row>
    <row r="183" spans="1:18" x14ac:dyDescent="0.25">
      <c r="A183" s="66" t="s">
        <v>82</v>
      </c>
      <c r="B183" s="105" t="s">
        <v>85</v>
      </c>
      <c r="C183" s="60">
        <v>45799</v>
      </c>
      <c r="D183" s="60">
        <v>45800</v>
      </c>
      <c r="E183" s="44">
        <v>471644</v>
      </c>
      <c r="F183" s="44" t="s">
        <v>83</v>
      </c>
      <c r="G183" s="44" t="s">
        <v>141</v>
      </c>
      <c r="H183" s="44">
        <v>260507</v>
      </c>
      <c r="I183" s="44">
        <v>1</v>
      </c>
      <c r="J183" s="44">
        <v>348.47017625459017</v>
      </c>
      <c r="K183" s="61">
        <v>100.416419</v>
      </c>
      <c r="L183" s="44">
        <v>15718</v>
      </c>
      <c r="M183" s="52">
        <v>1578345.2740408012</v>
      </c>
      <c r="N183" s="44"/>
      <c r="O183" s="59"/>
      <c r="P183" s="44" t="s">
        <v>81</v>
      </c>
      <c r="Q183" s="52">
        <v>1578345.2740408012</v>
      </c>
      <c r="R183" s="71">
        <v>1578354.08</v>
      </c>
    </row>
    <row r="184" spans="1:18" x14ac:dyDescent="0.25">
      <c r="A184" s="66" t="s">
        <v>82</v>
      </c>
      <c r="B184" s="105" t="s">
        <v>86</v>
      </c>
      <c r="C184" s="60">
        <v>45799</v>
      </c>
      <c r="D184" s="60">
        <v>45800</v>
      </c>
      <c r="E184" s="44">
        <v>471644</v>
      </c>
      <c r="F184" s="44" t="s">
        <v>83</v>
      </c>
      <c r="G184" s="44" t="s">
        <v>141</v>
      </c>
      <c r="H184" s="44">
        <v>260507</v>
      </c>
      <c r="I184" s="44">
        <v>1</v>
      </c>
      <c r="J184" s="44">
        <v>13.213400244798049</v>
      </c>
      <c r="K184" s="61">
        <v>100.416419</v>
      </c>
      <c r="L184" s="44">
        <v>596</v>
      </c>
      <c r="M184" s="52">
        <v>59848.185731538208</v>
      </c>
      <c r="N184" s="44"/>
      <c r="O184" s="59"/>
      <c r="P184" s="44" t="s">
        <v>81</v>
      </c>
      <c r="Q184" s="52">
        <v>59848.185731538208</v>
      </c>
      <c r="R184" s="71">
        <v>59840.9</v>
      </c>
    </row>
    <row r="185" spans="1:18" x14ac:dyDescent="0.25">
      <c r="A185" s="66" t="s">
        <v>82</v>
      </c>
      <c r="B185" s="105" t="s">
        <v>121</v>
      </c>
      <c r="C185" s="60">
        <v>45799</v>
      </c>
      <c r="D185" s="60">
        <v>45800</v>
      </c>
      <c r="E185" s="44">
        <v>471644</v>
      </c>
      <c r="F185" s="44" t="s">
        <v>83</v>
      </c>
      <c r="G185" s="44" t="s">
        <v>141</v>
      </c>
      <c r="H185" s="44">
        <v>260507</v>
      </c>
      <c r="I185" s="44">
        <v>1</v>
      </c>
      <c r="J185" s="44">
        <v>181.70642350061209</v>
      </c>
      <c r="K185" s="61">
        <v>100.416419</v>
      </c>
      <c r="L185" s="44">
        <v>8196</v>
      </c>
      <c r="M185" s="52">
        <v>823012.97022766294</v>
      </c>
      <c r="N185" s="44"/>
      <c r="O185" s="59"/>
      <c r="P185" s="44" t="s">
        <v>81</v>
      </c>
      <c r="Q185" s="52">
        <v>823012.97022766294</v>
      </c>
      <c r="R185" s="71">
        <v>823051.76</v>
      </c>
    </row>
    <row r="186" spans="1:18" x14ac:dyDescent="0.25">
      <c r="A186" s="66" t="s">
        <v>82</v>
      </c>
      <c r="B186" s="105" t="s">
        <v>85</v>
      </c>
      <c r="C186" s="60">
        <v>45800</v>
      </c>
      <c r="D186" s="60">
        <v>45800</v>
      </c>
      <c r="E186" s="44">
        <v>473035</v>
      </c>
      <c r="F186" s="44" t="s">
        <v>124</v>
      </c>
      <c r="G186" s="44" t="s">
        <v>141</v>
      </c>
      <c r="H186" s="44">
        <v>260507</v>
      </c>
      <c r="I186" s="44">
        <v>3</v>
      </c>
      <c r="J186" s="44">
        <v>7.95</v>
      </c>
      <c r="K186" s="61">
        <v>100.417918</v>
      </c>
      <c r="L186" s="44">
        <v>15718</v>
      </c>
      <c r="M186" s="52">
        <v>1578368.835008567</v>
      </c>
      <c r="N186" s="44"/>
      <c r="O186" s="59"/>
      <c r="P186" s="44" t="s">
        <v>125</v>
      </c>
      <c r="Q186" s="52">
        <v>1578368.835008567</v>
      </c>
      <c r="R186" s="70">
        <v>-14.76</v>
      </c>
    </row>
    <row r="187" spans="1:18" x14ac:dyDescent="0.25">
      <c r="A187" s="66" t="s">
        <v>82</v>
      </c>
      <c r="B187" s="105" t="s">
        <v>86</v>
      </c>
      <c r="C187" s="60">
        <v>45800</v>
      </c>
      <c r="D187" s="60">
        <v>45800</v>
      </c>
      <c r="E187" s="44">
        <v>473035</v>
      </c>
      <c r="F187" s="44" t="s">
        <v>124</v>
      </c>
      <c r="G187" s="44" t="s">
        <v>141</v>
      </c>
      <c r="H187" s="44">
        <v>260507</v>
      </c>
      <c r="I187" s="44">
        <v>3</v>
      </c>
      <c r="J187" s="44">
        <v>7.95</v>
      </c>
      <c r="K187" s="61">
        <v>100.417918</v>
      </c>
      <c r="L187" s="44">
        <v>596</v>
      </c>
      <c r="M187" s="52">
        <v>59849.079123622978</v>
      </c>
      <c r="N187" s="44"/>
      <c r="O187" s="59"/>
      <c r="P187" s="44" t="s">
        <v>125</v>
      </c>
      <c r="Q187" s="52">
        <v>59849.079123622978</v>
      </c>
      <c r="R187" s="70">
        <v>-8.18</v>
      </c>
    </row>
    <row r="188" spans="1:18" x14ac:dyDescent="0.25">
      <c r="A188" s="66" t="s">
        <v>82</v>
      </c>
      <c r="B188" s="105" t="s">
        <v>121</v>
      </c>
      <c r="C188" s="60">
        <v>45800</v>
      </c>
      <c r="D188" s="60">
        <v>45800</v>
      </c>
      <c r="E188" s="44">
        <v>473035</v>
      </c>
      <c r="F188" s="44" t="s">
        <v>124</v>
      </c>
      <c r="G188" s="44" t="s">
        <v>141</v>
      </c>
      <c r="H188" s="44">
        <v>260507</v>
      </c>
      <c r="I188" s="44">
        <v>3</v>
      </c>
      <c r="J188" s="44">
        <v>7.95</v>
      </c>
      <c r="K188" s="61">
        <v>100.417918</v>
      </c>
      <c r="L188" s="44">
        <v>8196</v>
      </c>
      <c r="M188" s="52">
        <v>823025.25586780848</v>
      </c>
      <c r="N188" s="44"/>
      <c r="O188" s="59"/>
      <c r="P188" s="44" t="s">
        <v>125</v>
      </c>
      <c r="Q188" s="52">
        <v>823025.25586780848</v>
      </c>
      <c r="R188" s="70">
        <v>26.5</v>
      </c>
    </row>
    <row r="189" spans="1:18" x14ac:dyDescent="0.25">
      <c r="A189" s="66" t="s">
        <v>82</v>
      </c>
      <c r="B189" s="105" t="s">
        <v>85</v>
      </c>
      <c r="C189" s="60">
        <v>45800</v>
      </c>
      <c r="D189" s="60">
        <v>45803</v>
      </c>
      <c r="E189" s="44">
        <v>473035</v>
      </c>
      <c r="F189" s="44" t="s">
        <v>83</v>
      </c>
      <c r="G189" s="44" t="s">
        <v>141</v>
      </c>
      <c r="H189" s="44">
        <v>260507</v>
      </c>
      <c r="I189" s="44">
        <v>3</v>
      </c>
      <c r="J189" s="52">
        <v>1045.6670444716442</v>
      </c>
      <c r="K189" s="61">
        <v>100.48444499999999</v>
      </c>
      <c r="L189" s="44">
        <v>15718</v>
      </c>
      <c r="M189" s="52">
        <v>1579414.5020530352</v>
      </c>
      <c r="N189" s="44"/>
      <c r="O189" s="59"/>
      <c r="P189" s="44" t="s">
        <v>81</v>
      </c>
      <c r="Q189" s="52">
        <v>1579414.5020530352</v>
      </c>
      <c r="R189" s="71">
        <v>1579399.74</v>
      </c>
    </row>
    <row r="190" spans="1:18" x14ac:dyDescent="0.25">
      <c r="A190" s="66" t="s">
        <v>82</v>
      </c>
      <c r="B190" s="105" t="s">
        <v>86</v>
      </c>
      <c r="C190" s="60">
        <v>45800</v>
      </c>
      <c r="D190" s="60">
        <v>45803</v>
      </c>
      <c r="E190" s="44">
        <v>473035</v>
      </c>
      <c r="F190" s="44" t="s">
        <v>83</v>
      </c>
      <c r="G190" s="44" t="s">
        <v>141</v>
      </c>
      <c r="H190" s="44">
        <v>260507</v>
      </c>
      <c r="I190" s="44">
        <v>3</v>
      </c>
      <c r="J190" s="52">
        <v>39.649927376580976</v>
      </c>
      <c r="K190" s="61">
        <v>100.48444499999999</v>
      </c>
      <c r="L190" s="44">
        <v>596</v>
      </c>
      <c r="M190" s="52">
        <v>59888.729050999435</v>
      </c>
      <c r="N190" s="44"/>
      <c r="O190" s="59"/>
      <c r="P190" s="44" t="s">
        <v>81</v>
      </c>
      <c r="Q190" s="52">
        <v>59888.729050999435</v>
      </c>
      <c r="R190" s="71">
        <v>59880.55</v>
      </c>
    </row>
    <row r="191" spans="1:18" x14ac:dyDescent="0.25">
      <c r="A191" s="66" t="s">
        <v>82</v>
      </c>
      <c r="B191" s="105" t="s">
        <v>121</v>
      </c>
      <c r="C191" s="60">
        <v>45800</v>
      </c>
      <c r="D191" s="60">
        <v>45803</v>
      </c>
      <c r="E191" s="44">
        <v>473035</v>
      </c>
      <c r="F191" s="44" t="s">
        <v>83</v>
      </c>
      <c r="G191" s="44" t="s">
        <v>141</v>
      </c>
      <c r="H191" s="44">
        <v>260507</v>
      </c>
      <c r="I191" s="44">
        <v>3</v>
      </c>
      <c r="J191" s="52">
        <v>545.25302815177474</v>
      </c>
      <c r="K191" s="61">
        <v>100.48444499999999</v>
      </c>
      <c r="L191" s="44">
        <v>8196</v>
      </c>
      <c r="M191" s="52">
        <v>823570.50889595866</v>
      </c>
      <c r="N191" s="44"/>
      <c r="O191" s="59"/>
      <c r="P191" s="44" t="s">
        <v>81</v>
      </c>
      <c r="Q191" s="52">
        <v>823570.50889595866</v>
      </c>
      <c r="R191" s="71">
        <v>823597.01</v>
      </c>
    </row>
    <row r="192" spans="1:18" x14ac:dyDescent="0.25">
      <c r="A192" s="66" t="s">
        <v>82</v>
      </c>
      <c r="B192" s="105" t="s">
        <v>85</v>
      </c>
      <c r="C192" s="60">
        <v>45803</v>
      </c>
      <c r="D192" s="60">
        <v>45803</v>
      </c>
      <c r="E192" s="44">
        <v>474314</v>
      </c>
      <c r="F192" s="44" t="s">
        <v>124</v>
      </c>
      <c r="G192" s="44" t="s">
        <v>141</v>
      </c>
      <c r="H192" s="44">
        <v>280511</v>
      </c>
      <c r="I192" s="44">
        <v>1</v>
      </c>
      <c r="J192" s="44">
        <v>7.95</v>
      </c>
      <c r="K192" s="61">
        <v>100.298571</v>
      </c>
      <c r="L192" s="44">
        <v>15747</v>
      </c>
      <c r="M192" s="52">
        <v>1579401.5969566284</v>
      </c>
      <c r="N192" s="44"/>
      <c r="O192" s="59"/>
      <c r="P192" s="44" t="s">
        <v>125</v>
      </c>
      <c r="Q192" s="52">
        <v>1579401.5969566284</v>
      </c>
      <c r="R192" s="70">
        <v>-1.86</v>
      </c>
    </row>
    <row r="193" spans="1:18" x14ac:dyDescent="0.25">
      <c r="A193" s="66" t="s">
        <v>82</v>
      </c>
      <c r="B193" s="105" t="s">
        <v>86</v>
      </c>
      <c r="C193" s="60">
        <v>45803</v>
      </c>
      <c r="D193" s="60">
        <v>45803</v>
      </c>
      <c r="E193" s="44">
        <v>474314</v>
      </c>
      <c r="F193" s="44" t="s">
        <v>124</v>
      </c>
      <c r="G193" s="44" t="s">
        <v>141</v>
      </c>
      <c r="H193" s="44">
        <v>280511</v>
      </c>
      <c r="I193" s="44">
        <v>1</v>
      </c>
      <c r="J193" s="44">
        <v>7.95</v>
      </c>
      <c r="K193" s="61">
        <v>100.298571</v>
      </c>
      <c r="L193" s="44">
        <v>597</v>
      </c>
      <c r="M193" s="52">
        <v>59878.246864996967</v>
      </c>
      <c r="N193" s="44"/>
      <c r="O193" s="59"/>
      <c r="P193" s="44" t="s">
        <v>125</v>
      </c>
      <c r="Q193" s="52">
        <v>59878.246864996967</v>
      </c>
      <c r="R193" s="70">
        <v>2.2999999999999998</v>
      </c>
    </row>
    <row r="194" spans="1:18" x14ac:dyDescent="0.25">
      <c r="A194" s="66" t="s">
        <v>82</v>
      </c>
      <c r="B194" s="105" t="s">
        <v>121</v>
      </c>
      <c r="C194" s="60">
        <v>45803</v>
      </c>
      <c r="D194" s="60">
        <v>45803</v>
      </c>
      <c r="E194" s="44">
        <v>474314</v>
      </c>
      <c r="F194" s="44" t="s">
        <v>124</v>
      </c>
      <c r="G194" s="44" t="s">
        <v>141</v>
      </c>
      <c r="H194" s="44">
        <v>280511</v>
      </c>
      <c r="I194" s="44">
        <v>1</v>
      </c>
      <c r="J194" s="44">
        <v>7.95</v>
      </c>
      <c r="K194" s="61">
        <v>100.298571</v>
      </c>
      <c r="L194" s="44">
        <v>8211</v>
      </c>
      <c r="M194" s="52">
        <v>823551.56617837539</v>
      </c>
      <c r="N194" s="44"/>
      <c r="O194" s="59"/>
      <c r="P194" s="44" t="s">
        <v>125</v>
      </c>
      <c r="Q194" s="52">
        <v>823551.56617837539</v>
      </c>
      <c r="R194" s="70">
        <v>45.44</v>
      </c>
    </row>
    <row r="195" spans="1:18" x14ac:dyDescent="0.25">
      <c r="A195" s="66" t="s">
        <v>82</v>
      </c>
      <c r="B195" s="105" t="s">
        <v>85</v>
      </c>
      <c r="C195" s="60">
        <v>45803</v>
      </c>
      <c r="D195" s="60">
        <v>45804</v>
      </c>
      <c r="E195" s="44">
        <v>474314</v>
      </c>
      <c r="F195" s="44" t="s">
        <v>83</v>
      </c>
      <c r="G195" s="44" t="s">
        <v>141</v>
      </c>
      <c r="H195" s="44">
        <v>280511</v>
      </c>
      <c r="I195" s="44">
        <v>1</v>
      </c>
      <c r="J195" s="44">
        <v>348.78113989004311</v>
      </c>
      <c r="K195" s="61">
        <v>100.32071999999999</v>
      </c>
      <c r="L195" s="44">
        <v>15747</v>
      </c>
      <c r="M195" s="52">
        <v>1579750.3780965188</v>
      </c>
      <c r="N195" s="44"/>
      <c r="O195" s="59"/>
      <c r="P195" s="44" t="s">
        <v>81</v>
      </c>
      <c r="Q195" s="52">
        <v>1579750.3780965188</v>
      </c>
      <c r="R195" s="71">
        <v>1579748.52</v>
      </c>
    </row>
    <row r="196" spans="1:18" x14ac:dyDescent="0.25">
      <c r="A196" s="66" t="s">
        <v>82</v>
      </c>
      <c r="B196" s="105" t="s">
        <v>86</v>
      </c>
      <c r="C196" s="60">
        <v>45803</v>
      </c>
      <c r="D196" s="60">
        <v>45804</v>
      </c>
      <c r="E196" s="44">
        <v>474314</v>
      </c>
      <c r="F196" s="44" t="s">
        <v>83</v>
      </c>
      <c r="G196" s="44" t="s">
        <v>141</v>
      </c>
      <c r="H196" s="44">
        <v>280511</v>
      </c>
      <c r="I196" s="44">
        <v>1</v>
      </c>
      <c r="J196" s="44">
        <v>13.222984728161283</v>
      </c>
      <c r="K196" s="61">
        <v>100.32071999999999</v>
      </c>
      <c r="L196" s="44">
        <v>597</v>
      </c>
      <c r="M196" s="52">
        <v>59891.46984972513</v>
      </c>
      <c r="N196" s="44"/>
      <c r="O196" s="59"/>
      <c r="P196" s="44" t="s">
        <v>81</v>
      </c>
      <c r="Q196" s="52">
        <v>59891.46984972513</v>
      </c>
      <c r="R196" s="71">
        <v>59893.77</v>
      </c>
    </row>
    <row r="197" spans="1:18" x14ac:dyDescent="0.25">
      <c r="A197" s="66" t="s">
        <v>82</v>
      </c>
      <c r="B197" s="105" t="s">
        <v>121</v>
      </c>
      <c r="C197" s="60">
        <v>45803</v>
      </c>
      <c r="D197" s="60">
        <v>45804</v>
      </c>
      <c r="E197" s="44">
        <v>474314</v>
      </c>
      <c r="F197" s="44" t="s">
        <v>83</v>
      </c>
      <c r="G197" s="44" t="s">
        <v>141</v>
      </c>
      <c r="H197" s="44">
        <v>280511</v>
      </c>
      <c r="I197" s="44">
        <v>1</v>
      </c>
      <c r="J197" s="44">
        <v>181.86587538179614</v>
      </c>
      <c r="K197" s="61">
        <v>100.32071999999999</v>
      </c>
      <c r="L197" s="44">
        <v>8211</v>
      </c>
      <c r="M197" s="52">
        <v>823733.43205375713</v>
      </c>
      <c r="N197" s="44"/>
      <c r="O197" s="59"/>
      <c r="P197" s="44" t="s">
        <v>81</v>
      </c>
      <c r="Q197" s="52">
        <v>823733.43205375713</v>
      </c>
      <c r="R197" s="71">
        <v>823778.87</v>
      </c>
    </row>
    <row r="198" spans="1:18" x14ac:dyDescent="0.25">
      <c r="A198" s="66" t="s">
        <v>80</v>
      </c>
      <c r="B198" s="105" t="s">
        <v>85</v>
      </c>
      <c r="C198" s="60">
        <v>45804</v>
      </c>
      <c r="D198" s="60">
        <v>45804</v>
      </c>
      <c r="E198" s="44">
        <v>475673</v>
      </c>
      <c r="F198" s="44" t="s">
        <v>157</v>
      </c>
      <c r="G198" s="44" t="s">
        <v>158</v>
      </c>
      <c r="H198" s="44" t="s">
        <v>158</v>
      </c>
      <c r="I198" s="44"/>
      <c r="J198" s="44"/>
      <c r="K198" s="88"/>
      <c r="L198" s="44"/>
      <c r="M198" s="52">
        <v>23781.78</v>
      </c>
      <c r="N198" s="44"/>
      <c r="O198" s="59">
        <v>3805.08</v>
      </c>
      <c r="P198" s="44" t="s">
        <v>125</v>
      </c>
      <c r="Q198" s="52">
        <v>27586.86</v>
      </c>
      <c r="R198" s="71">
        <v>1552161.66</v>
      </c>
    </row>
    <row r="199" spans="1:18" x14ac:dyDescent="0.25">
      <c r="A199" s="66" t="s">
        <v>80</v>
      </c>
      <c r="B199" s="105" t="s">
        <v>86</v>
      </c>
      <c r="C199" s="60">
        <v>45804</v>
      </c>
      <c r="D199" s="60">
        <v>45804</v>
      </c>
      <c r="E199" s="44">
        <v>475673</v>
      </c>
      <c r="F199" s="44" t="s">
        <v>157</v>
      </c>
      <c r="G199" s="44" t="s">
        <v>158</v>
      </c>
      <c r="H199" s="44" t="s">
        <v>158</v>
      </c>
      <c r="I199" s="44"/>
      <c r="J199" s="44"/>
      <c r="K199" s="88"/>
      <c r="L199" s="44"/>
      <c r="M199" s="52">
        <v>81.650000000000006</v>
      </c>
      <c r="N199" s="44"/>
      <c r="O199" s="59">
        <v>13.06</v>
      </c>
      <c r="P199" s="44" t="s">
        <v>125</v>
      </c>
      <c r="Q199" s="52">
        <v>94.71</v>
      </c>
      <c r="R199" s="71">
        <v>59799.06</v>
      </c>
    </row>
    <row r="200" spans="1:18" x14ac:dyDescent="0.25">
      <c r="A200" s="66" t="s">
        <v>80</v>
      </c>
      <c r="B200" s="105" t="s">
        <v>121</v>
      </c>
      <c r="C200" s="60">
        <v>45804</v>
      </c>
      <c r="D200" s="60">
        <v>45804</v>
      </c>
      <c r="E200" s="44">
        <v>475673</v>
      </c>
      <c r="F200" s="44" t="s">
        <v>157</v>
      </c>
      <c r="G200" s="44" t="s">
        <v>158</v>
      </c>
      <c r="H200" s="44" t="s">
        <v>158</v>
      </c>
      <c r="I200" s="44"/>
      <c r="J200" s="44"/>
      <c r="K200" s="88"/>
      <c r="L200" s="44"/>
      <c r="M200" s="52">
        <v>19244.97</v>
      </c>
      <c r="N200" s="44"/>
      <c r="O200" s="59">
        <v>3079.2</v>
      </c>
      <c r="P200" s="44" t="s">
        <v>125</v>
      </c>
      <c r="Q200" s="52">
        <v>22324.17</v>
      </c>
      <c r="R200" s="71">
        <v>801454.7</v>
      </c>
    </row>
    <row r="201" spans="1:18" x14ac:dyDescent="0.25">
      <c r="A201" s="79" t="s">
        <v>80</v>
      </c>
      <c r="B201" s="77" t="s">
        <v>85</v>
      </c>
      <c r="C201" s="93">
        <v>45804</v>
      </c>
      <c r="D201" s="93">
        <v>45804</v>
      </c>
      <c r="E201" s="77">
        <v>475674</v>
      </c>
      <c r="F201" s="77" t="s">
        <v>157</v>
      </c>
      <c r="G201" s="77" t="s">
        <v>158</v>
      </c>
      <c r="H201" s="77" t="s">
        <v>158</v>
      </c>
      <c r="I201" s="77"/>
      <c r="J201" s="77"/>
      <c r="K201" s="101"/>
      <c r="L201" s="77"/>
      <c r="M201" s="78">
        <v>22768.11</v>
      </c>
      <c r="N201" s="77"/>
      <c r="O201" s="94">
        <v>3642.9</v>
      </c>
      <c r="P201" s="77" t="s">
        <v>125</v>
      </c>
      <c r="Q201" s="78">
        <v>26411.01</v>
      </c>
      <c r="R201" s="96">
        <v>1525750.65</v>
      </c>
    </row>
    <row r="202" spans="1:18" x14ac:dyDescent="0.25">
      <c r="A202" s="79" t="s">
        <v>80</v>
      </c>
      <c r="B202" s="77" t="s">
        <v>86</v>
      </c>
      <c r="C202" s="93">
        <v>45804</v>
      </c>
      <c r="D202" s="93">
        <v>45804</v>
      </c>
      <c r="E202" s="77">
        <v>475674</v>
      </c>
      <c r="F202" s="77" t="s">
        <v>157</v>
      </c>
      <c r="G202" s="77" t="s">
        <v>158</v>
      </c>
      <c r="H202" s="77" t="s">
        <v>158</v>
      </c>
      <c r="I202" s="77"/>
      <c r="J202" s="77"/>
      <c r="K202" s="101"/>
      <c r="L202" s="77"/>
      <c r="M202" s="78">
        <v>79.95</v>
      </c>
      <c r="N202" s="77"/>
      <c r="O202" s="94">
        <v>12.79</v>
      </c>
      <c r="P202" s="77" t="s">
        <v>125</v>
      </c>
      <c r="Q202" s="78">
        <v>92.74</v>
      </c>
      <c r="R202" s="96">
        <v>59706.32</v>
      </c>
    </row>
    <row r="203" spans="1:18" x14ac:dyDescent="0.25">
      <c r="A203" s="79" t="s">
        <v>80</v>
      </c>
      <c r="B203" s="77" t="s">
        <v>121</v>
      </c>
      <c r="C203" s="93">
        <v>45804</v>
      </c>
      <c r="D203" s="93">
        <v>45804</v>
      </c>
      <c r="E203" s="77">
        <v>475674</v>
      </c>
      <c r="F203" s="77" t="s">
        <v>157</v>
      </c>
      <c r="G203" s="77" t="s">
        <v>158</v>
      </c>
      <c r="H203" s="77" t="s">
        <v>158</v>
      </c>
      <c r="I203" s="77"/>
      <c r="J203" s="77"/>
      <c r="K203" s="101"/>
      <c r="L203" s="77"/>
      <c r="M203" s="78">
        <v>18528.850000000002</v>
      </c>
      <c r="N203" s="77"/>
      <c r="O203" s="94">
        <v>2964.62</v>
      </c>
      <c r="P203" s="77" t="s">
        <v>125</v>
      </c>
      <c r="Q203" s="78">
        <v>21493.47</v>
      </c>
      <c r="R203" s="96">
        <v>779961.23</v>
      </c>
    </row>
    <row r="204" spans="1:18" x14ac:dyDescent="0.25">
      <c r="A204" s="66" t="s">
        <v>82</v>
      </c>
      <c r="B204" s="105" t="s">
        <v>85</v>
      </c>
      <c r="C204" s="60">
        <v>45804</v>
      </c>
      <c r="D204" s="60">
        <v>45804</v>
      </c>
      <c r="E204" s="44">
        <v>475699</v>
      </c>
      <c r="F204" s="44" t="s">
        <v>124</v>
      </c>
      <c r="G204" s="44" t="s">
        <v>141</v>
      </c>
      <c r="H204" s="44">
        <v>280511</v>
      </c>
      <c r="I204" s="44">
        <v>1</v>
      </c>
      <c r="J204" s="44">
        <v>7.95</v>
      </c>
      <c r="K204" s="44">
        <v>100.32216812</v>
      </c>
      <c r="L204" s="44">
        <v>15209</v>
      </c>
      <c r="M204" s="52">
        <v>1525799.8549800606</v>
      </c>
      <c r="N204" s="44"/>
      <c r="O204" s="44"/>
      <c r="P204" s="44" t="s">
        <v>125</v>
      </c>
      <c r="Q204" s="52">
        <v>1525799.8549800606</v>
      </c>
      <c r="R204" s="70">
        <v>-49.18</v>
      </c>
    </row>
    <row r="205" spans="1:18" x14ac:dyDescent="0.25">
      <c r="A205" s="66" t="s">
        <v>82</v>
      </c>
      <c r="B205" s="105" t="s">
        <v>86</v>
      </c>
      <c r="C205" s="60">
        <v>45804</v>
      </c>
      <c r="D205" s="60">
        <v>45804</v>
      </c>
      <c r="E205" s="44">
        <v>475699</v>
      </c>
      <c r="F205" s="44" t="s">
        <v>124</v>
      </c>
      <c r="G205" s="44" t="s">
        <v>141</v>
      </c>
      <c r="H205" s="44">
        <v>280511</v>
      </c>
      <c r="I205" s="44">
        <v>1</v>
      </c>
      <c r="J205" s="44">
        <v>7.95</v>
      </c>
      <c r="K205" s="44">
        <v>100.32216812</v>
      </c>
      <c r="L205" s="44">
        <v>595</v>
      </c>
      <c r="M205" s="52">
        <v>59691.690033081475</v>
      </c>
      <c r="N205" s="44"/>
      <c r="O205" s="44"/>
      <c r="P205" s="44" t="s">
        <v>125</v>
      </c>
      <c r="Q205" s="52">
        <v>59691.690033081475</v>
      </c>
      <c r="R205" s="70">
        <v>14.62</v>
      </c>
    </row>
    <row r="206" spans="1:18" x14ac:dyDescent="0.25">
      <c r="A206" s="66" t="s">
        <v>82</v>
      </c>
      <c r="B206" s="105" t="s">
        <v>121</v>
      </c>
      <c r="C206" s="60">
        <v>45804</v>
      </c>
      <c r="D206" s="60">
        <v>45804</v>
      </c>
      <c r="E206" s="44">
        <v>475699</v>
      </c>
      <c r="F206" s="44" t="s">
        <v>124</v>
      </c>
      <c r="G206" s="44" t="s">
        <v>141</v>
      </c>
      <c r="H206" s="44">
        <v>280511</v>
      </c>
      <c r="I206" s="44">
        <v>1</v>
      </c>
      <c r="J206" s="44">
        <v>7.95</v>
      </c>
      <c r="K206" s="44">
        <v>100.32216812</v>
      </c>
      <c r="L206" s="44">
        <v>7774</v>
      </c>
      <c r="M206" s="52">
        <v>779904.53498684929</v>
      </c>
      <c r="N206" s="44"/>
      <c r="O206" s="44"/>
      <c r="P206" s="44" t="s">
        <v>125</v>
      </c>
      <c r="Q206" s="52">
        <v>779904.53498684929</v>
      </c>
      <c r="R206" s="70">
        <v>56.67</v>
      </c>
    </row>
    <row r="207" spans="1:18" x14ac:dyDescent="0.25">
      <c r="A207" s="66"/>
      <c r="B207" s="105" t="s">
        <v>85</v>
      </c>
      <c r="C207" s="60">
        <v>45804</v>
      </c>
      <c r="D207" s="60">
        <v>45805</v>
      </c>
      <c r="E207" s="44">
        <v>8369</v>
      </c>
      <c r="F207" s="44" t="s">
        <v>164</v>
      </c>
      <c r="G207" s="44" t="s">
        <v>165</v>
      </c>
      <c r="H207" s="44" t="s">
        <v>94</v>
      </c>
      <c r="I207" s="44"/>
      <c r="J207" s="44"/>
      <c r="K207" s="88">
        <v>1529</v>
      </c>
      <c r="L207" s="44">
        <v>65</v>
      </c>
      <c r="M207" s="52">
        <v>99385</v>
      </c>
      <c r="N207" s="44"/>
      <c r="O207" s="59"/>
      <c r="P207" s="44" t="s">
        <v>125</v>
      </c>
      <c r="Q207" s="52">
        <v>99385</v>
      </c>
      <c r="R207" s="71">
        <v>-99434.18</v>
      </c>
    </row>
    <row r="208" spans="1:18" x14ac:dyDescent="0.25">
      <c r="A208" s="66"/>
      <c r="B208" s="105" t="s">
        <v>85</v>
      </c>
      <c r="C208" s="60">
        <v>45804</v>
      </c>
      <c r="D208" s="60">
        <v>45805</v>
      </c>
      <c r="E208" s="44">
        <v>8369</v>
      </c>
      <c r="F208" s="44" t="s">
        <v>163</v>
      </c>
      <c r="G208" s="44" t="s">
        <v>165</v>
      </c>
      <c r="H208" s="44" t="s">
        <v>94</v>
      </c>
      <c r="I208" s="44"/>
      <c r="J208" s="44"/>
      <c r="K208" s="88">
        <v>1.3761000000000001</v>
      </c>
      <c r="L208" s="44"/>
      <c r="M208" s="44">
        <v>89.45</v>
      </c>
      <c r="N208" s="44"/>
      <c r="O208" s="59">
        <v>14.31</v>
      </c>
      <c r="P208" s="44" t="s">
        <v>125</v>
      </c>
      <c r="Q208" s="44">
        <v>103.76</v>
      </c>
      <c r="R208" s="71">
        <v>-99537.939999999988</v>
      </c>
    </row>
    <row r="209" spans="1:18" x14ac:dyDescent="0.25">
      <c r="A209" s="66"/>
      <c r="B209" s="105" t="s">
        <v>121</v>
      </c>
      <c r="C209" s="60">
        <v>45804</v>
      </c>
      <c r="D209" s="60">
        <v>45805</v>
      </c>
      <c r="E209" s="44">
        <v>8369</v>
      </c>
      <c r="F209" s="44" t="s">
        <v>164</v>
      </c>
      <c r="G209" s="44" t="s">
        <v>165</v>
      </c>
      <c r="H209" s="44" t="s">
        <v>94</v>
      </c>
      <c r="I209" s="44"/>
      <c r="J209" s="44"/>
      <c r="K209" s="88">
        <v>1529</v>
      </c>
      <c r="L209" s="44">
        <v>65</v>
      </c>
      <c r="M209" s="52">
        <v>99385</v>
      </c>
      <c r="N209" s="44"/>
      <c r="O209" s="59"/>
      <c r="P209" s="44" t="s">
        <v>125</v>
      </c>
      <c r="Q209" s="52">
        <v>99385</v>
      </c>
      <c r="R209" s="71">
        <v>-99328.33</v>
      </c>
    </row>
    <row r="210" spans="1:18" x14ac:dyDescent="0.25">
      <c r="A210" s="66"/>
      <c r="B210" s="105" t="s">
        <v>121</v>
      </c>
      <c r="C210" s="60">
        <v>45804</v>
      </c>
      <c r="D210" s="60">
        <v>45805</v>
      </c>
      <c r="E210" s="44">
        <v>8369</v>
      </c>
      <c r="F210" s="44" t="s">
        <v>163</v>
      </c>
      <c r="G210" s="44" t="s">
        <v>165</v>
      </c>
      <c r="H210" s="44" t="s">
        <v>94</v>
      </c>
      <c r="I210" s="44"/>
      <c r="J210" s="44"/>
      <c r="K210" s="88">
        <v>1.3761000000000001</v>
      </c>
      <c r="L210" s="44"/>
      <c r="M210" s="44">
        <v>89.45</v>
      </c>
      <c r="N210" s="44"/>
      <c r="O210" s="59">
        <v>14.31</v>
      </c>
      <c r="P210" s="44" t="s">
        <v>125</v>
      </c>
      <c r="Q210" s="44">
        <v>103.76</v>
      </c>
      <c r="R210" s="71">
        <v>-99432.09</v>
      </c>
    </row>
    <row r="211" spans="1:18" x14ac:dyDescent="0.25">
      <c r="A211" s="66"/>
      <c r="B211" s="105" t="s">
        <v>85</v>
      </c>
      <c r="C211" s="60">
        <v>45804</v>
      </c>
      <c r="D211" s="60">
        <v>45805</v>
      </c>
      <c r="E211" s="44">
        <v>8370</v>
      </c>
      <c r="F211" s="44" t="s">
        <v>164</v>
      </c>
      <c r="G211" s="44" t="s">
        <v>166</v>
      </c>
      <c r="H211" s="44" t="s">
        <v>94</v>
      </c>
      <c r="I211" s="44"/>
      <c r="J211" s="44"/>
      <c r="K211" s="88">
        <v>454</v>
      </c>
      <c r="L211" s="44">
        <v>221</v>
      </c>
      <c r="M211" s="52">
        <v>100334</v>
      </c>
      <c r="N211" s="44"/>
      <c r="O211" s="59"/>
      <c r="P211" s="44" t="s">
        <v>125</v>
      </c>
      <c r="Q211" s="52">
        <v>100334</v>
      </c>
      <c r="R211" s="71">
        <v>-199871.94</v>
      </c>
    </row>
    <row r="212" spans="1:18" x14ac:dyDescent="0.25">
      <c r="A212" s="66"/>
      <c r="B212" s="105" t="s">
        <v>85</v>
      </c>
      <c r="C212" s="60">
        <v>45804</v>
      </c>
      <c r="D212" s="60">
        <v>45805</v>
      </c>
      <c r="E212" s="44">
        <v>8370</v>
      </c>
      <c r="F212" s="44" t="s">
        <v>163</v>
      </c>
      <c r="G212" s="44" t="s">
        <v>166</v>
      </c>
      <c r="H212" s="44" t="s">
        <v>94</v>
      </c>
      <c r="I212" s="44"/>
      <c r="J212" s="44"/>
      <c r="K212" s="88">
        <v>0.40860000000000002</v>
      </c>
      <c r="L212" s="44"/>
      <c r="M212" s="44">
        <v>90.3</v>
      </c>
      <c r="N212" s="44"/>
      <c r="O212" s="59">
        <v>14.45</v>
      </c>
      <c r="P212" s="44" t="s">
        <v>125</v>
      </c>
      <c r="Q212" s="44">
        <v>104.75</v>
      </c>
      <c r="R212" s="71">
        <v>-199976.69</v>
      </c>
    </row>
    <row r="213" spans="1:18" x14ac:dyDescent="0.25">
      <c r="A213" s="66"/>
      <c r="B213" s="105" t="s">
        <v>121</v>
      </c>
      <c r="C213" s="60">
        <v>45804</v>
      </c>
      <c r="D213" s="60">
        <v>45805</v>
      </c>
      <c r="E213" s="44">
        <v>8370</v>
      </c>
      <c r="F213" s="44" t="s">
        <v>164</v>
      </c>
      <c r="G213" s="44" t="s">
        <v>166</v>
      </c>
      <c r="H213" s="44" t="s">
        <v>94</v>
      </c>
      <c r="I213" s="44"/>
      <c r="J213" s="44"/>
      <c r="K213" s="88">
        <v>454</v>
      </c>
      <c r="L213" s="44">
        <v>221</v>
      </c>
      <c r="M213" s="52">
        <v>100334</v>
      </c>
      <c r="N213" s="44"/>
      <c r="O213" s="59"/>
      <c r="P213" s="44" t="s">
        <v>125</v>
      </c>
      <c r="Q213" s="52">
        <v>100334</v>
      </c>
      <c r="R213" s="71">
        <v>-199766.09</v>
      </c>
    </row>
    <row r="214" spans="1:18" x14ac:dyDescent="0.25">
      <c r="A214" s="66"/>
      <c r="B214" s="105" t="s">
        <v>121</v>
      </c>
      <c r="C214" s="60">
        <v>45804</v>
      </c>
      <c r="D214" s="60">
        <v>45805</v>
      </c>
      <c r="E214" s="44">
        <v>8370</v>
      </c>
      <c r="F214" s="44" t="s">
        <v>163</v>
      </c>
      <c r="G214" s="44" t="s">
        <v>166</v>
      </c>
      <c r="H214" s="44" t="s">
        <v>94</v>
      </c>
      <c r="I214" s="44"/>
      <c r="J214" s="44"/>
      <c r="K214" s="88">
        <v>0.40860000000000002</v>
      </c>
      <c r="L214" s="44"/>
      <c r="M214" s="44">
        <v>90.3</v>
      </c>
      <c r="N214" s="44"/>
      <c r="O214" s="59">
        <v>14.45</v>
      </c>
      <c r="P214" s="44" t="s">
        <v>125</v>
      </c>
      <c r="Q214" s="44">
        <v>104.75</v>
      </c>
      <c r="R214" s="71">
        <v>-199870.84</v>
      </c>
    </row>
    <row r="215" spans="1:18" x14ac:dyDescent="0.25">
      <c r="A215" s="66" t="s">
        <v>82</v>
      </c>
      <c r="B215" s="105" t="s">
        <v>85</v>
      </c>
      <c r="C215" s="60">
        <v>45804</v>
      </c>
      <c r="D215" s="60">
        <v>45805</v>
      </c>
      <c r="E215" s="44">
        <v>475699</v>
      </c>
      <c r="F215" s="44" t="s">
        <v>83</v>
      </c>
      <c r="G215" s="44" t="s">
        <v>141</v>
      </c>
      <c r="H215" s="44">
        <v>280511</v>
      </c>
      <c r="I215" s="44">
        <v>1</v>
      </c>
      <c r="J215" s="44">
        <v>336.94211341080597</v>
      </c>
      <c r="K215" s="61">
        <v>100.34432200000001</v>
      </c>
      <c r="L215" s="44">
        <v>15209</v>
      </c>
      <c r="M215" s="52">
        <v>1526136.797093482</v>
      </c>
      <c r="N215" s="44"/>
      <c r="O215" s="59"/>
      <c r="P215" s="44" t="s">
        <v>81</v>
      </c>
      <c r="Q215" s="52">
        <v>1526136.797093482</v>
      </c>
      <c r="R215" s="71">
        <v>1326160.1100000001</v>
      </c>
    </row>
    <row r="216" spans="1:18" x14ac:dyDescent="0.25">
      <c r="A216" s="66" t="s">
        <v>82</v>
      </c>
      <c r="B216" s="105" t="s">
        <v>86</v>
      </c>
      <c r="C216" s="60">
        <v>45804</v>
      </c>
      <c r="D216" s="60">
        <v>45805</v>
      </c>
      <c r="E216" s="44">
        <v>475699</v>
      </c>
      <c r="F216" s="44" t="s">
        <v>83</v>
      </c>
      <c r="G216" s="44" t="s">
        <v>141</v>
      </c>
      <c r="H216" s="44">
        <v>280511</v>
      </c>
      <c r="I216" s="44">
        <v>1</v>
      </c>
      <c r="J216" s="44">
        <v>13.18170540334207</v>
      </c>
      <c r="K216" s="61">
        <v>100.34432200000001</v>
      </c>
      <c r="L216" s="44">
        <v>595</v>
      </c>
      <c r="M216" s="52">
        <v>59704.871738485221</v>
      </c>
      <c r="N216" s="44"/>
      <c r="O216" s="59"/>
      <c r="P216" s="44" t="s">
        <v>81</v>
      </c>
      <c r="Q216" s="52">
        <v>59704.871738485221</v>
      </c>
      <c r="R216" s="71">
        <v>59719.49</v>
      </c>
    </row>
    <row r="217" spans="1:18" x14ac:dyDescent="0.25">
      <c r="A217" s="66" t="s">
        <v>82</v>
      </c>
      <c r="B217" s="105" t="s">
        <v>121</v>
      </c>
      <c r="C217" s="60">
        <v>45804</v>
      </c>
      <c r="D217" s="60">
        <v>45805</v>
      </c>
      <c r="E217" s="44">
        <v>475699</v>
      </c>
      <c r="F217" s="44" t="s">
        <v>83</v>
      </c>
      <c r="G217" s="44" t="s">
        <v>141</v>
      </c>
      <c r="H217" s="44">
        <v>280511</v>
      </c>
      <c r="I217" s="44">
        <v>1</v>
      </c>
      <c r="J217" s="44">
        <v>172.22618118585083</v>
      </c>
      <c r="K217" s="61">
        <v>100.34432200000001</v>
      </c>
      <c r="L217" s="44">
        <v>7774</v>
      </c>
      <c r="M217" s="52">
        <v>780076.76116804057</v>
      </c>
      <c r="N217" s="44"/>
      <c r="O217" s="59"/>
      <c r="P217" s="44" t="s">
        <v>81</v>
      </c>
      <c r="Q217" s="52">
        <v>780076.76116804057</v>
      </c>
      <c r="R217" s="71">
        <v>580205.92000000004</v>
      </c>
    </row>
    <row r="218" spans="1:18" x14ac:dyDescent="0.25">
      <c r="A218" s="66" t="s">
        <v>82</v>
      </c>
      <c r="B218" s="105" t="s">
        <v>85</v>
      </c>
      <c r="C218" s="60">
        <v>45805</v>
      </c>
      <c r="D218" s="60">
        <v>45805</v>
      </c>
      <c r="E218" s="44">
        <v>477115</v>
      </c>
      <c r="F218" s="44" t="s">
        <v>124</v>
      </c>
      <c r="G218" s="44" t="s">
        <v>141</v>
      </c>
      <c r="H218" s="44">
        <v>280511</v>
      </c>
      <c r="I218" s="44">
        <v>1</v>
      </c>
      <c r="J218" s="44">
        <v>7.95</v>
      </c>
      <c r="K218" s="61">
        <v>100.347889</v>
      </c>
      <c r="L218" s="44">
        <v>13216</v>
      </c>
      <c r="M218" s="52">
        <v>1326197.7001551669</v>
      </c>
      <c r="N218" s="44"/>
      <c r="O218" s="59"/>
      <c r="P218" s="44" t="s">
        <v>125</v>
      </c>
      <c r="Q218" s="52">
        <v>1326197.7001551669</v>
      </c>
      <c r="R218" s="70">
        <v>-37.6</v>
      </c>
    </row>
    <row r="219" spans="1:18" x14ac:dyDescent="0.25">
      <c r="A219" s="66" t="s">
        <v>82</v>
      </c>
      <c r="B219" s="105" t="s">
        <v>86</v>
      </c>
      <c r="C219" s="60">
        <v>45805</v>
      </c>
      <c r="D219" s="60">
        <v>45805</v>
      </c>
      <c r="E219" s="44">
        <v>477115</v>
      </c>
      <c r="F219" s="44" t="s">
        <v>124</v>
      </c>
      <c r="G219" s="44" t="s">
        <v>141</v>
      </c>
      <c r="H219" s="44">
        <v>280511</v>
      </c>
      <c r="I219" s="44">
        <v>1</v>
      </c>
      <c r="J219" s="44">
        <v>7.95</v>
      </c>
      <c r="K219" s="61">
        <v>100.347889</v>
      </c>
      <c r="L219" s="44">
        <v>595</v>
      </c>
      <c r="M219" s="52">
        <v>59706.993915884101</v>
      </c>
      <c r="N219" s="44"/>
      <c r="O219" s="59"/>
      <c r="P219" s="44" t="s">
        <v>125</v>
      </c>
      <c r="Q219" s="52">
        <v>59706.993915884101</v>
      </c>
      <c r="R219" s="70">
        <v>12.5</v>
      </c>
    </row>
    <row r="220" spans="1:18" x14ac:dyDescent="0.25">
      <c r="A220" s="66" t="s">
        <v>82</v>
      </c>
      <c r="B220" s="105" t="s">
        <v>121</v>
      </c>
      <c r="C220" s="60">
        <v>45805</v>
      </c>
      <c r="D220" s="60">
        <v>45805</v>
      </c>
      <c r="E220" s="44">
        <v>477115</v>
      </c>
      <c r="F220" s="44" t="s">
        <v>124</v>
      </c>
      <c r="G220" s="44" t="s">
        <v>141</v>
      </c>
      <c r="H220" s="44">
        <v>280511</v>
      </c>
      <c r="I220" s="44">
        <v>1</v>
      </c>
      <c r="J220" s="44">
        <v>7.95</v>
      </c>
      <c r="K220" s="61">
        <v>100.347889</v>
      </c>
      <c r="L220" s="44">
        <v>5781</v>
      </c>
      <c r="M220" s="52">
        <v>580111.14592895133</v>
      </c>
      <c r="N220" s="44"/>
      <c r="O220" s="59"/>
      <c r="P220" s="44" t="s">
        <v>125</v>
      </c>
      <c r="Q220" s="52">
        <v>580111.14592895133</v>
      </c>
      <c r="R220" s="70">
        <v>94.8</v>
      </c>
    </row>
    <row r="221" spans="1:18" x14ac:dyDescent="0.25">
      <c r="A221" s="66"/>
      <c r="B221" s="105" t="s">
        <v>85</v>
      </c>
      <c r="C221" s="60">
        <v>45805</v>
      </c>
      <c r="D221" s="60">
        <v>45806</v>
      </c>
      <c r="E221" s="44">
        <v>8374</v>
      </c>
      <c r="F221" s="44" t="s">
        <v>164</v>
      </c>
      <c r="G221" s="44" t="s">
        <v>165</v>
      </c>
      <c r="H221" s="44" t="s">
        <v>94</v>
      </c>
      <c r="I221" s="44"/>
      <c r="J221" s="44"/>
      <c r="K221" s="88">
        <v>1540</v>
      </c>
      <c r="L221" s="44">
        <v>65</v>
      </c>
      <c r="M221" s="52">
        <v>100100</v>
      </c>
      <c r="N221" s="44"/>
      <c r="O221" s="59"/>
      <c r="P221" s="44" t="s">
        <v>125</v>
      </c>
      <c r="Q221" s="52">
        <v>100100</v>
      </c>
      <c r="R221" s="71">
        <v>-100137.60000000001</v>
      </c>
    </row>
    <row r="222" spans="1:18" x14ac:dyDescent="0.25">
      <c r="A222" s="66"/>
      <c r="B222" s="105" t="s">
        <v>85</v>
      </c>
      <c r="C222" s="60">
        <v>45805</v>
      </c>
      <c r="D222" s="60">
        <v>45806</v>
      </c>
      <c r="E222" s="44">
        <v>8374</v>
      </c>
      <c r="F222" s="44" t="s">
        <v>163</v>
      </c>
      <c r="G222" s="44" t="s">
        <v>165</v>
      </c>
      <c r="H222" s="44" t="s">
        <v>94</v>
      </c>
      <c r="I222" s="44"/>
      <c r="J222" s="44"/>
      <c r="K222" s="88">
        <v>1.3859999999999999</v>
      </c>
      <c r="L222" s="44"/>
      <c r="M222" s="44">
        <v>90.09</v>
      </c>
      <c r="N222" s="44"/>
      <c r="O222" s="59">
        <v>14.41</v>
      </c>
      <c r="P222" s="44" t="s">
        <v>125</v>
      </c>
      <c r="Q222" s="44">
        <v>104.5</v>
      </c>
      <c r="R222" s="71">
        <v>-100242.1</v>
      </c>
    </row>
    <row r="223" spans="1:18" x14ac:dyDescent="0.25">
      <c r="A223" s="66"/>
      <c r="B223" s="105" t="s">
        <v>121</v>
      </c>
      <c r="C223" s="60">
        <v>45805</v>
      </c>
      <c r="D223" s="60">
        <v>45806</v>
      </c>
      <c r="E223" s="44">
        <v>8374</v>
      </c>
      <c r="F223" s="44" t="s">
        <v>164</v>
      </c>
      <c r="G223" s="44" t="s">
        <v>165</v>
      </c>
      <c r="H223" s="44" t="s">
        <v>94</v>
      </c>
      <c r="I223" s="44"/>
      <c r="J223" s="44"/>
      <c r="K223" s="88">
        <v>1540</v>
      </c>
      <c r="L223" s="44">
        <v>65</v>
      </c>
      <c r="M223" s="52">
        <v>100100</v>
      </c>
      <c r="N223" s="44"/>
      <c r="O223" s="59"/>
      <c r="P223" s="44" t="s">
        <v>125</v>
      </c>
      <c r="Q223" s="52">
        <v>100100</v>
      </c>
      <c r="R223" s="71">
        <v>-100005.2</v>
      </c>
    </row>
    <row r="224" spans="1:18" x14ac:dyDescent="0.25">
      <c r="A224" s="66"/>
      <c r="B224" s="105" t="s">
        <v>121</v>
      </c>
      <c r="C224" s="60">
        <v>45805</v>
      </c>
      <c r="D224" s="60">
        <v>45806</v>
      </c>
      <c r="E224" s="44">
        <v>8374</v>
      </c>
      <c r="F224" s="44" t="s">
        <v>163</v>
      </c>
      <c r="G224" s="44" t="s">
        <v>165</v>
      </c>
      <c r="H224" s="44" t="s">
        <v>94</v>
      </c>
      <c r="I224" s="44"/>
      <c r="J224" s="44"/>
      <c r="K224" s="88">
        <v>1.3859999999999999</v>
      </c>
      <c r="L224" s="44"/>
      <c r="M224" s="44">
        <v>90.09</v>
      </c>
      <c r="N224" s="44"/>
      <c r="O224" s="59">
        <v>14.41</v>
      </c>
      <c r="P224" s="44" t="s">
        <v>125</v>
      </c>
      <c r="Q224" s="44">
        <v>104.5</v>
      </c>
      <c r="R224" s="71">
        <v>-100109.7</v>
      </c>
    </row>
    <row r="225" spans="1:18" x14ac:dyDescent="0.25">
      <c r="A225" s="66"/>
      <c r="B225" s="105" t="s">
        <v>85</v>
      </c>
      <c r="C225" s="60">
        <v>45805</v>
      </c>
      <c r="D225" s="60">
        <v>45806</v>
      </c>
      <c r="E225" s="44">
        <v>8375</v>
      </c>
      <c r="F225" s="44" t="s">
        <v>164</v>
      </c>
      <c r="G225" s="44" t="s">
        <v>166</v>
      </c>
      <c r="H225" s="44" t="s">
        <v>94</v>
      </c>
      <c r="I225" s="44"/>
      <c r="J225" s="44"/>
      <c r="K225" s="88">
        <v>451.7</v>
      </c>
      <c r="L225" s="44">
        <v>19</v>
      </c>
      <c r="M225" s="52">
        <v>8582.2999999999993</v>
      </c>
      <c r="N225" s="44"/>
      <c r="O225" s="59"/>
      <c r="P225" s="44" t="s">
        <v>125</v>
      </c>
      <c r="Q225" s="52">
        <v>8582.2999999999993</v>
      </c>
      <c r="R225" s="71">
        <v>-108824.40000000001</v>
      </c>
    </row>
    <row r="226" spans="1:18" x14ac:dyDescent="0.25">
      <c r="A226" s="66"/>
      <c r="B226" s="105" t="s">
        <v>85</v>
      </c>
      <c r="C226" s="60">
        <v>45805</v>
      </c>
      <c r="D226" s="60">
        <v>45806</v>
      </c>
      <c r="E226" s="44">
        <v>8375</v>
      </c>
      <c r="F226" s="44" t="s">
        <v>163</v>
      </c>
      <c r="G226" s="44" t="s">
        <v>166</v>
      </c>
      <c r="H226" s="44" t="s">
        <v>94</v>
      </c>
      <c r="I226" s="44"/>
      <c r="J226" s="44"/>
      <c r="K226" s="88">
        <v>0.40649999999999997</v>
      </c>
      <c r="L226" s="44"/>
      <c r="M226" s="44">
        <v>7.72</v>
      </c>
      <c r="N226" s="44"/>
      <c r="O226" s="59">
        <v>1.24</v>
      </c>
      <c r="P226" s="44" t="s">
        <v>125</v>
      </c>
      <c r="Q226" s="44">
        <v>8.9600000000000009</v>
      </c>
      <c r="R226" s="71">
        <v>-108833.36000000002</v>
      </c>
    </row>
    <row r="227" spans="1:18" x14ac:dyDescent="0.25">
      <c r="A227" s="66"/>
      <c r="B227" s="105" t="s">
        <v>85</v>
      </c>
      <c r="C227" s="60">
        <v>45805</v>
      </c>
      <c r="D227" s="60">
        <v>45806</v>
      </c>
      <c r="E227" s="44">
        <v>8375</v>
      </c>
      <c r="F227" s="44" t="s">
        <v>164</v>
      </c>
      <c r="G227" s="44" t="s">
        <v>166</v>
      </c>
      <c r="H227" s="44" t="s">
        <v>94</v>
      </c>
      <c r="I227" s="44"/>
      <c r="J227" s="44"/>
      <c r="K227" s="88">
        <v>457</v>
      </c>
      <c r="L227" s="44">
        <v>202</v>
      </c>
      <c r="M227" s="52">
        <v>92314</v>
      </c>
      <c r="N227" s="44"/>
      <c r="O227" s="59"/>
      <c r="P227" s="44" t="s">
        <v>125</v>
      </c>
      <c r="Q227" s="52">
        <v>92314</v>
      </c>
      <c r="R227" s="71">
        <v>-201147.36000000002</v>
      </c>
    </row>
    <row r="228" spans="1:18" x14ac:dyDescent="0.25">
      <c r="A228" s="66"/>
      <c r="B228" s="105" t="s">
        <v>85</v>
      </c>
      <c r="C228" s="60">
        <v>45805</v>
      </c>
      <c r="D228" s="60">
        <v>45806</v>
      </c>
      <c r="E228" s="44">
        <v>8375</v>
      </c>
      <c r="F228" s="44" t="s">
        <v>163</v>
      </c>
      <c r="G228" s="44" t="s">
        <v>166</v>
      </c>
      <c r="H228" s="44" t="s">
        <v>94</v>
      </c>
      <c r="I228" s="44"/>
      <c r="J228" s="44"/>
      <c r="K228" s="88">
        <v>0.4113</v>
      </c>
      <c r="L228" s="44"/>
      <c r="M228" s="44">
        <v>83.08</v>
      </c>
      <c r="N228" s="44"/>
      <c r="O228" s="59">
        <v>13.29</v>
      </c>
      <c r="P228" s="44" t="s">
        <v>125</v>
      </c>
      <c r="Q228" s="44">
        <v>96.38</v>
      </c>
      <c r="R228" s="71">
        <v>-201243.74000000002</v>
      </c>
    </row>
    <row r="229" spans="1:18" x14ac:dyDescent="0.25">
      <c r="A229" s="66"/>
      <c r="B229" s="105" t="s">
        <v>121</v>
      </c>
      <c r="C229" s="60">
        <v>45805</v>
      </c>
      <c r="D229" s="60">
        <v>45806</v>
      </c>
      <c r="E229" s="44">
        <v>8375</v>
      </c>
      <c r="F229" s="44" t="s">
        <v>164</v>
      </c>
      <c r="G229" s="44" t="s">
        <v>166</v>
      </c>
      <c r="H229" s="44" t="s">
        <v>94</v>
      </c>
      <c r="I229" s="44"/>
      <c r="J229" s="44"/>
      <c r="K229" s="88">
        <v>457</v>
      </c>
      <c r="L229" s="44">
        <v>221</v>
      </c>
      <c r="M229" s="52">
        <v>100997</v>
      </c>
      <c r="N229" s="44"/>
      <c r="O229" s="59"/>
      <c r="P229" s="44" t="s">
        <v>125</v>
      </c>
      <c r="Q229" s="52">
        <v>100997</v>
      </c>
      <c r="R229" s="71">
        <v>-201106.7</v>
      </c>
    </row>
    <row r="230" spans="1:18" x14ac:dyDescent="0.25">
      <c r="A230" s="66"/>
      <c r="B230" s="105" t="s">
        <v>121</v>
      </c>
      <c r="C230" s="60">
        <v>45805</v>
      </c>
      <c r="D230" s="60">
        <v>45806</v>
      </c>
      <c r="E230" s="44">
        <v>8375</v>
      </c>
      <c r="F230" s="44" t="s">
        <v>163</v>
      </c>
      <c r="G230" s="44" t="s">
        <v>166</v>
      </c>
      <c r="H230" s="44" t="s">
        <v>94</v>
      </c>
      <c r="I230" s="44"/>
      <c r="J230" s="44"/>
      <c r="K230" s="88">
        <v>0.4113</v>
      </c>
      <c r="L230" s="44"/>
      <c r="M230" s="44">
        <v>90.9</v>
      </c>
      <c r="N230" s="44"/>
      <c r="O230" s="59">
        <v>14.54</v>
      </c>
      <c r="P230" s="44" t="s">
        <v>125</v>
      </c>
      <c r="Q230" s="44">
        <v>105.44</v>
      </c>
      <c r="R230" s="71">
        <v>-201212.14</v>
      </c>
    </row>
    <row r="231" spans="1:18" x14ac:dyDescent="0.25">
      <c r="A231" s="66" t="s">
        <v>82</v>
      </c>
      <c r="B231" s="105" t="s">
        <v>85</v>
      </c>
      <c r="C231" s="60">
        <v>45805</v>
      </c>
      <c r="D231" s="60">
        <v>45806</v>
      </c>
      <c r="E231" s="44">
        <v>477115</v>
      </c>
      <c r="F231" s="44" t="s">
        <v>83</v>
      </c>
      <c r="G231" s="44" t="s">
        <v>141</v>
      </c>
      <c r="H231" s="44">
        <v>280511</v>
      </c>
      <c r="I231" s="44">
        <v>1</v>
      </c>
      <c r="J231" s="44">
        <v>292.86742343813813</v>
      </c>
      <c r="K231" s="61">
        <v>100.37004899999999</v>
      </c>
      <c r="L231" s="44">
        <v>13216</v>
      </c>
      <c r="M231" s="52">
        <v>1326490.5675786079</v>
      </c>
      <c r="N231" s="44"/>
      <c r="O231" s="59"/>
      <c r="P231" s="44" t="s">
        <v>81</v>
      </c>
      <c r="Q231" s="52">
        <v>1326490.5675786079</v>
      </c>
      <c r="R231" s="71">
        <v>1125246.83</v>
      </c>
    </row>
    <row r="232" spans="1:18" x14ac:dyDescent="0.25">
      <c r="A232" s="66" t="s">
        <v>82</v>
      </c>
      <c r="B232" s="105" t="s">
        <v>86</v>
      </c>
      <c r="C232" s="60">
        <v>45805</v>
      </c>
      <c r="D232" s="60">
        <v>45806</v>
      </c>
      <c r="E232" s="44">
        <v>477115</v>
      </c>
      <c r="F232" s="44" t="s">
        <v>83</v>
      </c>
      <c r="G232" s="44" t="s">
        <v>141</v>
      </c>
      <c r="H232" s="44">
        <v>280511</v>
      </c>
      <c r="I232" s="44">
        <v>1</v>
      </c>
      <c r="J232" s="44">
        <v>13.185238873009395</v>
      </c>
      <c r="K232" s="61">
        <v>100.37004899999999</v>
      </c>
      <c r="L232" s="44">
        <v>595</v>
      </c>
      <c r="M232" s="52">
        <v>59720.179154757243</v>
      </c>
      <c r="N232" s="44"/>
      <c r="O232" s="59"/>
      <c r="P232" s="44" t="s">
        <v>81</v>
      </c>
      <c r="Q232" s="52">
        <v>59720.179154757243</v>
      </c>
      <c r="R232" s="71">
        <v>59732.68</v>
      </c>
    </row>
    <row r="233" spans="1:18" x14ac:dyDescent="0.25">
      <c r="A233" s="66" t="s">
        <v>82</v>
      </c>
      <c r="B233" s="105" t="s">
        <v>121</v>
      </c>
      <c r="C233" s="60">
        <v>45805</v>
      </c>
      <c r="D233" s="60">
        <v>45806</v>
      </c>
      <c r="E233" s="44">
        <v>477115</v>
      </c>
      <c r="F233" s="44" t="s">
        <v>83</v>
      </c>
      <c r="G233" s="44" t="s">
        <v>141</v>
      </c>
      <c r="H233" s="44">
        <v>280511</v>
      </c>
      <c r="I233" s="44">
        <v>1</v>
      </c>
      <c r="J233" s="44">
        <v>128.10733768885262</v>
      </c>
      <c r="K233" s="61">
        <v>100.37004899999999</v>
      </c>
      <c r="L233" s="44">
        <v>5781</v>
      </c>
      <c r="M233" s="52">
        <v>580239.2532666414</v>
      </c>
      <c r="N233" s="44"/>
      <c r="O233" s="59"/>
      <c r="P233" s="44" t="s">
        <v>81</v>
      </c>
      <c r="Q233" s="52">
        <v>580239.2532666414</v>
      </c>
      <c r="R233" s="71">
        <v>379027.11</v>
      </c>
    </row>
    <row r="234" spans="1:18" x14ac:dyDescent="0.25">
      <c r="A234" s="66" t="s">
        <v>82</v>
      </c>
      <c r="B234" s="105" t="s">
        <v>85</v>
      </c>
      <c r="C234" s="60">
        <v>45806</v>
      </c>
      <c r="D234" s="60">
        <v>45806</v>
      </c>
      <c r="E234" s="44">
        <v>478500</v>
      </c>
      <c r="F234" s="44" t="s">
        <v>124</v>
      </c>
      <c r="G234" s="44" t="s">
        <v>141</v>
      </c>
      <c r="H234" s="44">
        <v>260507</v>
      </c>
      <c r="I234" s="44">
        <v>1</v>
      </c>
      <c r="J234" s="44">
        <v>7.95</v>
      </c>
      <c r="K234" s="61">
        <v>100.558137</v>
      </c>
      <c r="L234" s="44">
        <v>11190</v>
      </c>
      <c r="M234" s="52">
        <v>1125245.5496045733</v>
      </c>
      <c r="N234" s="44"/>
      <c r="O234" s="59"/>
      <c r="P234" s="44" t="s">
        <v>125</v>
      </c>
      <c r="Q234" s="52">
        <v>1125245.5496045733</v>
      </c>
      <c r="R234" s="70">
        <v>1.28</v>
      </c>
    </row>
    <row r="235" spans="1:18" x14ac:dyDescent="0.25">
      <c r="A235" s="66" t="s">
        <v>82</v>
      </c>
      <c r="B235" s="105" t="s">
        <v>86</v>
      </c>
      <c r="C235" s="60">
        <v>45806</v>
      </c>
      <c r="D235" s="60">
        <v>45806</v>
      </c>
      <c r="E235" s="44">
        <v>478500</v>
      </c>
      <c r="F235" s="44" t="s">
        <v>124</v>
      </c>
      <c r="G235" s="44" t="s">
        <v>141</v>
      </c>
      <c r="H235" s="44">
        <v>260507</v>
      </c>
      <c r="I235" s="44">
        <v>1</v>
      </c>
      <c r="J235" s="44">
        <v>7.95</v>
      </c>
      <c r="K235" s="61">
        <v>100.558137</v>
      </c>
      <c r="L235" s="44">
        <v>594</v>
      </c>
      <c r="M235" s="52">
        <v>59731.533196167686</v>
      </c>
      <c r="N235" s="44"/>
      <c r="O235" s="59"/>
      <c r="P235" s="44" t="s">
        <v>125</v>
      </c>
      <c r="Q235" s="52">
        <v>59731.533196167686</v>
      </c>
      <c r="R235" s="70">
        <v>1.1499999999999999</v>
      </c>
    </row>
    <row r="236" spans="1:18" x14ac:dyDescent="0.25">
      <c r="A236" s="66" t="s">
        <v>82</v>
      </c>
      <c r="B236" s="105" t="s">
        <v>121</v>
      </c>
      <c r="C236" s="60">
        <v>45806</v>
      </c>
      <c r="D236" s="60">
        <v>45806</v>
      </c>
      <c r="E236" s="44">
        <v>478500</v>
      </c>
      <c r="F236" s="44" t="s">
        <v>124</v>
      </c>
      <c r="G236" s="44" t="s">
        <v>141</v>
      </c>
      <c r="H236" s="44">
        <v>260507</v>
      </c>
      <c r="I236" s="44">
        <v>1</v>
      </c>
      <c r="J236" s="44">
        <v>7.95</v>
      </c>
      <c r="K236" s="61">
        <v>100.558137</v>
      </c>
      <c r="L236" s="44">
        <v>3769</v>
      </c>
      <c r="M236" s="52">
        <v>379003.61719925253</v>
      </c>
      <c r="N236" s="44"/>
      <c r="O236" s="59"/>
      <c r="P236" s="44" t="s">
        <v>125</v>
      </c>
      <c r="Q236" s="52">
        <v>379003.61719925253</v>
      </c>
      <c r="R236" s="70">
        <v>23.49</v>
      </c>
    </row>
    <row r="237" spans="1:18" x14ac:dyDescent="0.25">
      <c r="A237" s="66" t="s">
        <v>82</v>
      </c>
      <c r="B237" s="105" t="s">
        <v>85</v>
      </c>
      <c r="C237" s="60">
        <v>45806</v>
      </c>
      <c r="D237" s="60">
        <v>45807</v>
      </c>
      <c r="E237" s="44">
        <v>478500</v>
      </c>
      <c r="F237" s="44" t="s">
        <v>83</v>
      </c>
      <c r="G237" s="44" t="s">
        <v>141</v>
      </c>
      <c r="H237" s="44">
        <v>260507</v>
      </c>
      <c r="I237" s="44">
        <v>1</v>
      </c>
      <c r="J237" s="44">
        <v>248.48519899697772</v>
      </c>
      <c r="K237" s="61">
        <v>100.580343</v>
      </c>
      <c r="L237" s="44">
        <v>11190</v>
      </c>
      <c r="M237" s="52">
        <v>1125494.0348035779</v>
      </c>
      <c r="N237" s="44"/>
      <c r="O237" s="59"/>
      <c r="P237" s="44" t="s">
        <v>81</v>
      </c>
      <c r="Q237" s="52">
        <v>1125494.0348035779</v>
      </c>
      <c r="R237" s="71">
        <v>1125495.31</v>
      </c>
    </row>
    <row r="238" spans="1:18" x14ac:dyDescent="0.25">
      <c r="A238" s="66" t="s">
        <v>82</v>
      </c>
      <c r="B238" s="105" t="s">
        <v>86</v>
      </c>
      <c r="C238" s="60">
        <v>45806</v>
      </c>
      <c r="D238" s="60">
        <v>45807</v>
      </c>
      <c r="E238" s="44">
        <v>478500</v>
      </c>
      <c r="F238" s="44" t="s">
        <v>83</v>
      </c>
      <c r="G238" s="44" t="s">
        <v>141</v>
      </c>
      <c r="H238" s="44">
        <v>260507</v>
      </c>
      <c r="I238" s="44">
        <v>1</v>
      </c>
      <c r="J238" s="44">
        <v>13.19036713174305</v>
      </c>
      <c r="K238" s="61">
        <v>100.580343</v>
      </c>
      <c r="L238" s="44">
        <v>594</v>
      </c>
      <c r="M238" s="52">
        <v>59744.723563299856</v>
      </c>
      <c r="N238" s="44"/>
      <c r="O238" s="59"/>
      <c r="P238" s="44" t="s">
        <v>81</v>
      </c>
      <c r="Q238" s="52">
        <v>59744.723563299856</v>
      </c>
      <c r="R238" s="71">
        <v>59745.87</v>
      </c>
    </row>
    <row r="239" spans="1:18" x14ac:dyDescent="0.25">
      <c r="A239" s="66" t="s">
        <v>82</v>
      </c>
      <c r="B239" s="105" t="s">
        <v>121</v>
      </c>
      <c r="C239" s="60">
        <v>45806</v>
      </c>
      <c r="D239" s="60">
        <v>45807</v>
      </c>
      <c r="E239" s="44">
        <v>478500</v>
      </c>
      <c r="F239" s="44" t="s">
        <v>83</v>
      </c>
      <c r="G239" s="44" t="s">
        <v>141</v>
      </c>
      <c r="H239" s="44">
        <v>260507</v>
      </c>
      <c r="I239" s="44">
        <v>1</v>
      </c>
      <c r="J239" s="44">
        <v>83.694433871278719</v>
      </c>
      <c r="K239" s="61">
        <v>100.580343</v>
      </c>
      <c r="L239" s="44">
        <v>3769</v>
      </c>
      <c r="M239" s="52">
        <v>379087.31163312652</v>
      </c>
      <c r="N239" s="44"/>
      <c r="O239" s="59"/>
      <c r="P239" s="44" t="s">
        <v>81</v>
      </c>
      <c r="Q239" s="52">
        <v>379087.31163312652</v>
      </c>
      <c r="R239" s="71">
        <v>379110.8</v>
      </c>
    </row>
    <row r="240" spans="1:18" x14ac:dyDescent="0.25">
      <c r="A240" s="66" t="s">
        <v>82</v>
      </c>
      <c r="B240" s="105" t="s">
        <v>85</v>
      </c>
      <c r="C240" s="60">
        <v>45807</v>
      </c>
      <c r="D240" s="60">
        <v>45807</v>
      </c>
      <c r="E240" s="44">
        <v>480114</v>
      </c>
      <c r="F240" s="44" t="s">
        <v>124</v>
      </c>
      <c r="G240" s="44" t="s">
        <v>141</v>
      </c>
      <c r="H240" s="44">
        <v>280511</v>
      </c>
      <c r="I240" s="44">
        <v>3</v>
      </c>
      <c r="J240" s="44">
        <v>7.95</v>
      </c>
      <c r="K240" s="61">
        <v>100.346898</v>
      </c>
      <c r="L240" s="44">
        <v>11216</v>
      </c>
      <c r="M240" s="52">
        <v>1125490.8058656729</v>
      </c>
      <c r="N240" s="44"/>
      <c r="O240" s="59"/>
      <c r="P240" s="44" t="s">
        <v>125</v>
      </c>
      <c r="Q240" s="52">
        <v>1125490.8058656729</v>
      </c>
      <c r="R240" s="70">
        <v>4.5</v>
      </c>
    </row>
    <row r="241" spans="1:18" x14ac:dyDescent="0.25">
      <c r="A241" s="66" t="s">
        <v>82</v>
      </c>
      <c r="B241" s="105" t="s">
        <v>86</v>
      </c>
      <c r="C241" s="60">
        <v>45807</v>
      </c>
      <c r="D241" s="60">
        <v>45807</v>
      </c>
      <c r="E241" s="44">
        <v>480114</v>
      </c>
      <c r="F241" s="44" t="s">
        <v>124</v>
      </c>
      <c r="G241" s="44" t="s">
        <v>141</v>
      </c>
      <c r="H241" s="44">
        <v>280511</v>
      </c>
      <c r="I241" s="44">
        <v>3</v>
      </c>
      <c r="J241" s="44">
        <v>7.95</v>
      </c>
      <c r="K241" s="61">
        <v>100.346898</v>
      </c>
      <c r="L241" s="44">
        <v>595</v>
      </c>
      <c r="M241" s="52">
        <v>59706.404198473203</v>
      </c>
      <c r="N241" s="44"/>
      <c r="O241" s="59"/>
      <c r="P241" s="44" t="s">
        <v>125</v>
      </c>
      <c r="Q241" s="52">
        <v>59706.404198473203</v>
      </c>
      <c r="R241" s="70">
        <v>39.47</v>
      </c>
    </row>
    <row r="242" spans="1:18" x14ac:dyDescent="0.25">
      <c r="A242" s="66" t="s">
        <v>82</v>
      </c>
      <c r="B242" s="105" t="s">
        <v>121</v>
      </c>
      <c r="C242" s="60">
        <v>45807</v>
      </c>
      <c r="D242" s="60">
        <v>45807</v>
      </c>
      <c r="E242" s="44">
        <v>480114</v>
      </c>
      <c r="F242" s="44" t="s">
        <v>124</v>
      </c>
      <c r="G242" s="44" t="s">
        <v>141</v>
      </c>
      <c r="H242" s="44">
        <v>280511</v>
      </c>
      <c r="I242" s="44">
        <v>3</v>
      </c>
      <c r="J242" s="44">
        <v>7.95</v>
      </c>
      <c r="K242" s="61">
        <v>100.346898</v>
      </c>
      <c r="L242" s="44">
        <v>3778</v>
      </c>
      <c r="M242" s="52">
        <v>379110.57993585168</v>
      </c>
      <c r="N242" s="44"/>
      <c r="O242" s="59"/>
      <c r="P242" s="44" t="s">
        <v>125</v>
      </c>
      <c r="Q242" s="52">
        <v>379110.57993585168</v>
      </c>
      <c r="R242" s="70">
        <v>0.22</v>
      </c>
    </row>
    <row r="243" spans="1:18" x14ac:dyDescent="0.25">
      <c r="A243" s="97"/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9"/>
    </row>
    <row r="244" spans="1:18" x14ac:dyDescent="0.25">
      <c r="A244" s="64"/>
      <c r="B244" s="102"/>
      <c r="R244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633" r:id="rId4" name="Button 1">
              <controlPr defaultSize="0" print="0" autoFill="0" autoPict="0" macro="[0]!Corregir">
                <anchor moveWithCells="1" sizeWithCells="1">
                  <from>
                    <xdr:col>17</xdr:col>
                    <xdr:colOff>457200</xdr:colOff>
                    <xdr:row>0</xdr:row>
                    <xdr:rowOff>381000</xdr:rowOff>
                  </from>
                  <to>
                    <xdr:col>19</xdr:col>
                    <xdr:colOff>200025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4" r:id="rId5" name="Button 2">
              <controlPr defaultSize="0" print="0" autoFill="0" autoPict="0" macro="[0]!AcualizarMovimientos">
                <anchor moveWithCells="1" sizeWithCells="1">
                  <from>
                    <xdr:col>19</xdr:col>
                    <xdr:colOff>257175</xdr:colOff>
                    <xdr:row>0</xdr:row>
                    <xdr:rowOff>381000</xdr:rowOff>
                  </from>
                  <to>
                    <xdr:col>20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5" r:id="rId6" name="Button 3">
              <controlPr defaultSize="0" print="0" autoFill="0" autoPict="0" macro="[0]!AgregarMovimentos">
                <anchor moveWithCells="1" sizeWithCells="1">
                  <from>
                    <xdr:col>17</xdr:col>
                    <xdr:colOff>457200</xdr:colOff>
                    <xdr:row>2</xdr:row>
                    <xdr:rowOff>104775</xdr:rowOff>
                  </from>
                  <to>
                    <xdr:col>19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6" r:id="rId7" name="Button 4">
              <controlPr defaultSize="0" print="0" autoFill="0" autoPict="0" macro="[0]!PDFActiveSheet">
                <anchor moveWithCells="1" sizeWithCells="1">
                  <from>
                    <xdr:col>19</xdr:col>
                    <xdr:colOff>257175</xdr:colOff>
                    <xdr:row>2</xdr:row>
                    <xdr:rowOff>104775</xdr:rowOff>
                  </from>
                  <to>
                    <xdr:col>20</xdr:col>
                    <xdr:colOff>714375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3D069-8984-49E8-ABE1-9B30EF2D166F}">
  <dimension ref="A1:S64"/>
  <sheetViews>
    <sheetView topLeftCell="A47" workbookViewId="0">
      <selection activeCell="O60" sqref="O60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28515625" bestFit="1" customWidth="1"/>
    <col min="14" max="14" width="10.7109375" customWidth="1"/>
    <col min="15" max="15" width="11.8554687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16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16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45808</v>
      </c>
      <c r="N4" s="14" t="s">
        <v>24</v>
      </c>
      <c r="O4" s="16">
        <v>45808</v>
      </c>
      <c r="R4" s="65"/>
    </row>
    <row r="5" spans="1:19" x14ac:dyDescent="0.25">
      <c r="A5" s="67" t="s">
        <v>25</v>
      </c>
      <c r="B5" s="116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02"/>
      <c r="R6" s="65"/>
    </row>
    <row r="7" spans="1:19" x14ac:dyDescent="0.25">
      <c r="A7" s="17" t="s">
        <v>31</v>
      </c>
      <c r="B7" s="104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/>
    </row>
    <row r="8" spans="1:19" x14ac:dyDescent="0.25">
      <c r="A8" s="17"/>
      <c r="B8" s="104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05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10.76</v>
      </c>
      <c r="O9" s="120">
        <v>89569.47</v>
      </c>
      <c r="P9" s="55">
        <v>-5497.8000000000029</v>
      </c>
      <c r="Q9" s="49">
        <v>-5.7799999999999997E-2</v>
      </c>
      <c r="R9" s="68">
        <v>2.9522297386923939E-3</v>
      </c>
      <c r="S9" s="20"/>
    </row>
    <row r="10" spans="1:19" x14ac:dyDescent="0.25">
      <c r="A10" s="66" t="s">
        <v>82</v>
      </c>
      <c r="B10" s="105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10.76</v>
      </c>
      <c r="O10" s="120">
        <v>21497.53</v>
      </c>
      <c r="P10" s="55">
        <v>-1319.5300000000025</v>
      </c>
      <c r="Q10" s="49">
        <v>-5.7799999999999997E-2</v>
      </c>
      <c r="R10" s="68">
        <v>7.0856339078965069E-4</v>
      </c>
      <c r="S10" s="20"/>
    </row>
    <row r="11" spans="1:19" x14ac:dyDescent="0.25">
      <c r="A11" s="66" t="s">
        <v>82</v>
      </c>
      <c r="B11" s="105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75737</v>
      </c>
      <c r="J11" s="89">
        <v>3.4191780000000001</v>
      </c>
      <c r="K11" s="52">
        <v>258958.28</v>
      </c>
      <c r="L11" s="89">
        <v>3.4227479999999999</v>
      </c>
      <c r="M11" s="52">
        <v>259228.67</v>
      </c>
      <c r="N11" s="90">
        <v>3.23</v>
      </c>
      <c r="O11" s="120">
        <v>244375.12</v>
      </c>
      <c r="P11" s="55">
        <v>-14853.550000000017</v>
      </c>
      <c r="Q11" s="49">
        <v>-5.7299999999999997E-2</v>
      </c>
      <c r="R11" s="68">
        <v>8.0546585422524263E-3</v>
      </c>
      <c r="S11" s="20"/>
    </row>
    <row r="12" spans="1:19" x14ac:dyDescent="0.25">
      <c r="A12" s="66" t="s">
        <v>82</v>
      </c>
      <c r="B12" s="105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13873</v>
      </c>
      <c r="J12" s="89">
        <v>3.4191780000000001</v>
      </c>
      <c r="K12" s="52">
        <v>47434.26</v>
      </c>
      <c r="L12" s="89">
        <v>3.4227479999999999</v>
      </c>
      <c r="M12" s="52">
        <v>47483.78</v>
      </c>
      <c r="N12" s="90">
        <v>3.23</v>
      </c>
      <c r="O12" s="120">
        <v>44763.01</v>
      </c>
      <c r="P12" s="55">
        <v>-2720.7699999999968</v>
      </c>
      <c r="Q12" s="49">
        <v>-5.7299999999999997E-2</v>
      </c>
      <c r="R12" s="68">
        <v>1.4753988084933965E-3</v>
      </c>
      <c r="S12" s="20"/>
    </row>
    <row r="13" spans="1:19" x14ac:dyDescent="0.25">
      <c r="A13" s="66" t="s">
        <v>82</v>
      </c>
      <c r="B13" s="105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9">
        <v>35.516807</v>
      </c>
      <c r="K13" s="52">
        <v>293013.65999999997</v>
      </c>
      <c r="L13" s="89">
        <v>35.553887000000003</v>
      </c>
      <c r="M13" s="52">
        <v>293319.57</v>
      </c>
      <c r="N13" s="90">
        <v>42.36</v>
      </c>
      <c r="O13" s="120">
        <v>349105.16</v>
      </c>
      <c r="P13" s="56">
        <v>55785.589999999967</v>
      </c>
      <c r="Q13" s="50">
        <v>0.19020000000000001</v>
      </c>
      <c r="R13" s="68">
        <v>1.1506584054622253E-2</v>
      </c>
      <c r="S13" s="20"/>
    </row>
    <row r="14" spans="1:19" x14ac:dyDescent="0.25">
      <c r="A14" s="66" t="s">
        <v>82</v>
      </c>
      <c r="B14" s="105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9">
        <v>35.516807</v>
      </c>
      <c r="K14" s="52">
        <v>293013.65999999997</v>
      </c>
      <c r="L14" s="89">
        <v>35.553887000000003</v>
      </c>
      <c r="M14" s="52">
        <v>293319.57</v>
      </c>
      <c r="N14" s="90">
        <v>42.36</v>
      </c>
      <c r="O14" s="120">
        <v>349105.16</v>
      </c>
      <c r="P14" s="56">
        <v>55785.589999999967</v>
      </c>
      <c r="Q14" s="50">
        <v>0.19020000000000001</v>
      </c>
      <c r="R14" s="68">
        <v>1.1506584054622253E-2</v>
      </c>
      <c r="S14" s="20"/>
    </row>
    <row r="15" spans="1:19" x14ac:dyDescent="0.25">
      <c r="A15" s="66" t="s">
        <v>82</v>
      </c>
      <c r="B15" s="105" t="s">
        <v>85</v>
      </c>
      <c r="C15" s="44" t="s">
        <v>135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9">
        <v>20.855626999999998</v>
      </c>
      <c r="K15" s="52">
        <v>99293.64</v>
      </c>
      <c r="L15" s="89">
        <v>20.877400999999999</v>
      </c>
      <c r="M15" s="52">
        <v>99397.31</v>
      </c>
      <c r="N15" s="90">
        <v>28.17</v>
      </c>
      <c r="O15" s="120">
        <v>133977.35</v>
      </c>
      <c r="P15" s="56">
        <v>34580.040000000008</v>
      </c>
      <c r="Q15" s="50">
        <v>0.34789999999999999</v>
      </c>
      <c r="R15" s="68">
        <v>4.4159233830589756E-3</v>
      </c>
      <c r="S15" s="20"/>
    </row>
    <row r="16" spans="1:19" x14ac:dyDescent="0.25">
      <c r="A16" s="66" t="s">
        <v>82</v>
      </c>
      <c r="B16" s="105" t="s">
        <v>121</v>
      </c>
      <c r="C16" s="44" t="s">
        <v>135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9">
        <v>20.855626999999998</v>
      </c>
      <c r="K16" s="52">
        <v>41711.25</v>
      </c>
      <c r="L16" s="89">
        <v>20.877400999999999</v>
      </c>
      <c r="M16" s="52">
        <v>41754.800000000003</v>
      </c>
      <c r="N16" s="90">
        <v>28.17</v>
      </c>
      <c r="O16" s="120">
        <v>56281.18</v>
      </c>
      <c r="P16" s="56">
        <v>14526.379999999997</v>
      </c>
      <c r="Q16" s="50">
        <v>0.34789999999999999</v>
      </c>
      <c r="R16" s="68">
        <v>1.8550402645533079E-3</v>
      </c>
      <c r="S16" s="20"/>
    </row>
    <row r="17" spans="1:19" x14ac:dyDescent="0.25">
      <c r="A17" s="66" t="s">
        <v>82</v>
      </c>
      <c r="B17" s="105" t="s">
        <v>85</v>
      </c>
      <c r="C17" s="44" t="s">
        <v>136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9">
        <v>26.527425999999998</v>
      </c>
      <c r="K17" s="52">
        <v>553017.25</v>
      </c>
      <c r="L17" s="89">
        <v>26.555122000000001</v>
      </c>
      <c r="M17" s="52">
        <v>553594.63</v>
      </c>
      <c r="N17" s="90">
        <v>23.43</v>
      </c>
      <c r="O17" s="120">
        <v>487935.27</v>
      </c>
      <c r="P17" s="55">
        <v>-65659.359999999986</v>
      </c>
      <c r="Q17" s="49">
        <v>-0.1186</v>
      </c>
      <c r="R17" s="68">
        <v>1.6082455491261728E-2</v>
      </c>
      <c r="S17" s="20"/>
    </row>
    <row r="18" spans="1:19" x14ac:dyDescent="0.25">
      <c r="A18" s="66" t="s">
        <v>82</v>
      </c>
      <c r="B18" s="105" t="s">
        <v>121</v>
      </c>
      <c r="C18" s="44" t="s">
        <v>136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9">
        <v>26.527425999999998</v>
      </c>
      <c r="K18" s="52">
        <v>552805.03</v>
      </c>
      <c r="L18" s="89">
        <v>26.555122000000001</v>
      </c>
      <c r="M18" s="52">
        <v>553382.18999999994</v>
      </c>
      <c r="N18" s="90">
        <v>23.43</v>
      </c>
      <c r="O18" s="120">
        <v>487748.03</v>
      </c>
      <c r="P18" s="55">
        <v>-65634.159999999916</v>
      </c>
      <c r="Q18" s="49">
        <v>-0.1186</v>
      </c>
      <c r="R18" s="68">
        <v>1.6076284019037178E-2</v>
      </c>
      <c r="S18" s="20"/>
    </row>
    <row r="19" spans="1:19" x14ac:dyDescent="0.25">
      <c r="A19" s="66" t="s">
        <v>82</v>
      </c>
      <c r="B19" s="105" t="s">
        <v>121</v>
      </c>
      <c r="C19" s="44" t="s">
        <v>101</v>
      </c>
      <c r="D19" s="44" t="s">
        <v>102</v>
      </c>
      <c r="E19" s="44">
        <v>14</v>
      </c>
      <c r="F19" s="20">
        <v>0</v>
      </c>
      <c r="G19" s="20">
        <v>0</v>
      </c>
      <c r="H19" s="20">
        <v>0</v>
      </c>
      <c r="I19" s="34">
        <v>1575</v>
      </c>
      <c r="J19" s="89">
        <v>201.06692799999999</v>
      </c>
      <c r="K19" s="52">
        <v>316680.40999999997</v>
      </c>
      <c r="L19" s="89">
        <v>201.27684199999999</v>
      </c>
      <c r="M19" s="52">
        <v>317011.03000000003</v>
      </c>
      <c r="N19" s="90">
        <v>206.35</v>
      </c>
      <c r="O19" s="120">
        <v>324661.95</v>
      </c>
      <c r="P19" s="56">
        <v>7650.9199999999837</v>
      </c>
      <c r="Q19" s="50">
        <v>2.41E-2</v>
      </c>
      <c r="R19" s="68">
        <v>1.0700930393044226E-2</v>
      </c>
      <c r="S19" s="20"/>
    </row>
    <row r="20" spans="1:19" x14ac:dyDescent="0.25">
      <c r="A20" s="66" t="s">
        <v>82</v>
      </c>
      <c r="B20" s="105" t="s">
        <v>85</v>
      </c>
      <c r="C20" s="44" t="s">
        <v>101</v>
      </c>
      <c r="D20" s="44" t="s">
        <v>102</v>
      </c>
      <c r="E20" s="44">
        <v>14</v>
      </c>
      <c r="F20" s="20">
        <v>0</v>
      </c>
      <c r="G20" s="20">
        <v>0</v>
      </c>
      <c r="H20" s="20">
        <v>0</v>
      </c>
      <c r="I20" s="34">
        <v>1275</v>
      </c>
      <c r="J20" s="89">
        <v>201.06692799999999</v>
      </c>
      <c r="K20" s="52">
        <v>256360.33</v>
      </c>
      <c r="L20" s="89">
        <v>201.27684199999999</v>
      </c>
      <c r="M20" s="52">
        <v>256627.97</v>
      </c>
      <c r="N20" s="90">
        <v>206.35</v>
      </c>
      <c r="O20" s="120">
        <v>262821.58</v>
      </c>
      <c r="P20" s="56">
        <v>6193.6100000000151</v>
      </c>
      <c r="Q20" s="50">
        <v>2.41E-2</v>
      </c>
      <c r="R20" s="68">
        <v>8.6626579843123129E-3</v>
      </c>
      <c r="S20" s="20"/>
    </row>
    <row r="21" spans="1:19" x14ac:dyDescent="0.25">
      <c r="A21" s="66" t="s">
        <v>82</v>
      </c>
      <c r="B21" s="105" t="s">
        <v>85</v>
      </c>
      <c r="C21" s="44" t="s">
        <v>147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20700</v>
      </c>
      <c r="J21" s="89">
        <v>9.7175060000000002</v>
      </c>
      <c r="K21" s="52">
        <v>201152.37</v>
      </c>
      <c r="L21" s="89">
        <v>9.7276509999999998</v>
      </c>
      <c r="M21" s="52">
        <v>201362.38</v>
      </c>
      <c r="N21" s="90">
        <v>9.07</v>
      </c>
      <c r="O21" s="120">
        <v>187552.99</v>
      </c>
      <c r="P21" s="55">
        <v>-13809.390000000014</v>
      </c>
      <c r="Q21" s="49">
        <v>-6.8599999999999994E-2</v>
      </c>
      <c r="R21" s="68">
        <v>6.1817884448649423E-3</v>
      </c>
      <c r="S21" s="20"/>
    </row>
    <row r="22" spans="1:19" x14ac:dyDescent="0.25">
      <c r="A22" s="66" t="s">
        <v>82</v>
      </c>
      <c r="B22" s="105" t="s">
        <v>121</v>
      </c>
      <c r="C22" s="44" t="s">
        <v>147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9">
        <v>9.7175060000000002</v>
      </c>
      <c r="K22" s="52">
        <v>201152.37</v>
      </c>
      <c r="L22" s="89">
        <v>9.7276509999999998</v>
      </c>
      <c r="M22" s="52">
        <v>201362.38</v>
      </c>
      <c r="N22" s="90">
        <v>9.07</v>
      </c>
      <c r="O22" s="120">
        <v>187552.99</v>
      </c>
      <c r="P22" s="55">
        <v>-13809.390000000014</v>
      </c>
      <c r="Q22" s="49">
        <v>-6.8599999999999994E-2</v>
      </c>
      <c r="R22" s="68">
        <v>6.1817884448649423E-3</v>
      </c>
      <c r="S22" s="20"/>
    </row>
    <row r="23" spans="1:19" x14ac:dyDescent="0.25">
      <c r="A23" s="66" t="s">
        <v>82</v>
      </c>
      <c r="B23" s="105" t="s">
        <v>121</v>
      </c>
      <c r="C23" s="44" t="s">
        <v>142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16338</v>
      </c>
      <c r="J23" s="89">
        <v>26.264251000000002</v>
      </c>
      <c r="K23" s="52">
        <v>429105.33</v>
      </c>
      <c r="L23" s="89">
        <v>26.291671999999998</v>
      </c>
      <c r="M23" s="52">
        <v>429553.34</v>
      </c>
      <c r="N23" s="90">
        <v>27.29</v>
      </c>
      <c r="O23" s="120">
        <v>445398.54</v>
      </c>
      <c r="P23" s="56">
        <v>15845.199999999953</v>
      </c>
      <c r="Q23" s="50">
        <v>3.6900000000000002E-2</v>
      </c>
      <c r="R23" s="68">
        <v>1.468043536886144E-2</v>
      </c>
      <c r="S23" s="20"/>
    </row>
    <row r="24" spans="1:19" x14ac:dyDescent="0.25">
      <c r="A24" s="66" t="s">
        <v>82</v>
      </c>
      <c r="B24" s="105" t="s">
        <v>85</v>
      </c>
      <c r="C24" s="44" t="s">
        <v>142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9">
        <v>26.264251000000002</v>
      </c>
      <c r="K24" s="52">
        <v>349262.01</v>
      </c>
      <c r="L24" s="89">
        <v>26.291671999999998</v>
      </c>
      <c r="M24" s="52">
        <v>349626.65</v>
      </c>
      <c r="N24" s="90">
        <v>27.29</v>
      </c>
      <c r="O24" s="120">
        <v>362523.55</v>
      </c>
      <c r="P24" s="56">
        <v>12896.899999999965</v>
      </c>
      <c r="Q24" s="50">
        <v>3.6900000000000002E-2</v>
      </c>
      <c r="R24" s="68">
        <v>1.1948857186341942E-2</v>
      </c>
      <c r="S24" s="20"/>
    </row>
    <row r="25" spans="1:19" x14ac:dyDescent="0.25">
      <c r="A25" s="66" t="s">
        <v>82</v>
      </c>
      <c r="B25" s="105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9">
        <v>165.54432299999999</v>
      </c>
      <c r="K25" s="52">
        <v>86083.05</v>
      </c>
      <c r="L25" s="89">
        <v>165.717151</v>
      </c>
      <c r="M25" s="52">
        <v>86172.92</v>
      </c>
      <c r="N25" s="90">
        <v>171.46</v>
      </c>
      <c r="O25" s="120">
        <v>89066.11</v>
      </c>
      <c r="P25" s="56">
        <v>2893.1900000000023</v>
      </c>
      <c r="Q25" s="50">
        <v>3.3599999999999998E-2</v>
      </c>
      <c r="R25" s="68">
        <v>2.9356388806548481E-3</v>
      </c>
      <c r="S25" s="20"/>
    </row>
    <row r="26" spans="1:19" x14ac:dyDescent="0.25">
      <c r="A26" s="66" t="s">
        <v>82</v>
      </c>
      <c r="B26" s="105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9">
        <v>165.54432299999999</v>
      </c>
      <c r="K26" s="52">
        <v>102637.48</v>
      </c>
      <c r="L26" s="89">
        <v>165.717151</v>
      </c>
      <c r="M26" s="52">
        <v>102744.63</v>
      </c>
      <c r="N26" s="90">
        <v>171.46</v>
      </c>
      <c r="O26" s="120">
        <v>106194.22</v>
      </c>
      <c r="P26" s="56">
        <v>3449.5899999999965</v>
      </c>
      <c r="Q26" s="50">
        <v>3.3599999999999998E-2</v>
      </c>
      <c r="R26" s="68">
        <v>3.5001852122295979E-3</v>
      </c>
      <c r="S26" s="20"/>
    </row>
    <row r="27" spans="1:19" x14ac:dyDescent="0.25">
      <c r="A27" s="66" t="s">
        <v>140</v>
      </c>
      <c r="B27" s="105" t="s">
        <v>85</v>
      </c>
      <c r="C27" s="44" t="s">
        <v>165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130</v>
      </c>
      <c r="J27" s="89">
        <v>1534.5</v>
      </c>
      <c r="K27" s="52">
        <v>199485</v>
      </c>
      <c r="L27" s="89">
        <v>1536.102018</v>
      </c>
      <c r="M27" s="52">
        <v>199693.26</v>
      </c>
      <c r="N27" s="90">
        <v>1542.528106</v>
      </c>
      <c r="O27" s="120">
        <v>200319.3</v>
      </c>
      <c r="P27" s="56">
        <v>626.03999999997905</v>
      </c>
      <c r="Q27" s="50">
        <v>3.0999999999999999E-3</v>
      </c>
      <c r="R27" s="68">
        <v>6.6025688741269007E-3</v>
      </c>
      <c r="S27" s="20"/>
    </row>
    <row r="28" spans="1:19" x14ac:dyDescent="0.25">
      <c r="A28" s="66" t="s">
        <v>140</v>
      </c>
      <c r="B28" s="105" t="s">
        <v>121</v>
      </c>
      <c r="C28" s="44" t="s">
        <v>165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130</v>
      </c>
      <c r="J28" s="89">
        <v>1534.5</v>
      </c>
      <c r="K28" s="52">
        <v>199485</v>
      </c>
      <c r="L28" s="89">
        <v>1536.102018</v>
      </c>
      <c r="M28" s="52">
        <v>199693.26</v>
      </c>
      <c r="N28" s="90">
        <v>1542.528106</v>
      </c>
      <c r="O28" s="120">
        <v>200319.3</v>
      </c>
      <c r="P28" s="56">
        <v>626.03999999997905</v>
      </c>
      <c r="Q28" s="50">
        <v>3.0999999999999999E-3</v>
      </c>
      <c r="R28" s="68">
        <v>6.6025688741269007E-3</v>
      </c>
      <c r="S28" s="20"/>
    </row>
    <row r="29" spans="1:19" x14ac:dyDescent="0.25">
      <c r="A29" s="66" t="s">
        <v>82</v>
      </c>
      <c r="B29" s="105" t="s">
        <v>121</v>
      </c>
      <c r="C29" s="44" t="s">
        <v>152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9">
        <v>232.99238</v>
      </c>
      <c r="K29" s="52">
        <v>232992.38</v>
      </c>
      <c r="L29" s="89">
        <v>233.235624</v>
      </c>
      <c r="M29" s="52">
        <v>233235.62</v>
      </c>
      <c r="N29" s="90">
        <v>409.94</v>
      </c>
      <c r="O29" s="120">
        <v>409512.02</v>
      </c>
      <c r="P29" s="56">
        <v>176276.40000000002</v>
      </c>
      <c r="Q29" s="50">
        <v>0.75580000000000003</v>
      </c>
      <c r="R29" s="68">
        <v>1.349760765354528E-2</v>
      </c>
      <c r="S29" s="20"/>
    </row>
    <row r="30" spans="1:19" x14ac:dyDescent="0.25">
      <c r="A30" s="66" t="s">
        <v>140</v>
      </c>
      <c r="B30" s="105" t="s">
        <v>85</v>
      </c>
      <c r="C30" s="44" t="s">
        <v>145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9">
        <v>451.02480000000003</v>
      </c>
      <c r="K30" s="52">
        <v>563781</v>
      </c>
      <c r="L30" s="89">
        <v>451.49567000000002</v>
      </c>
      <c r="M30" s="52">
        <v>564369.59</v>
      </c>
      <c r="N30" s="90">
        <v>455.37244199999998</v>
      </c>
      <c r="O30" s="120">
        <v>568621.30000000005</v>
      </c>
      <c r="P30" s="56">
        <v>4251.7100000000792</v>
      </c>
      <c r="Q30" s="50">
        <v>7.4999999999999997E-3</v>
      </c>
      <c r="R30" s="68">
        <v>1.8741885063224439E-2</v>
      </c>
      <c r="S30" s="20"/>
    </row>
    <row r="31" spans="1:19" x14ac:dyDescent="0.25">
      <c r="A31" s="66" t="s">
        <v>140</v>
      </c>
      <c r="B31" s="105" t="s">
        <v>121</v>
      </c>
      <c r="C31" s="44" t="s">
        <v>145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9">
        <v>451.02480000000003</v>
      </c>
      <c r="K31" s="52">
        <v>563781</v>
      </c>
      <c r="L31" s="89">
        <v>451.49567000000002</v>
      </c>
      <c r="M31" s="52">
        <v>564369.59</v>
      </c>
      <c r="N31" s="90">
        <v>455.37244199999998</v>
      </c>
      <c r="O31" s="120">
        <v>568621.30000000005</v>
      </c>
      <c r="P31" s="56">
        <v>4251.7100000000792</v>
      </c>
      <c r="Q31" s="50">
        <v>7.4999999999999997E-3</v>
      </c>
      <c r="R31" s="68">
        <v>1.8741885063224439E-2</v>
      </c>
      <c r="S31" s="20"/>
    </row>
    <row r="32" spans="1:19" x14ac:dyDescent="0.25">
      <c r="A32" s="66" t="s">
        <v>140</v>
      </c>
      <c r="B32" s="105" t="s">
        <v>85</v>
      </c>
      <c r="C32" s="44" t="s">
        <v>151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9">
        <v>2147.2374970000001</v>
      </c>
      <c r="K32" s="52">
        <v>5690179.4000000004</v>
      </c>
      <c r="L32" s="89">
        <v>2149.4792130000001</v>
      </c>
      <c r="M32" s="52">
        <v>5696119.9100000001</v>
      </c>
      <c r="N32" s="90">
        <v>2140.967752</v>
      </c>
      <c r="O32" s="120">
        <v>5667641.3399999999</v>
      </c>
      <c r="P32" s="55">
        <v>-28478.570000000298</v>
      </c>
      <c r="Q32" s="49">
        <v>-5.0000000000000001E-3</v>
      </c>
      <c r="R32" s="68">
        <v>0.18680672457021805</v>
      </c>
      <c r="S32" s="20"/>
    </row>
    <row r="33" spans="1:19" x14ac:dyDescent="0.25">
      <c r="A33" s="66" t="s">
        <v>140</v>
      </c>
      <c r="B33" s="105" t="s">
        <v>121</v>
      </c>
      <c r="C33" s="44" t="s">
        <v>151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9">
        <v>2147.2374970000001</v>
      </c>
      <c r="K33" s="52">
        <v>7010730.4699999997</v>
      </c>
      <c r="L33" s="89">
        <v>2149.4792130000001</v>
      </c>
      <c r="M33" s="52">
        <v>7018049.6299999999</v>
      </c>
      <c r="N33" s="90">
        <v>2140.967752</v>
      </c>
      <c r="O33" s="120">
        <v>6982961.8799999999</v>
      </c>
      <c r="P33" s="55">
        <v>-35087.75</v>
      </c>
      <c r="Q33" s="49">
        <v>-5.0000000000000001E-3</v>
      </c>
      <c r="R33" s="68">
        <v>0.23015998337705187</v>
      </c>
      <c r="S33" s="20"/>
    </row>
    <row r="34" spans="1:19" x14ac:dyDescent="0.25">
      <c r="A34" s="66" t="s">
        <v>140</v>
      </c>
      <c r="B34" s="105" t="s">
        <v>85</v>
      </c>
      <c r="C34" s="44" t="s">
        <v>132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9">
        <v>1385.182047</v>
      </c>
      <c r="K34" s="52">
        <v>4566945.24</v>
      </c>
      <c r="L34" s="89">
        <v>1386.6281779999999</v>
      </c>
      <c r="M34" s="52">
        <v>4571713.0999999996</v>
      </c>
      <c r="N34" s="90">
        <v>1602.2363700000001</v>
      </c>
      <c r="O34" s="120">
        <v>5277058.3</v>
      </c>
      <c r="P34" s="56">
        <v>705345.20000000019</v>
      </c>
      <c r="Q34" s="50">
        <v>0.15429999999999999</v>
      </c>
      <c r="R34" s="68">
        <v>0.17393302032571509</v>
      </c>
      <c r="S34" s="20"/>
    </row>
    <row r="35" spans="1:19" x14ac:dyDescent="0.25">
      <c r="A35" s="66" t="s">
        <v>140</v>
      </c>
      <c r="B35" s="105" t="s">
        <v>121</v>
      </c>
      <c r="C35" s="44" t="s">
        <v>132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9">
        <v>1385.182047</v>
      </c>
      <c r="K35" s="52">
        <v>729990.94</v>
      </c>
      <c r="L35" s="89">
        <v>1386.6281779999999</v>
      </c>
      <c r="M35" s="52">
        <v>730753.05</v>
      </c>
      <c r="N35" s="90">
        <v>1602.2363700000001</v>
      </c>
      <c r="O35" s="120">
        <v>843497.04</v>
      </c>
      <c r="P35" s="56">
        <v>112743.98999999999</v>
      </c>
      <c r="Q35" s="50">
        <v>0.15429999999999999</v>
      </c>
      <c r="R35" s="68">
        <v>2.7801850853722901E-2</v>
      </c>
      <c r="S35" s="20"/>
    </row>
    <row r="36" spans="1:19" x14ac:dyDescent="0.25">
      <c r="A36" s="66" t="s">
        <v>140</v>
      </c>
      <c r="B36" s="105" t="s">
        <v>85</v>
      </c>
      <c r="C36" s="44" t="s">
        <v>148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9">
        <v>2405</v>
      </c>
      <c r="K36" s="52">
        <v>84175</v>
      </c>
      <c r="L36" s="89">
        <v>2407.51082</v>
      </c>
      <c r="M36" s="52">
        <v>84262.88</v>
      </c>
      <c r="N36" s="90">
        <v>3161.2424059999998</v>
      </c>
      <c r="O36" s="120">
        <v>110527.97</v>
      </c>
      <c r="P36" s="56">
        <v>26265.089999999997</v>
      </c>
      <c r="Q36" s="50">
        <v>0.31169999999999998</v>
      </c>
      <c r="R36" s="68">
        <v>3.6430265802767478E-3</v>
      </c>
      <c r="S36" s="20"/>
    </row>
    <row r="37" spans="1:19" x14ac:dyDescent="0.25">
      <c r="A37" s="66" t="s">
        <v>140</v>
      </c>
      <c r="B37" s="105" t="s">
        <v>121</v>
      </c>
      <c r="C37" s="44" t="s">
        <v>148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9">
        <v>2405</v>
      </c>
      <c r="K37" s="52">
        <v>84175</v>
      </c>
      <c r="L37" s="89">
        <v>2407.51082</v>
      </c>
      <c r="M37" s="52">
        <v>84262.88</v>
      </c>
      <c r="N37" s="90">
        <v>3161.2424059999998</v>
      </c>
      <c r="O37" s="120">
        <v>110527.97</v>
      </c>
      <c r="P37" s="56">
        <v>26265.089999999997</v>
      </c>
      <c r="Q37" s="50">
        <v>0.31169999999999998</v>
      </c>
      <c r="R37" s="68">
        <v>3.6430265802767478E-3</v>
      </c>
      <c r="S37" s="20"/>
    </row>
    <row r="38" spans="1:19" x14ac:dyDescent="0.25">
      <c r="A38" s="66" t="s">
        <v>140</v>
      </c>
      <c r="B38" s="105" t="s">
        <v>85</v>
      </c>
      <c r="C38" s="44" t="s">
        <v>166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442</v>
      </c>
      <c r="J38" s="89">
        <v>455.38608499999998</v>
      </c>
      <c r="K38" s="52">
        <v>201280.65</v>
      </c>
      <c r="L38" s="89">
        <v>455.86150900000001</v>
      </c>
      <c r="M38" s="52">
        <v>201490.79</v>
      </c>
      <c r="N38" s="90">
        <v>455.56630000000001</v>
      </c>
      <c r="O38" s="120">
        <v>201150.09</v>
      </c>
      <c r="P38" s="55">
        <v>-340.70000000001164</v>
      </c>
      <c r="Q38" s="49">
        <v>-1.6999999999999999E-3</v>
      </c>
      <c r="R38" s="68">
        <v>6.6299518981038016E-3</v>
      </c>
      <c r="S38" s="20"/>
    </row>
    <row r="39" spans="1:19" x14ac:dyDescent="0.25">
      <c r="A39" s="66" t="s">
        <v>140</v>
      </c>
      <c r="B39" s="105" t="s">
        <v>121</v>
      </c>
      <c r="C39" s="44" t="s">
        <v>166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9">
        <v>455.38608499999998</v>
      </c>
      <c r="K39" s="52">
        <v>201280.65</v>
      </c>
      <c r="L39" s="89">
        <v>455.86150900000001</v>
      </c>
      <c r="M39" s="52">
        <v>201490.79</v>
      </c>
      <c r="N39" s="90">
        <v>455.56630000000001</v>
      </c>
      <c r="O39" s="120">
        <v>201150.09</v>
      </c>
      <c r="P39" s="55">
        <v>-340.70000000001164</v>
      </c>
      <c r="Q39" s="49">
        <v>-1.6999999999999999E-3</v>
      </c>
      <c r="R39" s="68">
        <v>6.6299518981038016E-3</v>
      </c>
      <c r="S39" s="20"/>
    </row>
    <row r="40" spans="1:19" x14ac:dyDescent="0.25">
      <c r="A40" s="66" t="s">
        <v>140</v>
      </c>
      <c r="B40" s="105" t="s">
        <v>85</v>
      </c>
      <c r="C40" s="44" t="s">
        <v>146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9">
        <v>284.87090899999998</v>
      </c>
      <c r="K40" s="52">
        <v>156679</v>
      </c>
      <c r="L40" s="89">
        <v>285.16831400000001</v>
      </c>
      <c r="M40" s="52">
        <v>156842.57</v>
      </c>
      <c r="N40" s="90">
        <v>538.92524000000003</v>
      </c>
      <c r="O40" s="120">
        <v>296099.43</v>
      </c>
      <c r="P40" s="56">
        <v>139256.85999999999</v>
      </c>
      <c r="Q40" s="50">
        <v>0.88790000000000002</v>
      </c>
      <c r="R40" s="68">
        <v>9.7595033537193725E-3</v>
      </c>
      <c r="S40" s="20"/>
    </row>
    <row r="41" spans="1:19" x14ac:dyDescent="0.25">
      <c r="A41" s="66" t="s">
        <v>140</v>
      </c>
      <c r="B41" s="105" t="s">
        <v>121</v>
      </c>
      <c r="C41" s="44" t="s">
        <v>146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9">
        <v>284.87090899999998</v>
      </c>
      <c r="K41" s="52">
        <v>156679</v>
      </c>
      <c r="L41" s="89">
        <v>285.16831400000001</v>
      </c>
      <c r="M41" s="52">
        <v>156842.57</v>
      </c>
      <c r="N41" s="90">
        <v>538.92524000000003</v>
      </c>
      <c r="O41" s="120">
        <v>296099.43</v>
      </c>
      <c r="P41" s="56">
        <v>139256.85999999999</v>
      </c>
      <c r="Q41" s="50">
        <v>0.88790000000000002</v>
      </c>
      <c r="R41" s="68">
        <v>9.7595033537193725E-3</v>
      </c>
      <c r="S41" s="20"/>
    </row>
    <row r="42" spans="1:19" x14ac:dyDescent="0.25">
      <c r="A42" s="66" t="s">
        <v>140</v>
      </c>
      <c r="B42" s="105" t="s">
        <v>85</v>
      </c>
      <c r="C42" s="44" t="s">
        <v>137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9">
        <v>2480.5</v>
      </c>
      <c r="K42" s="52">
        <v>62012.5</v>
      </c>
      <c r="L42" s="89">
        <v>2483.0896419999999</v>
      </c>
      <c r="M42" s="52">
        <v>62077.24</v>
      </c>
      <c r="N42" s="90">
        <v>1890.890932</v>
      </c>
      <c r="O42" s="120">
        <v>47222.92</v>
      </c>
      <c r="P42" s="55">
        <v>-14854.32</v>
      </c>
      <c r="Q42" s="49">
        <v>-0.23930000000000001</v>
      </c>
      <c r="R42" s="68">
        <v>1.5564779915733767E-3</v>
      </c>
      <c r="S42" s="20"/>
    </row>
    <row r="43" spans="1:19" x14ac:dyDescent="0.25">
      <c r="A43" s="66" t="s">
        <v>82</v>
      </c>
      <c r="B43" s="105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7400</v>
      </c>
      <c r="J43" s="89">
        <v>54.067891000000003</v>
      </c>
      <c r="K43" s="52">
        <v>400102.39</v>
      </c>
      <c r="L43" s="89">
        <v>54.124338000000002</v>
      </c>
      <c r="M43" s="52">
        <v>400520.1</v>
      </c>
      <c r="N43" s="90">
        <v>55.92</v>
      </c>
      <c r="O43" s="120">
        <v>413375.98</v>
      </c>
      <c r="P43" s="56">
        <v>12855.880000000005</v>
      </c>
      <c r="Q43" s="50">
        <v>3.2099999999999997E-2</v>
      </c>
      <c r="R43" s="68">
        <v>1.3624964638253549E-2</v>
      </c>
      <c r="S43" s="20"/>
    </row>
    <row r="44" spans="1:19" x14ac:dyDescent="0.25">
      <c r="A44" s="66" t="s">
        <v>82</v>
      </c>
      <c r="B44" s="105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1600</v>
      </c>
      <c r="J44" s="89">
        <v>54.067891000000003</v>
      </c>
      <c r="K44" s="52">
        <v>86508.63</v>
      </c>
      <c r="L44" s="89">
        <v>54.124338000000002</v>
      </c>
      <c r="M44" s="52">
        <v>86598.94</v>
      </c>
      <c r="N44" s="90">
        <v>55.92</v>
      </c>
      <c r="O44" s="120">
        <v>89378.59</v>
      </c>
      <c r="P44" s="56">
        <v>2779.6499999999942</v>
      </c>
      <c r="Q44" s="50">
        <v>3.2099999999999997E-2</v>
      </c>
      <c r="R44" s="68">
        <v>2.9459382912547611E-3</v>
      </c>
      <c r="S44" s="20"/>
    </row>
    <row r="45" spans="1:19" x14ac:dyDescent="0.25">
      <c r="A45" s="106"/>
      <c r="B45" s="117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25389705.059999999</v>
      </c>
      <c r="L45" s="24"/>
      <c r="M45" s="39">
        <v>25416211.920000002</v>
      </c>
      <c r="N45" s="24"/>
      <c r="O45" s="39">
        <v>26714213.440000001</v>
      </c>
      <c r="P45" s="91">
        <v>1298001.5199999996</v>
      </c>
      <c r="Q45" s="92">
        <v>5.11E-2</v>
      </c>
      <c r="R45" s="107">
        <v>0.88050644224359076</v>
      </c>
      <c r="S45" s="74"/>
    </row>
    <row r="46" spans="1:19" x14ac:dyDescent="0.25">
      <c r="A46" s="108"/>
      <c r="B46" s="118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19"/>
      <c r="S46" s="72"/>
    </row>
    <row r="47" spans="1:19" x14ac:dyDescent="0.25">
      <c r="A47" s="66" t="s">
        <v>117</v>
      </c>
      <c r="B47" s="105" t="s">
        <v>85</v>
      </c>
      <c r="C47" s="44" t="s">
        <v>149</v>
      </c>
      <c r="D47" s="44">
        <v>24</v>
      </c>
      <c r="E47" s="44" t="s">
        <v>21</v>
      </c>
      <c r="F47" s="20">
        <v>1826</v>
      </c>
      <c r="G47" s="20">
        <v>0</v>
      </c>
      <c r="H47" s="20">
        <v>1447</v>
      </c>
      <c r="I47" s="34">
        <v>17470</v>
      </c>
      <c r="J47" s="89">
        <v>57.962428000000003</v>
      </c>
      <c r="K47" s="52">
        <v>1012603.62</v>
      </c>
      <c r="L47" s="89">
        <v>58.257038000000001</v>
      </c>
      <c r="M47" s="52">
        <v>1017750.45</v>
      </c>
      <c r="N47" s="90">
        <v>58.987830000000002</v>
      </c>
      <c r="O47" s="120">
        <v>1030517.39</v>
      </c>
      <c r="P47" s="56">
        <v>12766.940000000061</v>
      </c>
      <c r="Q47" s="50">
        <v>1.2500000000000001E-2</v>
      </c>
      <c r="R47" s="68">
        <v>3.3966083365209905E-2</v>
      </c>
      <c r="S47" s="20"/>
    </row>
    <row r="48" spans="1:19" x14ac:dyDescent="0.25">
      <c r="A48" s="66" t="s">
        <v>117</v>
      </c>
      <c r="B48" s="105" t="s">
        <v>121</v>
      </c>
      <c r="C48" s="44" t="s">
        <v>149</v>
      </c>
      <c r="D48" s="44">
        <v>24</v>
      </c>
      <c r="E48" s="44" t="s">
        <v>21</v>
      </c>
      <c r="F48" s="20">
        <v>1826</v>
      </c>
      <c r="G48" s="20">
        <v>0</v>
      </c>
      <c r="H48" s="20">
        <v>1447</v>
      </c>
      <c r="I48" s="34">
        <v>17470</v>
      </c>
      <c r="J48" s="89">
        <v>57.962428000000003</v>
      </c>
      <c r="K48" s="52">
        <v>1012603.62</v>
      </c>
      <c r="L48" s="89">
        <v>58.257038000000001</v>
      </c>
      <c r="M48" s="52">
        <v>1017750.45</v>
      </c>
      <c r="N48" s="90">
        <v>58.987830000000002</v>
      </c>
      <c r="O48" s="120">
        <v>1030517.39</v>
      </c>
      <c r="P48" s="56">
        <v>12766.940000000061</v>
      </c>
      <c r="Q48" s="50">
        <v>1.2500000000000001E-2</v>
      </c>
      <c r="R48" s="68">
        <v>3.3966083365209905E-2</v>
      </c>
      <c r="S48" s="20"/>
    </row>
    <row r="49" spans="1:19" x14ac:dyDescent="0.25">
      <c r="A49" s="66" t="s">
        <v>63</v>
      </c>
      <c r="B49" s="105" t="s">
        <v>85</v>
      </c>
      <c r="C49" s="44" t="s">
        <v>141</v>
      </c>
      <c r="D49" s="44">
        <v>280511</v>
      </c>
      <c r="E49" s="44" t="s">
        <v>21</v>
      </c>
      <c r="F49" s="20">
        <v>3</v>
      </c>
      <c r="G49" s="20">
        <v>7.95</v>
      </c>
      <c r="H49" s="20">
        <v>3</v>
      </c>
      <c r="I49" s="34">
        <v>11216</v>
      </c>
      <c r="J49" s="89">
        <v>100.346897</v>
      </c>
      <c r="K49" s="52">
        <v>1125490.8</v>
      </c>
      <c r="L49" s="89">
        <v>100.346898</v>
      </c>
      <c r="M49" s="52">
        <v>1125490.81</v>
      </c>
      <c r="N49" s="90">
        <v>100.346898</v>
      </c>
      <c r="O49" s="120">
        <v>1125490.81</v>
      </c>
      <c r="P49" s="55">
        <v>0</v>
      </c>
      <c r="Q49" s="35"/>
      <c r="R49" s="68">
        <v>3.7096428503004326E-2</v>
      </c>
      <c r="S49" s="20"/>
    </row>
    <row r="50" spans="1:19" x14ac:dyDescent="0.25">
      <c r="A50" s="66" t="s">
        <v>63</v>
      </c>
      <c r="B50" s="105" t="s">
        <v>86</v>
      </c>
      <c r="C50" s="44" t="s">
        <v>141</v>
      </c>
      <c r="D50" s="44">
        <v>280511</v>
      </c>
      <c r="E50" s="44" t="s">
        <v>21</v>
      </c>
      <c r="F50" s="20">
        <v>3</v>
      </c>
      <c r="G50" s="20">
        <v>7.95</v>
      </c>
      <c r="H50" s="20">
        <v>3</v>
      </c>
      <c r="I50" s="34">
        <v>595</v>
      </c>
      <c r="J50" s="89">
        <v>100.346897</v>
      </c>
      <c r="K50" s="52">
        <v>59706.400000000001</v>
      </c>
      <c r="L50" s="89">
        <v>100.346898</v>
      </c>
      <c r="M50" s="52">
        <v>59706.400000000001</v>
      </c>
      <c r="N50" s="90">
        <v>100.346898</v>
      </c>
      <c r="O50" s="120">
        <v>59706.400000000001</v>
      </c>
      <c r="P50" s="55">
        <v>0</v>
      </c>
      <c r="Q50" s="35"/>
      <c r="R50" s="68">
        <v>1.9679362808584615E-3</v>
      </c>
      <c r="S50" s="20"/>
    </row>
    <row r="51" spans="1:19" x14ac:dyDescent="0.25">
      <c r="A51" s="66" t="s">
        <v>63</v>
      </c>
      <c r="B51" s="105" t="s">
        <v>121</v>
      </c>
      <c r="C51" s="44" t="s">
        <v>141</v>
      </c>
      <c r="D51" s="44">
        <v>280511</v>
      </c>
      <c r="E51" s="44" t="s">
        <v>21</v>
      </c>
      <c r="F51" s="20">
        <v>3</v>
      </c>
      <c r="G51" s="20">
        <v>7.95</v>
      </c>
      <c r="H51" s="20">
        <v>3</v>
      </c>
      <c r="I51" s="34">
        <v>3778</v>
      </c>
      <c r="J51" s="89">
        <v>100.346897</v>
      </c>
      <c r="K51" s="52">
        <v>379110.58</v>
      </c>
      <c r="L51" s="89">
        <v>100.346898</v>
      </c>
      <c r="M51" s="52">
        <v>379110.58</v>
      </c>
      <c r="N51" s="90">
        <v>100.346898</v>
      </c>
      <c r="O51" s="120">
        <v>379110.58</v>
      </c>
      <c r="P51" s="55">
        <v>0</v>
      </c>
      <c r="Q51" s="35"/>
      <c r="R51" s="68">
        <v>1.2495569400253478E-2</v>
      </c>
      <c r="S51" s="20"/>
    </row>
    <row r="52" spans="1:19" x14ac:dyDescent="0.25">
      <c r="A52" s="109"/>
      <c r="B52" s="110"/>
      <c r="C52" s="110" t="s">
        <v>49</v>
      </c>
      <c r="D52" s="110" t="s">
        <v>50</v>
      </c>
      <c r="E52" s="110"/>
      <c r="F52" s="111"/>
      <c r="G52" s="111"/>
      <c r="H52" s="111"/>
      <c r="I52" s="111"/>
      <c r="J52" s="110"/>
      <c r="K52" s="112">
        <v>3589515.02</v>
      </c>
      <c r="L52" s="110"/>
      <c r="M52" s="112">
        <v>3599808.7</v>
      </c>
      <c r="N52" s="110"/>
      <c r="O52" s="112">
        <v>3625342.57</v>
      </c>
      <c r="P52" s="113">
        <v>25533.87</v>
      </c>
      <c r="Q52" s="114">
        <v>7.1000000000000004E-3</v>
      </c>
      <c r="R52" s="115">
        <v>0.11949210091453608</v>
      </c>
      <c r="S52" s="74"/>
    </row>
    <row r="53" spans="1:19" x14ac:dyDescent="0.25">
      <c r="A53" s="21"/>
      <c r="B53" s="21"/>
      <c r="C53" s="21"/>
      <c r="D53" s="21"/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21"/>
      <c r="P53" s="23"/>
      <c r="Q53" s="23"/>
      <c r="R53" s="22"/>
    </row>
    <row r="54" spans="1:19" x14ac:dyDescent="0.25">
      <c r="A54" s="21"/>
      <c r="B54" s="21" t="s">
        <v>85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4.5</v>
      </c>
      <c r="P54" s="23"/>
      <c r="Q54" s="23"/>
      <c r="R54" s="22"/>
    </row>
    <row r="55" spans="1:19" x14ac:dyDescent="0.25">
      <c r="A55" s="21"/>
      <c r="B55" s="21" t="s">
        <v>86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39.47</v>
      </c>
      <c r="P55" s="23"/>
      <c r="Q55" s="23"/>
      <c r="R55" s="22"/>
    </row>
    <row r="56" spans="1:19" x14ac:dyDescent="0.25">
      <c r="A56" s="21"/>
      <c r="B56" s="21" t="s">
        <v>121</v>
      </c>
      <c r="C56" s="21" t="s">
        <v>51</v>
      </c>
      <c r="D56" s="21" t="s">
        <v>50</v>
      </c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0.22</v>
      </c>
      <c r="P56" s="23"/>
      <c r="Q56" s="23"/>
      <c r="R56" s="22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4"/>
      <c r="B58" s="24"/>
      <c r="C58" s="24" t="s">
        <v>52</v>
      </c>
      <c r="D58" s="24" t="s">
        <v>50</v>
      </c>
      <c r="E58" s="24"/>
      <c r="F58" s="25"/>
      <c r="G58" s="25"/>
      <c r="H58" s="25"/>
      <c r="I58" s="25"/>
      <c r="J58" s="24"/>
      <c r="K58" s="24"/>
      <c r="L58" s="24"/>
      <c r="M58" s="24"/>
      <c r="N58" s="24"/>
      <c r="O58" s="39">
        <v>0</v>
      </c>
      <c r="P58" s="26"/>
      <c r="Q58" s="26"/>
      <c r="R58" s="25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7"/>
      <c r="B60" s="27"/>
      <c r="C60" s="27" t="s">
        <v>53</v>
      </c>
      <c r="D60" s="27"/>
      <c r="E60" s="27"/>
      <c r="F60" s="28"/>
      <c r="G60" s="28"/>
      <c r="H60" s="28"/>
      <c r="I60" s="28"/>
      <c r="J60" s="27"/>
      <c r="K60" s="27"/>
      <c r="L60" s="27"/>
      <c r="M60" s="27"/>
      <c r="N60" s="27"/>
      <c r="O60" s="41">
        <v>30339600.210000001</v>
      </c>
      <c r="P60" s="29"/>
      <c r="Q60" s="29"/>
      <c r="R60" s="28"/>
    </row>
    <row r="61" spans="1:19" x14ac:dyDescent="0.25">
      <c r="A61" s="21"/>
      <c r="B61" s="21"/>
      <c r="C61" s="21"/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21"/>
      <c r="P61" s="23"/>
      <c r="Q61" s="23"/>
      <c r="R61" s="22"/>
    </row>
    <row r="62" spans="1:19" x14ac:dyDescent="0.25">
      <c r="A62" s="21"/>
      <c r="B62" s="21"/>
      <c r="C62" s="21" t="s">
        <v>26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44.19</v>
      </c>
      <c r="P62" s="23"/>
      <c r="Q62" s="23"/>
      <c r="R62" s="22"/>
    </row>
    <row r="63" spans="1:19" x14ac:dyDescent="0.25">
      <c r="A63" s="21"/>
      <c r="B63" s="21"/>
      <c r="C63" s="21" t="s">
        <v>54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1564351.98</v>
      </c>
      <c r="P63" s="23"/>
      <c r="Q63" s="23"/>
      <c r="R63" s="22"/>
    </row>
    <row r="64" spans="1:19" x14ac:dyDescent="0.25">
      <c r="A64" s="21"/>
      <c r="B64" s="21"/>
      <c r="C64" s="21" t="s">
        <v>55</v>
      </c>
      <c r="D64" s="21"/>
      <c r="E64" s="21"/>
      <c r="F64" s="22"/>
      <c r="G64" s="22"/>
      <c r="H64" s="22"/>
      <c r="I64" s="22"/>
      <c r="J64" s="21"/>
      <c r="K64" s="21"/>
      <c r="L64" s="21"/>
      <c r="M64" s="21"/>
      <c r="N64" s="21"/>
      <c r="O64" s="40">
        <v>0</v>
      </c>
      <c r="P64" s="23"/>
      <c r="Q64" s="23"/>
      <c r="R64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7777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609600</xdr:colOff>
                    <xdr:row>0</xdr:row>
                    <xdr:rowOff>123825</xdr:rowOff>
                  </from>
                  <to>
                    <xdr:col>20</xdr:col>
                    <xdr:colOff>352425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778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609600</xdr:colOff>
                    <xdr:row>1</xdr:row>
                    <xdr:rowOff>38100</xdr:rowOff>
                  </from>
                  <to>
                    <xdr:col>20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779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609600</xdr:colOff>
                    <xdr:row>3</xdr:row>
                    <xdr:rowOff>171450</xdr:rowOff>
                  </from>
                  <to>
                    <xdr:col>20</xdr:col>
                    <xdr:colOff>352425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2025-06-30T17:52:00Z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