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1059258\OneDrive - Onuris Tenant\Documentos\Clientes\SAZ BIPA\2025\"/>
    </mc:Choice>
  </mc:AlternateContent>
  <xr:revisionPtr revIDLastSave="0" documentId="13_ncr:1_{9692DC60-B2B8-45F6-A3C1-F5BB433947ED}" xr6:coauthVersionLast="47" xr6:coauthVersionMax="47" xr10:uidLastSave="{00000000-0000-0000-0000-000000000000}"/>
  <bookViews>
    <workbookView xWindow="-120" yWindow="-120" windowWidth="21840" windowHeight="13020" tabRatio="641" xr2:uid="{00000000-000D-0000-FFFF-FFFF00000000}"/>
  </bookViews>
  <sheets>
    <sheet name="Lay Out" sheetId="4" r:id="rId1"/>
    <sheet name="Subcuentas" sheetId="269" state="hidden" r:id="rId2"/>
    <sheet name="Hoja1" sheetId="1580" state="hidden" r:id="rId3"/>
    <sheet name="Posición del mes anterior" sheetId="1661" r:id="rId4"/>
    <sheet name="Movimientos" sheetId="1662" r:id="rId5"/>
    <sheet name="Posición" sheetId="1663" r:id="rId6"/>
    <sheet name="Estrategias" sheetId="1305" r:id="rId7"/>
  </sheets>
  <functionGroups builtInGroupCount="19"/>
  <definedNames>
    <definedName name="_xlnm.Print_Area" localSheetId="2">Hoja1!$A$1:$R$58</definedName>
    <definedName name="_xlnm.Print_Area" localSheetId="4">Movimientos!$A$1:$R$179</definedName>
    <definedName name="_xlnm.Print_Area" localSheetId="5">Posición!$A$1:$R$80</definedName>
    <definedName name="_xlnm.Print_Area" localSheetId="3">'Posición del mes anterior'!$A$1:$R$81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4" l="1"/>
  <c r="E15" i="4" s="1"/>
  <c r="F15" i="4" s="1"/>
  <c r="G15" i="4" s="1"/>
  <c r="H15" i="4" s="1"/>
  <c r="I15" i="4" s="1"/>
  <c r="J15" i="4" s="1"/>
  <c r="K15" i="4" s="1"/>
</calcChain>
</file>

<file path=xl/sharedStrings.xml><?xml version="1.0" encoding="utf-8"?>
<sst xmlns="http://schemas.openxmlformats.org/spreadsheetml/2006/main" count="1764" uniqueCount="162">
  <si>
    <t>Seguros Azteca Vida</t>
  </si>
  <si>
    <t>Nombre del archivo:</t>
  </si>
  <si>
    <t>Notas y Aclaraciones</t>
  </si>
  <si>
    <t>PRODUCTO</t>
  </si>
  <si>
    <t>POLIZA</t>
  </si>
  <si>
    <t>SUBRAMO</t>
  </si>
  <si>
    <r>
      <rPr>
        <b/>
        <sz val="11"/>
        <color theme="1"/>
        <rFont val="Calibri"/>
        <family val="2"/>
        <scheme val="minor"/>
      </rPr>
      <t>BERV_SAAAASS_subramo_cvedeproducto_E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(base de emisión reservas vida (BERV) +"_"+"S"+ año + semana (dos dígitos)+subramo (tres dígitos) +"_"+ producto (tres dígitos)+"E" emisión )</t>
    </r>
  </si>
  <si>
    <t>FEC_REPORTE</t>
  </si>
  <si>
    <t>INTERESES GENERADOS</t>
  </si>
  <si>
    <t>COSTO COBERTURA FALLECIMIENTO</t>
  </si>
  <si>
    <t>COSTOS O COMISIONES POR MANEJO DEL FONDO</t>
  </si>
  <si>
    <t>El campo póliza debe ser consistentes con el documento (certificado/consentimiento) que se entrega al asegurado. Se envía ejemplo de Vidamax (Grupo) y Vidacard (Individual) en la pestaña Pantallas</t>
  </si>
  <si>
    <t>Contrato:</t>
  </si>
  <si>
    <t>Cliente:</t>
  </si>
  <si>
    <t>Divisa:</t>
  </si>
  <si>
    <t>MXP</t>
  </si>
  <si>
    <t>Promotor:</t>
  </si>
  <si>
    <t>Emisora</t>
  </si>
  <si>
    <t>Serie</t>
  </si>
  <si>
    <t>Plazo</t>
  </si>
  <si>
    <t>Precio</t>
  </si>
  <si>
    <t xml:space="preserve">   </t>
  </si>
  <si>
    <t>No. Cliente:</t>
  </si>
  <si>
    <t>Fecha:</t>
  </si>
  <si>
    <t>Liquidación:</t>
  </si>
  <si>
    <t>Producto:</t>
  </si>
  <si>
    <t>Ef. Disponible</t>
  </si>
  <si>
    <t>Regional:</t>
  </si>
  <si>
    <t>Mexico</t>
  </si>
  <si>
    <t>Sucursal:</t>
  </si>
  <si>
    <t>Corporativo</t>
  </si>
  <si>
    <t>Posición</t>
  </si>
  <si>
    <t>Cupón</t>
  </si>
  <si>
    <t>Tasa</t>
  </si>
  <si>
    <t>Días</t>
  </si>
  <si>
    <t>Títulos</t>
  </si>
  <si>
    <t>Importe Bruto</t>
  </si>
  <si>
    <t>Precio Neto</t>
  </si>
  <si>
    <t>Importe Neto</t>
  </si>
  <si>
    <t>Precio de</t>
  </si>
  <si>
    <t>Valor de</t>
  </si>
  <si>
    <t>Plus/Minus</t>
  </si>
  <si>
    <t>% de</t>
  </si>
  <si>
    <t>x Ven</t>
  </si>
  <si>
    <t>Mercado</t>
  </si>
  <si>
    <t>Mercado Neto</t>
  </si>
  <si>
    <t>+ Int. Dev.</t>
  </si>
  <si>
    <t>%</t>
  </si>
  <si>
    <t>Cartera</t>
  </si>
  <si>
    <t>Mdo.Dinero</t>
  </si>
  <si>
    <t>Total</t>
  </si>
  <si>
    <t>Dinero x Inv.</t>
  </si>
  <si>
    <t>Ef. Retenido</t>
  </si>
  <si>
    <t>Valor del Portafolio</t>
  </si>
  <si>
    <t>Sdo. Disp. para Inv.*</t>
  </si>
  <si>
    <t>Sdo. Pend. MC</t>
  </si>
  <si>
    <t>Depositos efectuados</t>
  </si>
  <si>
    <t>Utilidad o pérdida</t>
  </si>
  <si>
    <t>Retiros Efectuados</t>
  </si>
  <si>
    <t>RETIROS</t>
  </si>
  <si>
    <t>VALOR DE FONDO T-1 (MES ANTERIOR)</t>
  </si>
  <si>
    <t>APORTACIONES DEL PERIODO (MES)</t>
  </si>
  <si>
    <t>VALOR DE FONDO T (MES ACTUAL)</t>
  </si>
  <si>
    <t>R</t>
  </si>
  <si>
    <t>TP</t>
  </si>
  <si>
    <t>Fecha</t>
  </si>
  <si>
    <t>Folio</t>
  </si>
  <si>
    <t>Concepto</t>
  </si>
  <si>
    <t>Tasa /</t>
  </si>
  <si>
    <t>Número</t>
  </si>
  <si>
    <t>Monto Bruto</t>
  </si>
  <si>
    <t>% Comision</t>
  </si>
  <si>
    <t>IVA/ISR</t>
  </si>
  <si>
    <t>+/-</t>
  </si>
  <si>
    <t>Monto Neto</t>
  </si>
  <si>
    <t>Saldo</t>
  </si>
  <si>
    <t>Operacion</t>
  </si>
  <si>
    <t>Liquidación</t>
  </si>
  <si>
    <t>Premio</t>
  </si>
  <si>
    <t>Titulos</t>
  </si>
  <si>
    <t xml:space="preserve">  </t>
  </si>
  <si>
    <t xml:space="preserve">  +</t>
  </si>
  <si>
    <t>CO</t>
  </si>
  <si>
    <t>VEN.COMPRA REPORTO</t>
  </si>
  <si>
    <t>SALDO INICIAL</t>
  </si>
  <si>
    <t>VIIN000000000001</t>
  </si>
  <si>
    <t>VIIN000000000003</t>
  </si>
  <si>
    <t>Subcuentas</t>
  </si>
  <si>
    <t># Subcuentas</t>
  </si>
  <si>
    <t>A</t>
  </si>
  <si>
    <t>NEMAK</t>
  </si>
  <si>
    <t>TPLAYCB</t>
  </si>
  <si>
    <t>AMX</t>
  </si>
  <si>
    <t>ALSEA</t>
  </si>
  <si>
    <t>*</t>
  </si>
  <si>
    <t>ARA</t>
  </si>
  <si>
    <t>AUTLAN</t>
  </si>
  <si>
    <t>B</t>
  </si>
  <si>
    <t>BOLSA</t>
  </si>
  <si>
    <t>CEMEX</t>
  </si>
  <si>
    <t>CPO</t>
  </si>
  <si>
    <t>FEMSA</t>
  </si>
  <si>
    <t>UBD</t>
  </si>
  <si>
    <t>GFNORTE</t>
  </si>
  <si>
    <t>O</t>
  </si>
  <si>
    <t>GICSA</t>
  </si>
  <si>
    <t>GMEXICO</t>
  </si>
  <si>
    <t>KOF</t>
  </si>
  <si>
    <t>UBL</t>
  </si>
  <si>
    <t>MEGA</t>
  </si>
  <si>
    <t>PINFRA</t>
  </si>
  <si>
    <t>TERRA</t>
  </si>
  <si>
    <t>TLEVISA</t>
  </si>
  <si>
    <t>TRAXION</t>
  </si>
  <si>
    <t>VASCONI</t>
  </si>
  <si>
    <t>VESTA</t>
  </si>
  <si>
    <t>Mdo.Capitales</t>
  </si>
  <si>
    <t>D</t>
  </si>
  <si>
    <t xml:space="preserve">Mes: </t>
  </si>
  <si>
    <t>LASITE</t>
  </si>
  <si>
    <t>B-1</t>
  </si>
  <si>
    <t>VIIN000000000006</t>
  </si>
  <si>
    <t>VIIN000000000007</t>
  </si>
  <si>
    <t>SEGUROS AZTECA</t>
  </si>
  <si>
    <t>INICIO CPA REPORTO</t>
  </si>
  <si>
    <t xml:space="preserve">  -</t>
  </si>
  <si>
    <t>EMISORA</t>
  </si>
  <si>
    <t>ESTRATEGIA</t>
  </si>
  <si>
    <t>BÁSICO</t>
  </si>
  <si>
    <t>SERIE</t>
  </si>
  <si>
    <t>INDEFINIDO</t>
  </si>
  <si>
    <t>Estrategia</t>
  </si>
  <si>
    <t>SHY</t>
  </si>
  <si>
    <t>CETESI</t>
  </si>
  <si>
    <t>ALPEK</t>
  </si>
  <si>
    <t>DANHOS</t>
  </si>
  <si>
    <t>FCFE</t>
  </si>
  <si>
    <t>UPS</t>
  </si>
  <si>
    <t>INCOME</t>
  </si>
  <si>
    <t>Mercado de Capitales</t>
  </si>
  <si>
    <t>SC</t>
  </si>
  <si>
    <t>BPAG91</t>
  </si>
  <si>
    <t>FUNO</t>
  </si>
  <si>
    <t>GUBER EE.UU.</t>
  </si>
  <si>
    <t>Miguel Angel Tebar Pedroza</t>
  </si>
  <si>
    <t>PFE</t>
  </si>
  <si>
    <t>T</t>
  </si>
  <si>
    <t>FIHO</t>
  </si>
  <si>
    <t>SPG</t>
  </si>
  <si>
    <t>EXITUCB</t>
  </si>
  <si>
    <t>PAGO ENTRAD DIVID. EFTVO</t>
  </si>
  <si>
    <t>SHV</t>
  </si>
  <si>
    <t>PE&amp;OLES</t>
  </si>
  <si>
    <t>AMORTIZACION</t>
  </si>
  <si>
    <t>PAGO ABONO CUPON</t>
  </si>
  <si>
    <t>FIBRAPL</t>
  </si>
  <si>
    <t>CUOTA DE ADM Y CUST E IVA</t>
  </si>
  <si>
    <t xml:space="preserve"> </t>
  </si>
  <si>
    <t>PAGO ENTRADA REEMBOLSO</t>
  </si>
  <si>
    <t>PAGO ENTRADA DISTRIBUCION EFECTIVO</t>
  </si>
  <si>
    <t>Febrero</t>
  </si>
  <si>
    <t>28/2/2025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</si>
</sst>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_ ;\-#,##0.000000\ "/>
    <numFmt numFmtId="165" formatCode="###,###,##0.00_ ;\-###,###,##0.00\ "/>
    <numFmt numFmtId="166" formatCode="&quot;$&quot;#,##0.00"/>
    <numFmt numFmtId="167" formatCode="#,##0.0000_ ;\-#,##0.0000\ "/>
    <numFmt numFmtId="168" formatCode="&quot;$&quot;#,##0.000000"/>
    <numFmt numFmtId="169" formatCode="&quot;$&quot;#,##0.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54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rgb="FF06B617"/>
      <name val="Calibri"/>
      <family val="2"/>
      <scheme val="minor"/>
    </font>
    <font>
      <b/>
      <sz val="7"/>
      <color rgb="FFFFFFFF"/>
      <name val="Calibri"/>
      <family val="2"/>
      <scheme val="minor"/>
    </font>
    <font>
      <sz val="7"/>
      <color rgb="FF06B617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FF212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rgb="FFFF212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9BCD2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9BCD2"/>
      </left>
      <right/>
      <top/>
      <bottom/>
      <diagonal/>
    </border>
    <border>
      <left/>
      <right style="thin">
        <color rgb="FFC9BCD2"/>
      </right>
      <top/>
      <bottom/>
      <diagonal/>
    </border>
    <border>
      <left style="thin">
        <color rgb="FFC9BCD2"/>
      </left>
      <right/>
      <top/>
      <bottom style="thin">
        <color rgb="FFC9BCD2"/>
      </bottom>
      <diagonal/>
    </border>
    <border>
      <left/>
      <right/>
      <top/>
      <bottom style="thin">
        <color rgb="FFC9BCD2"/>
      </bottom>
      <diagonal/>
    </border>
    <border>
      <left/>
      <right style="thin">
        <color rgb="FFC9BCD2"/>
      </right>
      <top/>
      <bottom style="thin">
        <color rgb="FFC9BCD2"/>
      </bottom>
      <diagonal/>
    </border>
  </borders>
  <cellStyleXfs count="15">
    <xf numFmtId="0" fontId="0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109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7" fillId="3" borderId="1" xfId="0" applyFont="1" applyFill="1" applyBorder="1" applyAlignment="1">
      <alignment horizontal="center" vertical="center" wrapText="1"/>
    </xf>
    <xf numFmtId="0" fontId="13" fillId="0" borderId="0" xfId="0" applyFont="1"/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11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6" fillId="5" borderId="0" xfId="0" applyFont="1" applyFill="1"/>
    <xf numFmtId="0" fontId="17" fillId="6" borderId="0" xfId="0" applyFont="1" applyFill="1"/>
    <xf numFmtId="0" fontId="17" fillId="6" borderId="0" xfId="0" applyFont="1" applyFill="1" applyAlignment="1">
      <alignment horizontal="center"/>
    </xf>
    <xf numFmtId="0" fontId="16" fillId="6" borderId="0" xfId="0" applyFont="1" applyFill="1"/>
    <xf numFmtId="0" fontId="6" fillId="7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3" fontId="12" fillId="0" borderId="0" xfId="0" applyNumberFormat="1" applyFont="1" applyAlignment="1">
      <alignment horizontal="center"/>
    </xf>
    <xf numFmtId="0" fontId="18" fillId="0" borderId="0" xfId="0" applyFont="1"/>
    <xf numFmtId="0" fontId="20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8" fontId="15" fillId="5" borderId="0" xfId="0" applyNumberFormat="1" applyFont="1" applyFill="1"/>
    <xf numFmtId="8" fontId="15" fillId="0" borderId="0" xfId="0" applyNumberFormat="1" applyFont="1"/>
    <xf numFmtId="8" fontId="17" fillId="6" borderId="0" xfId="0" applyNumberFormat="1" applyFont="1" applyFill="1"/>
    <xf numFmtId="8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12" fillId="0" borderId="0" xfId="0" applyFont="1"/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0" fontId="21" fillId="0" borderId="0" xfId="0" applyNumberFormat="1" applyFont="1"/>
    <xf numFmtId="10" fontId="18" fillId="0" borderId="0" xfId="0" applyNumberFormat="1" applyFont="1"/>
    <xf numFmtId="10" fontId="12" fillId="0" borderId="0" xfId="0" applyNumberFormat="1" applyFont="1" applyAlignment="1">
      <alignment horizontal="center"/>
    </xf>
    <xf numFmtId="4" fontId="12" fillId="0" borderId="0" xfId="0" applyNumberFormat="1" applyFont="1"/>
    <xf numFmtId="10" fontId="15" fillId="5" borderId="0" xfId="0" applyNumberFormat="1" applyFont="1" applyFill="1" applyAlignment="1">
      <alignment horizontal="center"/>
    </xf>
    <xf numFmtId="8" fontId="12" fillId="0" borderId="0" xfId="0" applyNumberFormat="1" applyFont="1"/>
    <xf numFmtId="8" fontId="21" fillId="0" borderId="0" xfId="0" applyNumberFormat="1" applyFont="1"/>
    <xf numFmtId="8" fontId="18" fillId="0" borderId="0" xfId="0" applyNumberFormat="1" applyFont="1"/>
    <xf numFmtId="44" fontId="0" fillId="0" borderId="1" xfId="0" applyNumberFormat="1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5" fontId="12" fillId="0" borderId="0" xfId="0" applyNumberFormat="1" applyFont="1"/>
    <xf numFmtId="14" fontId="12" fillId="0" borderId="0" xfId="0" applyNumberFormat="1" applyFont="1"/>
    <xf numFmtId="164" fontId="12" fillId="0" borderId="0" xfId="0" applyNumberFormat="1" applyFont="1"/>
    <xf numFmtId="4" fontId="0" fillId="0" borderId="0" xfId="0" applyNumberFormat="1"/>
    <xf numFmtId="166" fontId="12" fillId="0" borderId="0" xfId="0" applyNumberFormat="1" applyFont="1"/>
    <xf numFmtId="0" fontId="0" fillId="0" borderId="2" xfId="0" applyBorder="1"/>
    <xf numFmtId="0" fontId="0" fillId="0" borderId="3" xfId="0" applyBorder="1"/>
    <xf numFmtId="0" fontId="12" fillId="0" borderId="2" xfId="0" applyFont="1" applyBorder="1"/>
    <xf numFmtId="0" fontId="13" fillId="0" borderId="2" xfId="0" applyFont="1" applyBorder="1"/>
    <xf numFmtId="10" fontId="12" fillId="0" borderId="3" xfId="0" applyNumberFormat="1" applyFont="1" applyBorder="1" applyAlignment="1">
      <alignment horizontal="center"/>
    </xf>
    <xf numFmtId="0" fontId="19" fillId="0" borderId="2" xfId="0" applyFont="1" applyBorder="1"/>
    <xf numFmtId="0" fontId="12" fillId="0" borderId="3" xfId="0" applyFont="1" applyBorder="1"/>
    <xf numFmtId="4" fontId="12" fillId="0" borderId="3" xfId="0" applyNumberFormat="1" applyFont="1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8" fontId="24" fillId="5" borderId="0" xfId="0" applyNumberFormat="1" applyFont="1" applyFill="1"/>
    <xf numFmtId="10" fontId="24" fillId="5" borderId="0" xfId="0" applyNumberFormat="1" applyFont="1" applyFill="1"/>
    <xf numFmtId="0" fontId="12" fillId="0" borderId="5" xfId="0" applyFont="1" applyBorder="1"/>
    <xf numFmtId="4" fontId="12" fillId="0" borderId="5" xfId="0" applyNumberFormat="1" applyFont="1" applyBorder="1"/>
    <xf numFmtId="0" fontId="12" fillId="0" borderId="4" xfId="0" applyFont="1" applyBorder="1"/>
    <xf numFmtId="0" fontId="24" fillId="6" borderId="0" xfId="0" applyFont="1" applyFill="1"/>
    <xf numFmtId="0" fontId="12" fillId="0" borderId="5" xfId="0" applyFont="1" applyBorder="1" applyAlignment="1">
      <alignment horizontal="center"/>
    </xf>
    <xf numFmtId="8" fontId="12" fillId="0" borderId="5" xfId="0" applyNumberFormat="1" applyFont="1" applyBorder="1"/>
    <xf numFmtId="10" fontId="12" fillId="0" borderId="6" xfId="0" applyNumberFormat="1" applyFont="1" applyBorder="1" applyAlignment="1">
      <alignment horizontal="center"/>
    </xf>
    <xf numFmtId="8" fontId="18" fillId="0" borderId="5" xfId="0" applyNumberFormat="1" applyFont="1" applyBorder="1"/>
    <xf numFmtId="10" fontId="18" fillId="0" borderId="5" xfId="0" applyNumberFormat="1" applyFont="1" applyBorder="1"/>
    <xf numFmtId="166" fontId="12" fillId="0" borderId="5" xfId="0" applyNumberFormat="1" applyFont="1" applyBorder="1"/>
    <xf numFmtId="10" fontId="0" fillId="0" borderId="0" xfId="0" applyNumberFormat="1"/>
    <xf numFmtId="167" fontId="12" fillId="0" borderId="0" xfId="0" applyNumberFormat="1" applyFont="1"/>
    <xf numFmtId="168" fontId="12" fillId="0" borderId="0" xfId="0" applyNumberFormat="1" applyFont="1"/>
    <xf numFmtId="169" fontId="12" fillId="0" borderId="0" xfId="0" applyNumberFormat="1" applyFont="1"/>
    <xf numFmtId="8" fontId="16" fillId="5" borderId="0" xfId="0" applyNumberFormat="1" applyFont="1" applyFill="1"/>
    <xf numFmtId="10" fontId="16" fillId="5" borderId="0" xfId="0" applyNumberFormat="1" applyFont="1" applyFill="1"/>
    <xf numFmtId="14" fontId="12" fillId="0" borderId="5" xfId="0" applyNumberFormat="1" applyFont="1" applyBorder="1"/>
    <xf numFmtId="165" fontId="12" fillId="0" borderId="5" xfId="0" applyNumberFormat="1" applyFont="1" applyBorder="1"/>
    <xf numFmtId="164" fontId="12" fillId="0" borderId="5" xfId="0" applyNumberFormat="1" applyFont="1" applyBorder="1"/>
    <xf numFmtId="10" fontId="15" fillId="0" borderId="0" xfId="0" applyNumberFormat="1" applyFont="1" applyAlignment="1">
      <alignment horizontal="center"/>
    </xf>
    <xf numFmtId="4" fontId="12" fillId="0" borderId="6" xfId="0" applyNumberFormat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3" fillId="2" borderId="0" xfId="0" applyFont="1" applyFill="1" applyAlignment="1">
      <alignment horizontal="center" vertical="center" wrapText="1"/>
    </xf>
    <xf numFmtId="167" fontId="12" fillId="0" borderId="5" xfId="0" applyNumberFormat="1" applyFont="1" applyBorder="1"/>
    <xf numFmtId="0" fontId="12" fillId="0" borderId="6" xfId="0" applyFont="1" applyBorder="1"/>
    <xf numFmtId="0" fontId="0" fillId="0" borderId="0" xfId="0" applyBorder="1"/>
    <xf numFmtId="0" fontId="19" fillId="0" borderId="0" xfId="0" applyFont="1" applyBorder="1"/>
    <xf numFmtId="0" fontId="11" fillId="4" borderId="0" xfId="0" applyFont="1" applyFill="1" applyBorder="1" applyAlignment="1">
      <alignment horizontal="center"/>
    </xf>
    <xf numFmtId="0" fontId="12" fillId="0" borderId="0" xfId="0" applyFont="1" applyBorder="1"/>
    <xf numFmtId="0" fontId="13" fillId="0" borderId="0" xfId="0" applyFont="1" applyBorder="1"/>
  </cellXfs>
  <cellStyles count="15">
    <cellStyle name="Millares 2" xfId="1" xr:uid="{00000000-0005-0000-0000-000000000000}"/>
    <cellStyle name="Millares 3" xfId="3" xr:uid="{00000000-0005-0000-0000-000001000000}"/>
    <cellStyle name="Millares 4" xfId="5" xr:uid="{00000000-0005-0000-0000-000002000000}"/>
    <cellStyle name="Millares 5" xfId="7" xr:uid="{00000000-0005-0000-0000-000003000000}"/>
    <cellStyle name="Millares 6" xfId="9" xr:uid="{00000000-0005-0000-0000-000004000000}"/>
    <cellStyle name="Millares 7" xfId="11" xr:uid="{00000000-0005-0000-0000-000005000000}"/>
    <cellStyle name="Millares 8" xfId="13" xr:uid="{00000000-0005-0000-0000-000006000000}"/>
    <cellStyle name="Moneda 2" xfId="2" xr:uid="{00000000-0005-0000-0000-000007000000}"/>
    <cellStyle name="Moneda 3" xfId="4" xr:uid="{00000000-0005-0000-0000-000008000000}"/>
    <cellStyle name="Moneda 4" xfId="6" xr:uid="{00000000-0005-0000-0000-000009000000}"/>
    <cellStyle name="Moneda 5" xfId="8" xr:uid="{00000000-0005-0000-0000-00000A000000}"/>
    <cellStyle name="Moneda 6" xfId="10" xr:uid="{00000000-0005-0000-0000-00000B000000}"/>
    <cellStyle name="Moneda 7" xfId="12" xr:uid="{00000000-0005-0000-0000-00000C000000}"/>
    <cellStyle name="Moneda 8" xfId="14" xr:uid="{00000000-0005-0000-0000-00000D000000}"/>
    <cellStyle name="Normal" xfId="0" builtinId="0"/>
  </cellStyles>
  <dxfs count="0"/>
  <tableStyles count="0" defaultTableStyle="TableStyleMedium9" defaultPivotStyle="PivotStyleLight16"/>
  <colors>
    <mruColors>
      <color rgb="FFD2D2D2"/>
      <color rgb="FFC9BC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161925</xdr:rowOff>
        </xdr:from>
        <xdr:to>
          <xdr:col>1</xdr:col>
          <xdr:colOff>47625</xdr:colOff>
          <xdr:row>13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Llenar Lay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0</xdr:row>
          <xdr:rowOff>123825</xdr:rowOff>
        </xdr:from>
        <xdr:to>
          <xdr:col>20</xdr:col>
          <xdr:colOff>466725</xdr:colOff>
          <xdr:row>0</xdr:row>
          <xdr:rowOff>504825</xdr:rowOff>
        </xdr:to>
        <xdr:sp macro="" textlink="">
          <xdr:nvSpPr>
            <xdr:cNvPr id="1083393" name="Button 1" hidden="1">
              <a:extLst>
                <a:ext uri="{63B3BB69-23CF-44E3-9099-C40C66FF867C}">
                  <a14:compatExt spid="_x0000_s1083393"/>
                </a:ext>
                <a:ext uri="{FF2B5EF4-FFF2-40B4-BE49-F238E27FC236}">
                  <a16:creationId xmlns:a16="http://schemas.microsoft.com/office/drawing/2014/main" id="{00000000-0008-0000-0200-0000018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C3B1698F-BBBE-442C-937B-29C976491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619125</xdr:colOff>
          <xdr:row>1</xdr:row>
          <xdr:rowOff>38100</xdr:rowOff>
        </xdr:from>
        <xdr:to>
          <xdr:col>20</xdr:col>
          <xdr:colOff>361950</xdr:colOff>
          <xdr:row>3</xdr:row>
          <xdr:rowOff>38100</xdr:rowOff>
        </xdr:to>
        <xdr:sp macro="" textlink="">
          <xdr:nvSpPr>
            <xdr:cNvPr id="1207298" name="Button 2" hidden="1">
              <a:extLst>
                <a:ext uri="{63B3BB69-23CF-44E3-9099-C40C66FF867C}">
                  <a14:compatExt spid="_x0000_s1207298"/>
                </a:ext>
                <a:ext uri="{FF2B5EF4-FFF2-40B4-BE49-F238E27FC236}">
                  <a16:creationId xmlns:a16="http://schemas.microsoft.com/office/drawing/2014/main" id="{00000000-0008-0000-0500-0000026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619125</xdr:colOff>
          <xdr:row>3</xdr:row>
          <xdr:rowOff>171450</xdr:rowOff>
        </xdr:from>
        <xdr:to>
          <xdr:col>20</xdr:col>
          <xdr:colOff>361950</xdr:colOff>
          <xdr:row>5</xdr:row>
          <xdr:rowOff>171450</xdr:rowOff>
        </xdr:to>
        <xdr:sp macro="" textlink="">
          <xdr:nvSpPr>
            <xdr:cNvPr id="1207299" name="Button 3" hidden="1">
              <a:extLst>
                <a:ext uri="{63B3BB69-23CF-44E3-9099-C40C66FF867C}">
                  <a14:compatExt spid="_x0000_s1207299"/>
                </a:ext>
                <a:ext uri="{FF2B5EF4-FFF2-40B4-BE49-F238E27FC236}">
                  <a16:creationId xmlns:a16="http://schemas.microsoft.com/office/drawing/2014/main" id="{00000000-0008-0000-0500-0000036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619125</xdr:colOff>
          <xdr:row>1</xdr:row>
          <xdr:rowOff>38100</xdr:rowOff>
        </xdr:from>
        <xdr:to>
          <xdr:col>20</xdr:col>
          <xdr:colOff>361950</xdr:colOff>
          <xdr:row>3</xdr:row>
          <xdr:rowOff>38100</xdr:rowOff>
        </xdr:to>
        <xdr:sp macro="" textlink="">
          <xdr:nvSpPr>
            <xdr:cNvPr id="1207300" name="Button 4" hidden="1">
              <a:extLst>
                <a:ext uri="{63B3BB69-23CF-44E3-9099-C40C66FF867C}">
                  <a14:compatExt spid="_x0000_s1207300"/>
                </a:ext>
                <a:ext uri="{FF2B5EF4-FFF2-40B4-BE49-F238E27FC236}">
                  <a16:creationId xmlns:a16="http://schemas.microsoft.com/office/drawing/2014/main" id="{E600E0E7-A6BD-F1CB-8052-77CA1487C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60838</xdr:colOff>
      <xdr:row>2</xdr:row>
      <xdr:rowOff>92924</xdr:rowOff>
    </xdr:to>
    <xdr:pic>
      <xdr:nvPicPr>
        <xdr:cNvPr id="2" name="1 Imagen" descr="EncabezadoMovimientosCliente.jpg">
          <a:extLst>
            <a:ext uri="{FF2B5EF4-FFF2-40B4-BE49-F238E27FC236}">
              <a16:creationId xmlns:a16="http://schemas.microsoft.com/office/drawing/2014/main" id="{6E82C6D1-156D-4E47-8563-3D270D48C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109713" cy="8739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457200</xdr:colOff>
          <xdr:row>0</xdr:row>
          <xdr:rowOff>381000</xdr:rowOff>
        </xdr:from>
        <xdr:to>
          <xdr:col>19</xdr:col>
          <xdr:colOff>200025</xdr:colOff>
          <xdr:row>1</xdr:row>
          <xdr:rowOff>180975</xdr:rowOff>
        </xdr:to>
        <xdr:sp macro="" textlink="">
          <xdr:nvSpPr>
            <xdr:cNvPr id="1210369" name="Button 1" hidden="1">
              <a:extLst>
                <a:ext uri="{63B3BB69-23CF-44E3-9099-C40C66FF867C}">
                  <a14:compatExt spid="_x0000_s1210369"/>
                </a:ext>
                <a:ext uri="{FF2B5EF4-FFF2-40B4-BE49-F238E27FC236}">
                  <a16:creationId xmlns:a16="http://schemas.microsoft.com/office/drawing/2014/main" id="{86744B65-F123-F3F8-92D7-C1C6F1B33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0</xdr:row>
          <xdr:rowOff>381000</xdr:rowOff>
        </xdr:from>
        <xdr:to>
          <xdr:col>20</xdr:col>
          <xdr:colOff>714375</xdr:colOff>
          <xdr:row>1</xdr:row>
          <xdr:rowOff>180975</xdr:rowOff>
        </xdr:to>
        <xdr:sp macro="" textlink="">
          <xdr:nvSpPr>
            <xdr:cNvPr id="1210370" name="Button 2" hidden="1">
              <a:extLst>
                <a:ext uri="{63B3BB69-23CF-44E3-9099-C40C66FF867C}">
                  <a14:compatExt spid="_x0000_s1210370"/>
                </a:ext>
                <a:ext uri="{FF2B5EF4-FFF2-40B4-BE49-F238E27FC236}">
                  <a16:creationId xmlns:a16="http://schemas.microsoft.com/office/drawing/2014/main" id="{E18BB250-F237-041D-2755-6AF93DB26E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457200</xdr:colOff>
          <xdr:row>2</xdr:row>
          <xdr:rowOff>104775</xdr:rowOff>
        </xdr:from>
        <xdr:to>
          <xdr:col>19</xdr:col>
          <xdr:colOff>200025</xdr:colOff>
          <xdr:row>4</xdr:row>
          <xdr:rowOff>114300</xdr:rowOff>
        </xdr:to>
        <xdr:sp macro="" textlink="">
          <xdr:nvSpPr>
            <xdr:cNvPr id="1210371" name="Button 3" hidden="1">
              <a:extLst>
                <a:ext uri="{63B3BB69-23CF-44E3-9099-C40C66FF867C}">
                  <a14:compatExt spid="_x0000_s1210371"/>
                </a:ext>
                <a:ext uri="{FF2B5EF4-FFF2-40B4-BE49-F238E27FC236}">
                  <a16:creationId xmlns:a16="http://schemas.microsoft.com/office/drawing/2014/main" id="{4C5BFEAB-A5A0-A162-EBCD-C6981C6A9B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2</xdr:row>
          <xdr:rowOff>104775</xdr:rowOff>
        </xdr:from>
        <xdr:to>
          <xdr:col>20</xdr:col>
          <xdr:colOff>714375</xdr:colOff>
          <xdr:row>4</xdr:row>
          <xdr:rowOff>114300</xdr:rowOff>
        </xdr:to>
        <xdr:sp macro="" textlink="">
          <xdr:nvSpPr>
            <xdr:cNvPr id="1210372" name="Button 4" hidden="1">
              <a:extLst>
                <a:ext uri="{63B3BB69-23CF-44E3-9099-C40C66FF867C}">
                  <a14:compatExt spid="_x0000_s1210372"/>
                </a:ext>
                <a:ext uri="{FF2B5EF4-FFF2-40B4-BE49-F238E27FC236}">
                  <a16:creationId xmlns:a16="http://schemas.microsoft.com/office/drawing/2014/main" id="{17638BEE-2928-8E1A-E575-842C4CAD8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3265E507-7A8E-4F57-9839-FB9A1C0A6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619125</xdr:colOff>
          <xdr:row>0</xdr:row>
          <xdr:rowOff>123825</xdr:rowOff>
        </xdr:from>
        <xdr:to>
          <xdr:col>20</xdr:col>
          <xdr:colOff>361950</xdr:colOff>
          <xdr:row>0</xdr:row>
          <xdr:rowOff>504825</xdr:rowOff>
        </xdr:to>
        <xdr:sp macro="" textlink="">
          <xdr:nvSpPr>
            <xdr:cNvPr id="1211393" name="Button 1" hidden="1">
              <a:extLst>
                <a:ext uri="{63B3BB69-23CF-44E3-9099-C40C66FF867C}">
                  <a14:compatExt spid="_x0000_s1211393"/>
                </a:ext>
                <a:ext uri="{FF2B5EF4-FFF2-40B4-BE49-F238E27FC236}">
                  <a16:creationId xmlns:a16="http://schemas.microsoft.com/office/drawing/2014/main" id="{28BF5210-C619-F46E-980A-8562FC05C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Posición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619125</xdr:colOff>
          <xdr:row>1</xdr:row>
          <xdr:rowOff>38100</xdr:rowOff>
        </xdr:from>
        <xdr:to>
          <xdr:col>20</xdr:col>
          <xdr:colOff>361950</xdr:colOff>
          <xdr:row>3</xdr:row>
          <xdr:rowOff>38100</xdr:rowOff>
        </xdr:to>
        <xdr:sp macro="" textlink="">
          <xdr:nvSpPr>
            <xdr:cNvPr id="1211394" name="Button 2" hidden="1">
              <a:extLst>
                <a:ext uri="{63B3BB69-23CF-44E3-9099-C40C66FF867C}">
                  <a14:compatExt spid="_x0000_s1211394"/>
                </a:ext>
                <a:ext uri="{FF2B5EF4-FFF2-40B4-BE49-F238E27FC236}">
                  <a16:creationId xmlns:a16="http://schemas.microsoft.com/office/drawing/2014/main" id="{8FB91F21-78BE-AC4C-2EE3-D5F7DD4851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619125</xdr:colOff>
          <xdr:row>3</xdr:row>
          <xdr:rowOff>171450</xdr:rowOff>
        </xdr:from>
        <xdr:to>
          <xdr:col>20</xdr:col>
          <xdr:colOff>361950</xdr:colOff>
          <xdr:row>5</xdr:row>
          <xdr:rowOff>171450</xdr:rowOff>
        </xdr:to>
        <xdr:sp macro="" textlink="">
          <xdr:nvSpPr>
            <xdr:cNvPr id="1211395" name="Button 3" hidden="1">
              <a:extLst>
                <a:ext uri="{63B3BB69-23CF-44E3-9099-C40C66FF867C}">
                  <a14:compatExt spid="_x0000_s1211395"/>
                </a:ext>
                <a:ext uri="{FF2B5EF4-FFF2-40B4-BE49-F238E27FC236}">
                  <a16:creationId xmlns:a16="http://schemas.microsoft.com/office/drawing/2014/main" id="{E7646D45-C6AD-C5F5-D122-87120800E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25"/>
  <sheetViews>
    <sheetView showGridLines="0" tabSelected="1" zoomScale="85" zoomScaleNormal="85" workbookViewId="0">
      <selection activeCell="E11" sqref="E11"/>
    </sheetView>
  </sheetViews>
  <sheetFormatPr baseColWidth="10" defaultRowHeight="15" x14ac:dyDescent="0.25"/>
  <cols>
    <col min="1" max="1" width="19.28515625" customWidth="1"/>
    <col min="2" max="2" width="17.28515625" customWidth="1"/>
    <col min="3" max="3" width="19.140625" bestFit="1" customWidth="1"/>
    <col min="4" max="4" width="13" style="45" bestFit="1" customWidth="1"/>
    <col min="5" max="5" width="20.85546875" style="2" bestFit="1" customWidth="1"/>
    <col min="6" max="6" width="21.7109375" style="2" bestFit="1" customWidth="1"/>
    <col min="7" max="7" width="21.140625" style="2" bestFit="1" customWidth="1"/>
    <col min="8" max="8" width="22.7109375" style="2" customWidth="1"/>
    <col min="9" max="9" width="18.42578125" style="2" bestFit="1" customWidth="1"/>
    <col min="10" max="10" width="21.28515625" style="2" customWidth="1"/>
    <col min="11" max="11" width="28" style="2" customWidth="1"/>
    <col min="12" max="12" width="17.42578125" bestFit="1" customWidth="1"/>
    <col min="13" max="13" width="16.42578125" bestFit="1" customWidth="1"/>
    <col min="14" max="14" width="15.140625" bestFit="1" customWidth="1"/>
    <col min="15" max="16" width="18.28515625" bestFit="1" customWidth="1"/>
    <col min="17" max="17" width="28.42578125" bestFit="1" customWidth="1"/>
  </cols>
  <sheetData>
    <row r="1" spans="1:11" ht="21" x14ac:dyDescent="0.35">
      <c r="A1" s="1" t="s">
        <v>0</v>
      </c>
    </row>
    <row r="2" spans="1:11" ht="21" x14ac:dyDescent="0.35">
      <c r="A2" s="1"/>
    </row>
    <row r="3" spans="1:11" x14ac:dyDescent="0.25">
      <c r="A3" t="s">
        <v>1</v>
      </c>
      <c r="E3"/>
      <c r="F3"/>
      <c r="G3"/>
      <c r="H3"/>
      <c r="I3"/>
      <c r="J3"/>
      <c r="K3"/>
    </row>
    <row r="4" spans="1:11" x14ac:dyDescent="0.25">
      <c r="B4" t="s">
        <v>6</v>
      </c>
      <c r="E4"/>
      <c r="F4"/>
      <c r="G4"/>
      <c r="H4"/>
      <c r="I4"/>
      <c r="J4"/>
      <c r="K4"/>
    </row>
    <row r="5" spans="1:11" x14ac:dyDescent="0.25">
      <c r="E5"/>
      <c r="F5"/>
      <c r="G5"/>
      <c r="H5"/>
      <c r="I5"/>
      <c r="J5"/>
      <c r="K5"/>
    </row>
    <row r="6" spans="1:11" x14ac:dyDescent="0.25">
      <c r="A6" s="101" t="s">
        <v>2</v>
      </c>
      <c r="B6" s="3"/>
      <c r="E6"/>
      <c r="F6"/>
      <c r="G6"/>
      <c r="H6"/>
      <c r="I6"/>
      <c r="J6"/>
      <c r="K6"/>
    </row>
    <row r="7" spans="1:11" x14ac:dyDescent="0.25">
      <c r="A7" s="101"/>
      <c r="B7" s="3" t="s">
        <v>11</v>
      </c>
      <c r="E7"/>
      <c r="F7"/>
      <c r="G7"/>
      <c r="H7"/>
      <c r="I7"/>
      <c r="J7"/>
      <c r="K7"/>
    </row>
    <row r="8" spans="1:11" x14ac:dyDescent="0.25">
      <c r="E8"/>
      <c r="F8"/>
      <c r="G8"/>
      <c r="H8"/>
      <c r="I8"/>
      <c r="J8"/>
      <c r="K8"/>
    </row>
    <row r="9" spans="1:11" ht="21" x14ac:dyDescent="0.35">
      <c r="A9" s="1"/>
    </row>
    <row r="10" spans="1:11" ht="21" x14ac:dyDescent="0.35">
      <c r="A10" s="1"/>
    </row>
    <row r="11" spans="1:11" x14ac:dyDescent="0.25">
      <c r="A11" s="4"/>
    </row>
    <row r="12" spans="1:11" ht="21" x14ac:dyDescent="0.35">
      <c r="A12" s="1"/>
    </row>
    <row r="13" spans="1:11" ht="21" x14ac:dyDescent="0.35">
      <c r="A13" s="1"/>
    </row>
    <row r="15" spans="1:11" s="7" customFormat="1" ht="18.75" x14ac:dyDescent="0.3">
      <c r="A15" s="30">
        <v>1</v>
      </c>
      <c r="B15" s="5">
        <f>A15+1</f>
        <v>2</v>
      </c>
      <c r="C15" s="30">
        <v>3</v>
      </c>
      <c r="D15" s="46">
        <v>4</v>
      </c>
      <c r="E15" s="6">
        <f t="shared" ref="E15:K15" si="0">D15+1</f>
        <v>5</v>
      </c>
      <c r="F15" s="6">
        <f t="shared" si="0"/>
        <v>6</v>
      </c>
      <c r="G15" s="6">
        <f t="shared" si="0"/>
        <v>7</v>
      </c>
      <c r="H15" s="32">
        <f t="shared" si="0"/>
        <v>8</v>
      </c>
      <c r="I15" s="6">
        <f t="shared" si="0"/>
        <v>9</v>
      </c>
      <c r="J15" s="32">
        <f t="shared" si="0"/>
        <v>10</v>
      </c>
      <c r="K15" s="6">
        <f t="shared" si="0"/>
        <v>11</v>
      </c>
    </row>
    <row r="16" spans="1:11" ht="45" x14ac:dyDescent="0.25">
      <c r="A16" s="13" t="s">
        <v>3</v>
      </c>
      <c r="B16" s="13" t="s">
        <v>4</v>
      </c>
      <c r="C16" s="13" t="s">
        <v>5</v>
      </c>
      <c r="D16" s="47" t="s">
        <v>7</v>
      </c>
      <c r="E16" s="33" t="s">
        <v>60</v>
      </c>
      <c r="F16" s="33" t="s">
        <v>61</v>
      </c>
      <c r="G16" s="33" t="s">
        <v>8</v>
      </c>
      <c r="H16" s="33" t="s">
        <v>9</v>
      </c>
      <c r="I16" s="33" t="s">
        <v>59</v>
      </c>
      <c r="J16" s="33" t="s">
        <v>10</v>
      </c>
      <c r="K16" s="13" t="s">
        <v>62</v>
      </c>
    </row>
    <row r="17" spans="1:11" x14ac:dyDescent="0.25">
      <c r="A17" s="8"/>
      <c r="B17" s="9" t="s">
        <v>85</v>
      </c>
      <c r="C17" s="10"/>
      <c r="D17" s="48" t="s">
        <v>161</v>
      </c>
      <c r="E17" s="57">
        <v>17068883.128600001</v>
      </c>
      <c r="F17" s="43">
        <v>0</v>
      </c>
      <c r="G17" s="58">
        <v>134580.04999999999</v>
      </c>
      <c r="H17" s="11"/>
      <c r="I17" s="58">
        <v>0</v>
      </c>
      <c r="J17" s="58">
        <v>27488.98</v>
      </c>
      <c r="K17" s="57">
        <v>17175974.199999999</v>
      </c>
    </row>
    <row r="18" spans="1:11" x14ac:dyDescent="0.25">
      <c r="A18" s="8"/>
      <c r="B18" s="9" t="s">
        <v>86</v>
      </c>
      <c r="C18" s="10"/>
      <c r="D18" s="48" t="s">
        <v>161</v>
      </c>
      <c r="E18" s="57">
        <v>58336.232199999999</v>
      </c>
      <c r="F18" s="43">
        <v>0</v>
      </c>
      <c r="G18" s="58">
        <v>518.85</v>
      </c>
      <c r="H18" s="11"/>
      <c r="I18" s="58">
        <v>0</v>
      </c>
      <c r="J18" s="58">
        <v>93.41</v>
      </c>
      <c r="K18" s="57">
        <v>58761.67</v>
      </c>
    </row>
    <row r="19" spans="1:11" x14ac:dyDescent="0.25">
      <c r="A19" s="8"/>
      <c r="B19" s="9" t="s">
        <v>121</v>
      </c>
      <c r="C19" s="10"/>
      <c r="D19" s="48" t="s">
        <v>161</v>
      </c>
      <c r="E19" s="57">
        <v>13743710.534299999</v>
      </c>
      <c r="F19" s="43">
        <v>0</v>
      </c>
      <c r="G19" s="42">
        <v>151099.29999999999</v>
      </c>
      <c r="H19" s="11"/>
      <c r="I19" s="58">
        <v>0</v>
      </c>
      <c r="J19" s="42">
        <v>22109.55</v>
      </c>
      <c r="K19" s="57">
        <v>13872700.279999999</v>
      </c>
    </row>
    <row r="20" spans="1:11" x14ac:dyDescent="0.25">
      <c r="D20"/>
      <c r="E20"/>
      <c r="F20"/>
      <c r="G20"/>
      <c r="H20"/>
      <c r="I20"/>
      <c r="J20"/>
      <c r="K20"/>
    </row>
    <row r="21" spans="1:11" x14ac:dyDescent="0.25">
      <c r="D21"/>
      <c r="E21"/>
      <c r="F21"/>
      <c r="G21"/>
      <c r="H21"/>
      <c r="I21"/>
      <c r="J21"/>
      <c r="K21"/>
    </row>
    <row r="22" spans="1:11" s="7" customFormat="1" x14ac:dyDescent="0.25">
      <c r="A22"/>
      <c r="B22"/>
      <c r="C22"/>
      <c r="D22"/>
      <c r="E22"/>
      <c r="F22"/>
      <c r="G22"/>
      <c r="H22"/>
      <c r="I22"/>
      <c r="J22"/>
      <c r="K22"/>
    </row>
    <row r="23" spans="1:11" x14ac:dyDescent="0.25">
      <c r="A23" s="4"/>
      <c r="F23" s="31" t="s">
        <v>56</v>
      </c>
      <c r="G23" s="31" t="s">
        <v>57</v>
      </c>
      <c r="I23" s="31" t="s">
        <v>58</v>
      </c>
    </row>
    <row r="24" spans="1:11" x14ac:dyDescent="0.25">
      <c r="A24" s="12"/>
    </row>
    <row r="25" spans="1:11" x14ac:dyDescent="0.25">
      <c r="A25" s="12"/>
    </row>
  </sheetData>
  <mergeCells count="1">
    <mergeCell ref="A6:A7"/>
  </mergeCells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_xludf.LayOut">
                <anchor moveWithCells="1">
                  <from>
                    <xdr:col>0</xdr:col>
                    <xdr:colOff>171450</xdr:colOff>
                    <xdr:row>11</xdr:row>
                    <xdr:rowOff>161925</xdr:rowOff>
                  </from>
                  <to>
                    <xdr:col>1</xdr:col>
                    <xdr:colOff>47625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R29"/>
  <sheetViews>
    <sheetView workbookViewId="0">
      <selection activeCell="A4" sqref="A4"/>
    </sheetView>
  </sheetViews>
  <sheetFormatPr baseColWidth="10" defaultRowHeight="15" x14ac:dyDescent="0.25"/>
  <cols>
    <col min="1" max="1" width="17" bestFit="1" customWidth="1"/>
    <col min="2" max="2" width="12.42578125" bestFit="1" customWidth="1"/>
  </cols>
  <sheetData>
    <row r="1" spans="1:2" x14ac:dyDescent="0.25">
      <c r="A1" t="s">
        <v>87</v>
      </c>
      <c r="B1" t="s">
        <v>88</v>
      </c>
    </row>
    <row r="2" spans="1:2" x14ac:dyDescent="0.25">
      <c r="A2" t="s">
        <v>85</v>
      </c>
      <c r="B2">
        <v>3</v>
      </c>
    </row>
    <row r="3" spans="1:2" x14ac:dyDescent="0.25">
      <c r="A3" t="s">
        <v>86</v>
      </c>
      <c r="B3" t="s">
        <v>86</v>
      </c>
    </row>
    <row r="4" spans="1:2" x14ac:dyDescent="0.25">
      <c r="A4" t="s">
        <v>121</v>
      </c>
      <c r="B4" s="62"/>
    </row>
    <row r="5" spans="1:2" x14ac:dyDescent="0.25">
      <c r="A5" t="s">
        <v>122</v>
      </c>
      <c r="B5" t="b">
        <v>0</v>
      </c>
    </row>
    <row r="6" spans="1:2" x14ac:dyDescent="0.25">
      <c r="A6" t="s">
        <v>121</v>
      </c>
      <c r="B6" t="b">
        <v>1</v>
      </c>
    </row>
    <row r="7" spans="1:2" x14ac:dyDescent="0.25">
      <c r="A7" t="s">
        <v>122</v>
      </c>
      <c r="B7" t="b">
        <v>0</v>
      </c>
    </row>
    <row r="8" spans="1:2" x14ac:dyDescent="0.25">
      <c r="B8">
        <v>72</v>
      </c>
    </row>
    <row r="9" spans="1:2" x14ac:dyDescent="0.25">
      <c r="B9">
        <v>101.25785302430801</v>
      </c>
    </row>
    <row r="10" spans="1:2" x14ac:dyDescent="0.25">
      <c r="B10">
        <v>40.36</v>
      </c>
    </row>
    <row r="21" spans="2:18" x14ac:dyDescent="0.25">
      <c r="R21">
        <v>0</v>
      </c>
    </row>
    <row r="27" spans="2:18" x14ac:dyDescent="0.25">
      <c r="B27" t="s">
        <v>85</v>
      </c>
    </row>
    <row r="28" spans="2:18" x14ac:dyDescent="0.25">
      <c r="B28" t="s">
        <v>86</v>
      </c>
    </row>
    <row r="29" spans="2:18" x14ac:dyDescent="0.25">
      <c r="B29" t="s">
        <v>121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80AE-4288-4AF9-BB03-A8F57E5A086B}">
  <sheetPr codeName="Hoja2"/>
  <dimension ref="A1:S58"/>
  <sheetViews>
    <sheetView workbookViewId="0">
      <selection activeCell="A49" sqref="A49:R4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9.1406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/>
      <c r="F4" s="14"/>
      <c r="G4" s="15"/>
      <c r="I4" s="14" t="s">
        <v>14</v>
      </c>
      <c r="J4" s="15" t="s">
        <v>15</v>
      </c>
      <c r="K4" s="14" t="s">
        <v>23</v>
      </c>
      <c r="L4" s="16">
        <v>45355</v>
      </c>
      <c r="N4" s="14" t="s">
        <v>24</v>
      </c>
      <c r="O4" s="16">
        <v>45355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15</v>
      </c>
      <c r="F9" s="20">
        <v>0</v>
      </c>
      <c r="G9" s="20">
        <v>0</v>
      </c>
      <c r="H9" s="20">
        <v>0</v>
      </c>
      <c r="I9" s="34">
        <v>8333</v>
      </c>
      <c r="J9" s="63">
        <v>11.396630999999999</v>
      </c>
      <c r="K9" s="52">
        <v>92610.49</v>
      </c>
      <c r="L9" s="63">
        <v>11.408529</v>
      </c>
      <c r="M9" s="52">
        <v>92707.17</v>
      </c>
      <c r="N9" s="63">
        <v>11.64</v>
      </c>
      <c r="O9" s="54">
        <v>94466.14</v>
      </c>
      <c r="P9" s="56">
        <v>2266.2199999999998</v>
      </c>
      <c r="Q9" s="50">
        <v>1.9199999999999998E-2</v>
      </c>
      <c r="R9" s="68">
        <v>3.4540605198273449E-3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15</v>
      </c>
      <c r="F10" s="20">
        <v>0</v>
      </c>
      <c r="G10" s="20">
        <v>0</v>
      </c>
      <c r="H10" s="20">
        <v>0</v>
      </c>
      <c r="I10" s="34">
        <v>2000</v>
      </c>
      <c r="J10" s="63">
        <v>11.396630999999999</v>
      </c>
      <c r="K10" s="52">
        <v>22227.4</v>
      </c>
      <c r="L10" s="63">
        <v>11.408529</v>
      </c>
      <c r="M10" s="52">
        <v>22250.61</v>
      </c>
      <c r="N10" s="63">
        <v>11.64</v>
      </c>
      <c r="O10" s="54">
        <v>22672.78</v>
      </c>
      <c r="P10" s="56">
        <v>2266.2199999999998</v>
      </c>
      <c r="Q10" s="50">
        <v>1.9199999999999998E-2</v>
      </c>
      <c r="R10" s="68">
        <v>8.2900766637369774E-4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63">
        <v>43.46</v>
      </c>
      <c r="K11" s="52">
        <v>1101.9100000000001</v>
      </c>
      <c r="L11" s="63">
        <v>43.505384999999997</v>
      </c>
      <c r="M11" s="52">
        <v>1103.06</v>
      </c>
      <c r="N11" s="63">
        <v>66.709999999999994</v>
      </c>
      <c r="O11" s="54">
        <v>1689.22</v>
      </c>
      <c r="P11" s="56">
        <v>601.51</v>
      </c>
      <c r="Q11" s="50">
        <v>0.53180000000000005</v>
      </c>
      <c r="R11" s="68">
        <v>6.1764650395398265E-5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61</v>
      </c>
      <c r="F12" s="20">
        <v>0</v>
      </c>
      <c r="G12" s="20">
        <v>0</v>
      </c>
      <c r="H12" s="20">
        <v>0</v>
      </c>
      <c r="I12" s="20">
        <v>12</v>
      </c>
      <c r="J12" s="63">
        <v>19.539574999999999</v>
      </c>
      <c r="K12" s="54">
        <v>228.65</v>
      </c>
      <c r="L12" s="63">
        <v>19.539574999999999</v>
      </c>
      <c r="M12" s="54">
        <v>228.65</v>
      </c>
      <c r="N12" s="63">
        <v>16.13</v>
      </c>
      <c r="O12" s="54">
        <v>188.51</v>
      </c>
      <c r="P12" s="55">
        <v>-41.12</v>
      </c>
      <c r="Q12" s="49">
        <v>-0.1754</v>
      </c>
      <c r="R12" s="68">
        <v>6.8926807911559925E-6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71864</v>
      </c>
      <c r="J13" s="63">
        <v>3.445719</v>
      </c>
      <c r="K13" s="52">
        <v>241475.77</v>
      </c>
      <c r="L13" s="63">
        <v>3.4493170000000002</v>
      </c>
      <c r="M13" s="52">
        <v>241727.92</v>
      </c>
      <c r="N13" s="63">
        <v>3.36</v>
      </c>
      <c r="O13" s="54">
        <v>235164.88</v>
      </c>
      <c r="P13" s="55">
        <v>-5742.54</v>
      </c>
      <c r="Q13" s="49">
        <v>-2.69E-2</v>
      </c>
      <c r="R13" s="68">
        <v>8.5985701083788873E-3</v>
      </c>
      <c r="S13">
        <v>61864</v>
      </c>
    </row>
    <row r="14" spans="1:19" x14ac:dyDescent="0.25">
      <c r="A14" s="66" t="s">
        <v>82</v>
      </c>
      <c r="B14" s="44" t="s">
        <v>86</v>
      </c>
      <c r="C14" s="44" t="s">
        <v>96</v>
      </c>
      <c r="D14" s="44" t="s">
        <v>97</v>
      </c>
      <c r="E14" s="44">
        <v>0</v>
      </c>
      <c r="F14" s="20">
        <v>0</v>
      </c>
      <c r="G14" s="20">
        <v>0</v>
      </c>
      <c r="H14" s="20">
        <v>0</v>
      </c>
      <c r="I14" s="20">
        <v>23</v>
      </c>
      <c r="J14" s="63">
        <v>15.37</v>
      </c>
      <c r="K14" s="54">
        <v>344.73</v>
      </c>
      <c r="L14" s="63">
        <v>15.386087</v>
      </c>
      <c r="M14" s="54">
        <v>345.09</v>
      </c>
      <c r="N14" s="63">
        <v>9.89</v>
      </c>
      <c r="O14" s="54">
        <v>221.54</v>
      </c>
      <c r="P14" s="55">
        <v>-126.65</v>
      </c>
      <c r="Q14" s="49">
        <v>-0.3579</v>
      </c>
      <c r="R14" s="68">
        <v>8.1003899128571357E-6</v>
      </c>
    </row>
    <row r="15" spans="1:19" x14ac:dyDescent="0.25">
      <c r="A15" s="66" t="s">
        <v>82</v>
      </c>
      <c r="B15" s="44" t="s">
        <v>86</v>
      </c>
      <c r="C15" s="44" t="s">
        <v>98</v>
      </c>
      <c r="D15" s="44" t="s">
        <v>89</v>
      </c>
      <c r="E15" s="44">
        <v>0</v>
      </c>
      <c r="F15" s="20">
        <v>0</v>
      </c>
      <c r="G15" s="20">
        <v>0</v>
      </c>
      <c r="H15" s="20">
        <v>0</v>
      </c>
      <c r="I15" s="20">
        <v>5</v>
      </c>
      <c r="J15" s="63">
        <v>36.979999999999997</v>
      </c>
      <c r="K15" s="54">
        <v>180.31</v>
      </c>
      <c r="L15" s="63">
        <v>37.020000000000003</v>
      </c>
      <c r="M15" s="54">
        <v>180.5</v>
      </c>
      <c r="N15" s="63">
        <v>36.799999999999997</v>
      </c>
      <c r="O15" s="54">
        <v>179.2</v>
      </c>
      <c r="P15" s="55">
        <v>-1.29</v>
      </c>
      <c r="Q15" s="49">
        <v>-7.0000000000000001E-3</v>
      </c>
      <c r="R15" s="68">
        <v>6.5522698943035057E-6</v>
      </c>
    </row>
    <row r="16" spans="1:19" x14ac:dyDescent="0.25">
      <c r="A16" s="66" t="s">
        <v>82</v>
      </c>
      <c r="B16" s="44" t="s">
        <v>86</v>
      </c>
      <c r="C16" s="44" t="s">
        <v>99</v>
      </c>
      <c r="D16" s="44" t="s">
        <v>100</v>
      </c>
      <c r="E16" s="44">
        <v>0</v>
      </c>
      <c r="F16" s="20">
        <v>0</v>
      </c>
      <c r="G16" s="20">
        <v>0</v>
      </c>
      <c r="H16" s="20">
        <v>0</v>
      </c>
      <c r="I16" s="20">
        <v>46</v>
      </c>
      <c r="J16" s="63">
        <v>8.67</v>
      </c>
      <c r="K16" s="54">
        <v>388.92</v>
      </c>
      <c r="L16" s="63">
        <v>8.6791300000000007</v>
      </c>
      <c r="M16" s="54">
        <v>389.33</v>
      </c>
      <c r="N16" s="63">
        <v>13.23</v>
      </c>
      <c r="O16" s="54">
        <v>592.71</v>
      </c>
      <c r="P16" s="56">
        <v>208.7</v>
      </c>
      <c r="Q16" s="50">
        <v>0.52280000000000004</v>
      </c>
      <c r="R16" s="68">
        <v>2.1671852059445487E-5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13</v>
      </c>
      <c r="E17" s="44">
        <v>0</v>
      </c>
      <c r="F17" s="20">
        <v>0</v>
      </c>
      <c r="G17" s="20">
        <v>0</v>
      </c>
      <c r="H17" s="20">
        <v>0</v>
      </c>
      <c r="I17" s="34">
        <v>4761</v>
      </c>
      <c r="J17" s="63">
        <v>20.855626999999998</v>
      </c>
      <c r="K17" s="52">
        <v>96828.62</v>
      </c>
      <c r="L17" s="63">
        <v>20.877400999999999</v>
      </c>
      <c r="M17" s="52">
        <v>96929.72</v>
      </c>
      <c r="N17" s="63">
        <v>20.399999999999999</v>
      </c>
      <c r="O17" s="54">
        <v>94591.07</v>
      </c>
      <c r="P17" s="55">
        <v>-3371.7</v>
      </c>
      <c r="Q17" s="49">
        <v>-2.3900000000000001E-2</v>
      </c>
      <c r="R17" s="68">
        <v>3.4586284611102429E-3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13</v>
      </c>
      <c r="E18" s="44">
        <v>0</v>
      </c>
      <c r="F18" s="20">
        <v>0</v>
      </c>
      <c r="G18" s="20">
        <v>0</v>
      </c>
      <c r="H18" s="20">
        <v>0</v>
      </c>
      <c r="I18" s="34">
        <v>2000</v>
      </c>
      <c r="J18" s="63">
        <v>20.855626999999998</v>
      </c>
      <c r="K18" s="52">
        <v>40675.75</v>
      </c>
      <c r="L18" s="63">
        <v>20.877400999999999</v>
      </c>
      <c r="M18" s="52">
        <v>40718.21</v>
      </c>
      <c r="N18" s="63">
        <v>20.399999999999999</v>
      </c>
      <c r="O18" s="54">
        <v>39735.800000000003</v>
      </c>
      <c r="P18" s="55">
        <v>-3371.7</v>
      </c>
      <c r="Q18" s="49">
        <v>-2.3900000000000001E-2</v>
      </c>
      <c r="R18" s="68">
        <v>1.4529000338508106E-3</v>
      </c>
    </row>
    <row r="19" spans="1:19" x14ac:dyDescent="0.25">
      <c r="A19" s="66" t="s">
        <v>82</v>
      </c>
      <c r="B19" s="44" t="s">
        <v>85</v>
      </c>
      <c r="C19" s="44" t="s">
        <v>136</v>
      </c>
      <c r="D19" s="44">
        <v>18</v>
      </c>
      <c r="E19" s="44">
        <v>0</v>
      </c>
      <c r="F19" s="20">
        <v>0</v>
      </c>
      <c r="G19" s="20">
        <v>0</v>
      </c>
      <c r="H19" s="20">
        <v>0</v>
      </c>
      <c r="I19" s="34">
        <v>2230</v>
      </c>
      <c r="J19" s="63">
        <v>26.904828999999999</v>
      </c>
      <c r="K19" s="52">
        <v>58508.29</v>
      </c>
      <c r="L19" s="63">
        <v>26.932918000000001</v>
      </c>
      <c r="M19" s="52">
        <v>58569.38</v>
      </c>
      <c r="N19" s="63">
        <v>27.2</v>
      </c>
      <c r="O19" s="54">
        <v>59073.89</v>
      </c>
      <c r="P19" s="56">
        <v>1062.6300000000001</v>
      </c>
      <c r="Q19" s="50">
        <v>8.8999999999999999E-3</v>
      </c>
      <c r="R19" s="68">
        <v>2.1599780747008756E-3</v>
      </c>
    </row>
    <row r="20" spans="1:19" x14ac:dyDescent="0.25">
      <c r="A20" s="66" t="s">
        <v>82</v>
      </c>
      <c r="B20" s="44" t="s">
        <v>121</v>
      </c>
      <c r="C20" s="44" t="s">
        <v>136</v>
      </c>
      <c r="D20" s="44">
        <v>18</v>
      </c>
      <c r="E20" s="44">
        <v>0</v>
      </c>
      <c r="F20" s="20">
        <v>0</v>
      </c>
      <c r="G20" s="20">
        <v>0</v>
      </c>
      <c r="H20" s="20">
        <v>0</v>
      </c>
      <c r="I20" s="34">
        <v>2222</v>
      </c>
      <c r="J20" s="63">
        <v>26.904828999999999</v>
      </c>
      <c r="K20" s="52">
        <v>58298.400000000001</v>
      </c>
      <c r="L20" s="63">
        <v>26.932918000000001</v>
      </c>
      <c r="M20" s="52">
        <v>58359.26</v>
      </c>
      <c r="N20" s="63">
        <v>27.2</v>
      </c>
      <c r="O20" s="54">
        <v>58861.97</v>
      </c>
      <c r="P20" s="56">
        <v>1062.6300000000001</v>
      </c>
      <c r="Q20" s="50">
        <v>8.8999999999999999E-3</v>
      </c>
      <c r="R20" s="68">
        <v>2.1522294305267643E-3</v>
      </c>
    </row>
    <row r="21" spans="1:19" x14ac:dyDescent="0.25">
      <c r="A21" s="66" t="s">
        <v>82</v>
      </c>
      <c r="B21" s="44" t="s">
        <v>86</v>
      </c>
      <c r="C21" s="44" t="s">
        <v>101</v>
      </c>
      <c r="D21" s="44" t="s">
        <v>102</v>
      </c>
      <c r="E21" s="44">
        <v>5</v>
      </c>
      <c r="F21" s="20">
        <v>0</v>
      </c>
      <c r="G21" s="20">
        <v>0</v>
      </c>
      <c r="H21" s="20">
        <v>0</v>
      </c>
      <c r="I21" s="20">
        <v>5</v>
      </c>
      <c r="J21" s="63">
        <v>207.51</v>
      </c>
      <c r="K21" s="52">
        <v>1011.79</v>
      </c>
      <c r="L21" s="63">
        <v>207.72664</v>
      </c>
      <c r="M21" s="52">
        <v>1012.85</v>
      </c>
      <c r="N21" s="63">
        <v>210.08</v>
      </c>
      <c r="O21" s="54">
        <v>1023</v>
      </c>
      <c r="P21" s="56">
        <v>864.28</v>
      </c>
      <c r="Q21" s="50">
        <v>1.03E-2</v>
      </c>
      <c r="R21" s="68">
        <v>3.7404978247056287E-5</v>
      </c>
      <c r="S21">
        <v>405</v>
      </c>
    </row>
    <row r="22" spans="1:19" x14ac:dyDescent="0.25">
      <c r="A22" s="66" t="s">
        <v>82</v>
      </c>
      <c r="B22" s="44" t="s">
        <v>121</v>
      </c>
      <c r="C22" s="44" t="s">
        <v>101</v>
      </c>
      <c r="D22" s="44" t="s">
        <v>102</v>
      </c>
      <c r="E22" s="44">
        <v>5</v>
      </c>
      <c r="F22" s="20">
        <v>0</v>
      </c>
      <c r="G22" s="20">
        <v>0</v>
      </c>
      <c r="H22" s="20">
        <v>0</v>
      </c>
      <c r="I22" s="20">
        <v>800</v>
      </c>
      <c r="J22" s="63">
        <v>207.51</v>
      </c>
      <c r="K22" s="52">
        <v>161886.76</v>
      </c>
      <c r="L22" s="63">
        <v>207.72664</v>
      </c>
      <c r="M22" s="52">
        <v>162055.76999999999</v>
      </c>
      <c r="N22" s="63">
        <v>210.08</v>
      </c>
      <c r="O22" s="54">
        <v>163680.32999999999</v>
      </c>
      <c r="P22" s="56">
        <v>864.28</v>
      </c>
      <c r="Q22" s="50">
        <v>1.03E-2</v>
      </c>
      <c r="R22" s="68">
        <v>5.9848085856510202E-3</v>
      </c>
    </row>
    <row r="23" spans="1:19" x14ac:dyDescent="0.25">
      <c r="A23" s="66" t="s">
        <v>82</v>
      </c>
      <c r="B23" s="44" t="s">
        <v>86</v>
      </c>
      <c r="C23" s="44" t="s">
        <v>103</v>
      </c>
      <c r="D23" s="44" t="s">
        <v>104</v>
      </c>
      <c r="E23" s="44">
        <v>8</v>
      </c>
      <c r="F23" s="20">
        <v>0</v>
      </c>
      <c r="G23" s="20">
        <v>0</v>
      </c>
      <c r="H23" s="20">
        <v>0</v>
      </c>
      <c r="I23" s="20">
        <v>5</v>
      </c>
      <c r="J23" s="63">
        <v>124.54</v>
      </c>
      <c r="K23" s="54">
        <v>607.24</v>
      </c>
      <c r="L23" s="63">
        <v>124.67</v>
      </c>
      <c r="M23" s="54">
        <v>607.87</v>
      </c>
      <c r="N23" s="63">
        <v>179.06</v>
      </c>
      <c r="O23" s="54">
        <v>871.95</v>
      </c>
      <c r="P23" s="56">
        <v>271.02</v>
      </c>
      <c r="Q23" s="50">
        <v>0.43480000000000002</v>
      </c>
      <c r="R23" s="68">
        <v>3.1881985124653695E-5</v>
      </c>
    </row>
    <row r="24" spans="1:19" x14ac:dyDescent="0.25">
      <c r="A24" s="66" t="s">
        <v>82</v>
      </c>
      <c r="B24" s="44" t="s">
        <v>86</v>
      </c>
      <c r="C24" s="44" t="s">
        <v>105</v>
      </c>
      <c r="D24" s="44" t="s">
        <v>97</v>
      </c>
      <c r="E24" s="44">
        <v>1</v>
      </c>
      <c r="F24" s="20">
        <v>0</v>
      </c>
      <c r="G24" s="20">
        <v>0</v>
      </c>
      <c r="H24" s="20">
        <v>0</v>
      </c>
      <c r="I24" s="20">
        <v>159</v>
      </c>
      <c r="J24" s="63">
        <v>2.84</v>
      </c>
      <c r="K24" s="54">
        <v>440.35</v>
      </c>
      <c r="L24" s="63">
        <v>2.842956</v>
      </c>
      <c r="M24" s="54">
        <v>440.81</v>
      </c>
      <c r="N24" s="63">
        <v>2.23</v>
      </c>
      <c r="O24" s="54">
        <v>345.32</v>
      </c>
      <c r="P24" s="55">
        <v>-97.83</v>
      </c>
      <c r="Q24" s="49">
        <v>-0.21640000000000001</v>
      </c>
      <c r="R24" s="68">
        <v>1.2626282588732626E-5</v>
      </c>
    </row>
    <row r="25" spans="1:19" x14ac:dyDescent="0.25">
      <c r="A25" s="66" t="s">
        <v>82</v>
      </c>
      <c r="B25" s="44" t="s">
        <v>86</v>
      </c>
      <c r="C25" s="44" t="s">
        <v>106</v>
      </c>
      <c r="D25" s="44" t="s">
        <v>97</v>
      </c>
      <c r="E25" s="44">
        <v>83</v>
      </c>
      <c r="F25" s="20">
        <v>0</v>
      </c>
      <c r="G25" s="20">
        <v>0</v>
      </c>
      <c r="H25" s="20">
        <v>0</v>
      </c>
      <c r="I25" s="20">
        <v>8</v>
      </c>
      <c r="J25" s="63">
        <v>100.05</v>
      </c>
      <c r="K25" s="54">
        <v>780.53</v>
      </c>
      <c r="L25" s="63">
        <v>100.155</v>
      </c>
      <c r="M25" s="54">
        <v>781.35</v>
      </c>
      <c r="N25" s="63">
        <v>84.2</v>
      </c>
      <c r="O25" s="54">
        <v>656.03</v>
      </c>
      <c r="P25" s="55">
        <v>-128.34</v>
      </c>
      <c r="Q25" s="49">
        <v>-0.16020000000000001</v>
      </c>
      <c r="R25" s="68">
        <v>2.3987084926115673E-5</v>
      </c>
    </row>
    <row r="26" spans="1:19" x14ac:dyDescent="0.25">
      <c r="A26" s="66" t="s">
        <v>82</v>
      </c>
      <c r="B26" s="44" t="s">
        <v>86</v>
      </c>
      <c r="C26" s="44" t="s">
        <v>107</v>
      </c>
      <c r="D26" s="44" t="s">
        <v>108</v>
      </c>
      <c r="E26" s="44">
        <v>5</v>
      </c>
      <c r="F26" s="20">
        <v>0</v>
      </c>
      <c r="G26" s="20">
        <v>0</v>
      </c>
      <c r="H26" s="20">
        <v>0</v>
      </c>
      <c r="I26" s="20">
        <v>2</v>
      </c>
      <c r="J26" s="63">
        <v>113.64</v>
      </c>
      <c r="K26" s="54">
        <v>221.64</v>
      </c>
      <c r="L26" s="63">
        <v>113.755</v>
      </c>
      <c r="M26" s="54">
        <v>221.86</v>
      </c>
      <c r="N26" s="63">
        <v>162.13999999999999</v>
      </c>
      <c r="O26" s="54">
        <v>315.82</v>
      </c>
      <c r="P26" s="56">
        <v>96.43</v>
      </c>
      <c r="Q26" s="50">
        <v>0.4239</v>
      </c>
      <c r="R26" s="68">
        <v>1.1547644408587797E-5</v>
      </c>
    </row>
    <row r="27" spans="1:19" x14ac:dyDescent="0.25">
      <c r="A27" s="66" t="s">
        <v>82</v>
      </c>
      <c r="B27" s="44" t="s">
        <v>86</v>
      </c>
      <c r="C27" s="44" t="s">
        <v>119</v>
      </c>
      <c r="D27" s="44" t="s">
        <v>120</v>
      </c>
      <c r="E27" s="44">
        <v>1</v>
      </c>
      <c r="F27" s="20">
        <v>0</v>
      </c>
      <c r="G27" s="20">
        <v>0</v>
      </c>
      <c r="H27" s="20">
        <v>0</v>
      </c>
      <c r="I27" s="20">
        <v>1</v>
      </c>
      <c r="J27" s="63">
        <v>14.305099</v>
      </c>
      <c r="K27" s="54">
        <v>13.95</v>
      </c>
      <c r="L27" s="63">
        <v>14.305099</v>
      </c>
      <c r="M27" s="54">
        <v>13.95</v>
      </c>
      <c r="N27" s="63">
        <v>5.83</v>
      </c>
      <c r="O27" s="54">
        <v>5.67</v>
      </c>
      <c r="P27" s="55">
        <v>-8.48</v>
      </c>
      <c r="Q27" s="49">
        <v>-0.59289999999999998</v>
      </c>
      <c r="R27" s="68">
        <v>2.0731791462444686E-7</v>
      </c>
    </row>
    <row r="28" spans="1:19" x14ac:dyDescent="0.25">
      <c r="A28" s="66" t="s">
        <v>82</v>
      </c>
      <c r="B28" s="44" t="s">
        <v>86</v>
      </c>
      <c r="C28" s="44" t="s">
        <v>109</v>
      </c>
      <c r="D28" s="44" t="s">
        <v>100</v>
      </c>
      <c r="E28" s="44">
        <v>0</v>
      </c>
      <c r="F28" s="20">
        <v>0</v>
      </c>
      <c r="G28" s="20">
        <v>0</v>
      </c>
      <c r="H28" s="20">
        <v>0</v>
      </c>
      <c r="I28" s="20">
        <v>5</v>
      </c>
      <c r="J28" s="63">
        <v>53.62</v>
      </c>
      <c r="K28" s="54">
        <v>261.44</v>
      </c>
      <c r="L28" s="63">
        <v>53.676000000000002</v>
      </c>
      <c r="M28" s="54">
        <v>261.72000000000003</v>
      </c>
      <c r="N28" s="63">
        <v>47.22</v>
      </c>
      <c r="O28" s="54">
        <v>229.94</v>
      </c>
      <c r="P28" s="55">
        <v>-32.53</v>
      </c>
      <c r="Q28" s="49">
        <v>-0.1212</v>
      </c>
      <c r="R28" s="68">
        <v>8.4075275641526125E-6</v>
      </c>
    </row>
    <row r="29" spans="1:19" x14ac:dyDescent="0.25">
      <c r="A29" s="66" t="s">
        <v>82</v>
      </c>
      <c r="B29" s="44" t="s">
        <v>86</v>
      </c>
      <c r="C29" s="44" t="s">
        <v>90</v>
      </c>
      <c r="D29" s="44" t="s">
        <v>89</v>
      </c>
      <c r="E29" s="44">
        <v>19</v>
      </c>
      <c r="F29" s="20">
        <v>0</v>
      </c>
      <c r="G29" s="20">
        <v>0</v>
      </c>
      <c r="H29" s="20">
        <v>0</v>
      </c>
      <c r="I29" s="20">
        <v>195</v>
      </c>
      <c r="J29" s="63">
        <v>4.38</v>
      </c>
      <c r="K29" s="54">
        <v>832.9</v>
      </c>
      <c r="L29" s="63">
        <v>4.3845640000000001</v>
      </c>
      <c r="M29" s="54">
        <v>833.76</v>
      </c>
      <c r="N29" s="63">
        <v>3.43</v>
      </c>
      <c r="O29" s="54">
        <v>651.41</v>
      </c>
      <c r="P29" s="55">
        <v>-186.84</v>
      </c>
      <c r="Q29" s="49">
        <v>-0.2185</v>
      </c>
      <c r="R29" s="68">
        <v>2.3818159217903162E-5</v>
      </c>
    </row>
    <row r="30" spans="1:19" x14ac:dyDescent="0.25">
      <c r="A30" s="66" t="s">
        <v>82</v>
      </c>
      <c r="B30" s="44" t="s">
        <v>86</v>
      </c>
      <c r="C30" s="44" t="s">
        <v>110</v>
      </c>
      <c r="D30" s="44" t="s">
        <v>94</v>
      </c>
      <c r="E30" s="44">
        <v>13</v>
      </c>
      <c r="F30" s="20">
        <v>0</v>
      </c>
      <c r="G30" s="20">
        <v>0</v>
      </c>
      <c r="H30" s="20">
        <v>0</v>
      </c>
      <c r="I30" s="20">
        <v>2</v>
      </c>
      <c r="J30" s="63">
        <v>142.6</v>
      </c>
      <c r="K30" s="54">
        <v>278.12</v>
      </c>
      <c r="L30" s="63">
        <v>142.75</v>
      </c>
      <c r="M30" s="54">
        <v>278.41000000000003</v>
      </c>
      <c r="N30" s="63">
        <v>177.56</v>
      </c>
      <c r="O30" s="54">
        <v>345.86</v>
      </c>
      <c r="P30" s="56">
        <v>69.25</v>
      </c>
      <c r="Q30" s="50">
        <v>0.24260000000000001</v>
      </c>
      <c r="R30" s="68">
        <v>1.2646027152030192E-5</v>
      </c>
    </row>
    <row r="31" spans="1:19" x14ac:dyDescent="0.25">
      <c r="A31" s="66" t="s">
        <v>82</v>
      </c>
      <c r="B31" s="44" t="s">
        <v>86</v>
      </c>
      <c r="C31" s="44" t="s">
        <v>63</v>
      </c>
      <c r="D31" s="44" t="s">
        <v>89</v>
      </c>
      <c r="E31" s="44">
        <v>5</v>
      </c>
      <c r="F31" s="20">
        <v>0</v>
      </c>
      <c r="G31" s="20">
        <v>0</v>
      </c>
      <c r="H31" s="20">
        <v>0</v>
      </c>
      <c r="I31" s="20">
        <v>7</v>
      </c>
      <c r="J31" s="63">
        <v>115.851428</v>
      </c>
      <c r="K31" s="54">
        <v>790.83</v>
      </c>
      <c r="L31" s="63">
        <v>115.972857</v>
      </c>
      <c r="M31" s="54">
        <v>791.66</v>
      </c>
      <c r="N31" s="63">
        <v>160.47999999999999</v>
      </c>
      <c r="O31" s="54">
        <v>1094.06</v>
      </c>
      <c r="P31" s="56">
        <v>310.38</v>
      </c>
      <c r="Q31" s="50">
        <v>0.38229999999999997</v>
      </c>
      <c r="R31" s="68">
        <v>4.0003216520991589E-5</v>
      </c>
    </row>
    <row r="32" spans="1:19" x14ac:dyDescent="0.25">
      <c r="A32" s="66" t="s">
        <v>140</v>
      </c>
      <c r="B32" s="44" t="s">
        <v>85</v>
      </c>
      <c r="C32" s="44" t="s">
        <v>132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2770</v>
      </c>
      <c r="J32" s="63">
        <v>1396.3</v>
      </c>
      <c r="K32" s="52">
        <v>3771731.96</v>
      </c>
      <c r="L32" s="63">
        <v>1397.7577369999999</v>
      </c>
      <c r="M32" s="52">
        <v>3775669.6</v>
      </c>
      <c r="N32" s="63">
        <v>1382.85</v>
      </c>
      <c r="O32" s="54">
        <v>3730582.51</v>
      </c>
      <c r="P32" s="55">
        <v>-45293.47</v>
      </c>
      <c r="Q32" s="49">
        <v>-1.17E-2</v>
      </c>
      <c r="R32" s="68">
        <v>0.13640504167683151</v>
      </c>
    </row>
    <row r="33" spans="1:18" x14ac:dyDescent="0.25">
      <c r="A33" s="66" t="s">
        <v>82</v>
      </c>
      <c r="B33" s="44" t="s">
        <v>86</v>
      </c>
      <c r="C33" s="44" t="s">
        <v>111</v>
      </c>
      <c r="D33" s="44">
        <v>13</v>
      </c>
      <c r="E33" s="44">
        <v>0</v>
      </c>
      <c r="F33" s="20">
        <v>0</v>
      </c>
      <c r="G33" s="20">
        <v>0</v>
      </c>
      <c r="H33" s="20">
        <v>0</v>
      </c>
      <c r="I33" s="20">
        <v>14</v>
      </c>
      <c r="J33" s="63">
        <v>28.52</v>
      </c>
      <c r="K33" s="54">
        <v>389.37</v>
      </c>
      <c r="L33" s="63">
        <v>28.55</v>
      </c>
      <c r="M33" s="54">
        <v>389.78</v>
      </c>
      <c r="N33" s="63">
        <v>40.25</v>
      </c>
      <c r="O33" s="54">
        <v>548.79999999999995</v>
      </c>
      <c r="P33" s="56">
        <v>163.21</v>
      </c>
      <c r="Q33" s="50">
        <v>0.4083</v>
      </c>
      <c r="R33" s="68">
        <v>2.0066326551304485E-5</v>
      </c>
    </row>
    <row r="34" spans="1:18" x14ac:dyDescent="0.25">
      <c r="A34" s="66" t="s">
        <v>82</v>
      </c>
      <c r="B34" s="44" t="s">
        <v>86</v>
      </c>
      <c r="C34" s="44" t="s">
        <v>112</v>
      </c>
      <c r="D34" s="44" t="s">
        <v>100</v>
      </c>
      <c r="E34" s="44">
        <v>0</v>
      </c>
      <c r="F34" s="20">
        <v>0</v>
      </c>
      <c r="G34" s="20">
        <v>0</v>
      </c>
      <c r="H34" s="20">
        <v>0</v>
      </c>
      <c r="I34" s="20">
        <v>10</v>
      </c>
      <c r="J34" s="63">
        <v>36.726467</v>
      </c>
      <c r="K34" s="54">
        <v>358.14</v>
      </c>
      <c r="L34" s="63">
        <v>36.726467</v>
      </c>
      <c r="M34" s="54">
        <v>358.14</v>
      </c>
      <c r="N34" s="63">
        <v>10.07</v>
      </c>
      <c r="O34" s="54">
        <v>98.07</v>
      </c>
      <c r="P34" s="55">
        <v>-266.67</v>
      </c>
      <c r="Q34" s="49">
        <v>-0.72609999999999997</v>
      </c>
      <c r="R34" s="68">
        <v>3.5858320788746917E-6</v>
      </c>
    </row>
    <row r="35" spans="1:18" x14ac:dyDescent="0.25">
      <c r="A35" s="66" t="s">
        <v>82</v>
      </c>
      <c r="B35" s="44" t="s">
        <v>86</v>
      </c>
      <c r="C35" s="44" t="s">
        <v>113</v>
      </c>
      <c r="D35" s="44" t="s">
        <v>89</v>
      </c>
      <c r="E35" s="44">
        <v>1</v>
      </c>
      <c r="F35" s="20">
        <v>0</v>
      </c>
      <c r="G35" s="20">
        <v>0</v>
      </c>
      <c r="H35" s="20">
        <v>0</v>
      </c>
      <c r="I35" s="20">
        <v>6</v>
      </c>
      <c r="J35" s="63">
        <v>30.4</v>
      </c>
      <c r="K35" s="54">
        <v>177.87</v>
      </c>
      <c r="L35" s="63">
        <v>30.431667000000001</v>
      </c>
      <c r="M35" s="54">
        <v>178.06</v>
      </c>
      <c r="N35" s="63">
        <v>31.68</v>
      </c>
      <c r="O35" s="54">
        <v>185.12</v>
      </c>
      <c r="P35" s="56">
        <v>7.29</v>
      </c>
      <c r="Q35" s="50">
        <v>3.9899999999999998E-2</v>
      </c>
      <c r="R35" s="68">
        <v>6.7687288104546036E-6</v>
      </c>
    </row>
    <row r="36" spans="1:18" x14ac:dyDescent="0.25">
      <c r="A36" s="79" t="s">
        <v>140</v>
      </c>
      <c r="B36" s="77" t="s">
        <v>85</v>
      </c>
      <c r="C36" s="77" t="s">
        <v>137</v>
      </c>
      <c r="D36" s="77" t="s">
        <v>94</v>
      </c>
      <c r="E36" s="77">
        <v>0</v>
      </c>
      <c r="F36" s="81">
        <v>0</v>
      </c>
      <c r="G36" s="81">
        <v>0</v>
      </c>
      <c r="H36" s="81">
        <v>0</v>
      </c>
      <c r="I36" s="81">
        <v>25</v>
      </c>
      <c r="J36" s="86">
        <v>2480.5</v>
      </c>
      <c r="K36" s="78">
        <v>60473.01</v>
      </c>
      <c r="L36" s="86">
        <v>2483.0896419999999</v>
      </c>
      <c r="M36" s="78">
        <v>60536.14</v>
      </c>
      <c r="N36" s="86">
        <v>2524</v>
      </c>
      <c r="O36" s="82">
        <v>61454.14</v>
      </c>
      <c r="P36" s="84">
        <v>956.88</v>
      </c>
      <c r="Q36" s="85">
        <v>1.54E-2</v>
      </c>
      <c r="R36" s="83">
        <v>2.2470095502361209E-3</v>
      </c>
    </row>
    <row r="37" spans="1:18" x14ac:dyDescent="0.25">
      <c r="A37" s="44" t="s">
        <v>82</v>
      </c>
      <c r="B37" s="44" t="s">
        <v>86</v>
      </c>
      <c r="C37" s="44" t="s">
        <v>114</v>
      </c>
      <c r="D37" s="44" t="s">
        <v>94</v>
      </c>
      <c r="E37" s="44">
        <v>14</v>
      </c>
      <c r="F37" s="20">
        <v>0</v>
      </c>
      <c r="G37" s="20">
        <v>0</v>
      </c>
      <c r="H37" s="20">
        <v>0</v>
      </c>
      <c r="I37" s="20">
        <v>11</v>
      </c>
      <c r="J37" s="63">
        <v>22.8</v>
      </c>
      <c r="K37" s="54">
        <v>244.57</v>
      </c>
      <c r="L37" s="63">
        <v>22.824545000000001</v>
      </c>
      <c r="M37" s="54">
        <v>244.84</v>
      </c>
      <c r="N37" s="63">
        <v>3.05</v>
      </c>
      <c r="O37" s="54">
        <v>32.67</v>
      </c>
      <c r="P37" s="55">
        <v>-217.56</v>
      </c>
      <c r="Q37" s="49">
        <v>-0.86650000000000005</v>
      </c>
      <c r="R37" s="51">
        <v>1.1945460795027652E-6</v>
      </c>
    </row>
    <row r="38" spans="1:18" x14ac:dyDescent="0.25">
      <c r="A38" s="44" t="s">
        <v>82</v>
      </c>
      <c r="B38" s="44" t="s">
        <v>86</v>
      </c>
      <c r="C38" s="44" t="s">
        <v>115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20">
        <v>17</v>
      </c>
      <c r="J38" s="63">
        <v>38.020000000000003</v>
      </c>
      <c r="K38" s="54">
        <v>630.29</v>
      </c>
      <c r="L38" s="63">
        <v>38.059412000000002</v>
      </c>
      <c r="M38" s="54">
        <v>630.95000000000005</v>
      </c>
      <c r="N38" s="63">
        <v>61.6</v>
      </c>
      <c r="O38" s="54">
        <v>1019.89</v>
      </c>
      <c r="P38" s="56">
        <v>399.1</v>
      </c>
      <c r="Q38" s="50">
        <v>0.61680000000000001</v>
      </c>
      <c r="R38" s="51">
        <v>3.7291264188064748E-5</v>
      </c>
    </row>
    <row r="39" spans="1:18" x14ac:dyDescent="0.25">
      <c r="A39" s="24"/>
      <c r="B39" s="24"/>
      <c r="C39" s="24" t="s">
        <v>116</v>
      </c>
      <c r="D39" s="24" t="s">
        <v>50</v>
      </c>
      <c r="E39" s="24"/>
      <c r="F39" s="25"/>
      <c r="G39" s="25"/>
      <c r="H39" s="25"/>
      <c r="I39" s="25"/>
      <c r="J39" s="24"/>
      <c r="K39" s="39">
        <v>4614000.01</v>
      </c>
      <c r="L39" s="24"/>
      <c r="M39" s="39">
        <v>4618816.41</v>
      </c>
      <c r="N39" s="24"/>
      <c r="O39" s="39">
        <v>4570578.3</v>
      </c>
      <c r="P39" s="75">
        <v>-48238.11</v>
      </c>
      <c r="Q39" s="76">
        <v>-1.04E-2</v>
      </c>
      <c r="R39" s="53">
        <v>0.16711865287191349</v>
      </c>
    </row>
    <row r="40" spans="1:18" x14ac:dyDescent="0.25">
      <c r="R40" s="87"/>
    </row>
    <row r="41" spans="1:18" x14ac:dyDescent="0.25">
      <c r="A41" s="44" t="s">
        <v>117</v>
      </c>
      <c r="B41" s="44" t="s">
        <v>86</v>
      </c>
      <c r="C41" s="44" t="s">
        <v>91</v>
      </c>
      <c r="D41" s="44">
        <v>20</v>
      </c>
      <c r="E41" s="44" t="s">
        <v>21</v>
      </c>
      <c r="F41" s="20">
        <v>985</v>
      </c>
      <c r="G41" s="20">
        <v>0</v>
      </c>
      <c r="H41" s="20">
        <v>344</v>
      </c>
      <c r="I41" s="20">
        <v>129</v>
      </c>
      <c r="J41" s="63">
        <v>64.738501999999997</v>
      </c>
      <c r="K41" s="52">
        <v>8351.27</v>
      </c>
      <c r="L41" s="63">
        <v>64.784448999999995</v>
      </c>
      <c r="M41" s="52">
        <v>8357.19</v>
      </c>
      <c r="N41" s="63">
        <v>64.486866000000006</v>
      </c>
      <c r="O41" s="54">
        <v>8318.81</v>
      </c>
      <c r="P41" s="55">
        <v>-38.39</v>
      </c>
      <c r="Q41" s="49">
        <v>-4.5999999999999999E-3</v>
      </c>
      <c r="R41" s="51">
        <v>3.0416901963968161E-4</v>
      </c>
    </row>
    <row r="42" spans="1:18" x14ac:dyDescent="0.25">
      <c r="A42" s="44" t="s">
        <v>117</v>
      </c>
      <c r="B42" s="44" t="s">
        <v>85</v>
      </c>
      <c r="C42" s="44" t="s">
        <v>133</v>
      </c>
      <c r="D42" s="44">
        <v>251030</v>
      </c>
      <c r="E42" s="44" t="s">
        <v>21</v>
      </c>
      <c r="F42" s="20">
        <v>679</v>
      </c>
      <c r="G42" s="20">
        <v>0</v>
      </c>
      <c r="H42" s="20">
        <v>605</v>
      </c>
      <c r="I42" s="34">
        <v>466790</v>
      </c>
      <c r="J42" s="63">
        <v>8.2874079999999992</v>
      </c>
      <c r="K42" s="52">
        <v>3868479.2</v>
      </c>
      <c r="L42" s="63">
        <v>8.4740520000000004</v>
      </c>
      <c r="M42" s="52">
        <v>3955602.75</v>
      </c>
      <c r="N42" s="63">
        <v>8.4573750000000008</v>
      </c>
      <c r="O42" s="54">
        <v>3947818.07</v>
      </c>
      <c r="P42" s="55">
        <v>-7784.79</v>
      </c>
      <c r="Q42" s="49">
        <v>-2E-3</v>
      </c>
      <c r="R42" s="51">
        <v>0.14434804401924314</v>
      </c>
    </row>
    <row r="43" spans="1:18" x14ac:dyDescent="0.25">
      <c r="A43" s="44" t="s">
        <v>63</v>
      </c>
      <c r="B43" s="44" t="s">
        <v>85</v>
      </c>
      <c r="C43" s="44" t="s">
        <v>141</v>
      </c>
      <c r="D43" s="44">
        <v>280907</v>
      </c>
      <c r="E43" s="44" t="s">
        <v>21</v>
      </c>
      <c r="F43" s="20">
        <v>1</v>
      </c>
      <c r="G43" s="20">
        <v>10.7</v>
      </c>
      <c r="H43" s="20">
        <v>1</v>
      </c>
      <c r="I43" s="34">
        <v>68270</v>
      </c>
      <c r="J43" s="63">
        <v>101.88015799999999</v>
      </c>
      <c r="K43" s="52">
        <v>6955358.4299999997</v>
      </c>
      <c r="L43" s="63">
        <v>101.88015900000001</v>
      </c>
      <c r="M43" s="52">
        <v>6955358.4800000004</v>
      </c>
      <c r="N43" s="63">
        <v>101.88015900000001</v>
      </c>
      <c r="O43" s="54">
        <v>6955358.4299999997</v>
      </c>
      <c r="P43" s="55">
        <v>0</v>
      </c>
      <c r="Q43" s="35"/>
      <c r="R43" s="51">
        <v>0.25431576810814227</v>
      </c>
    </row>
    <row r="44" spans="1:18" x14ac:dyDescent="0.25">
      <c r="A44" s="44" t="s">
        <v>63</v>
      </c>
      <c r="B44" s="44" t="s">
        <v>86</v>
      </c>
      <c r="C44" s="44" t="s">
        <v>141</v>
      </c>
      <c r="D44" s="44">
        <v>280907</v>
      </c>
      <c r="E44" s="44" t="s">
        <v>21</v>
      </c>
      <c r="F44" s="20">
        <v>1</v>
      </c>
      <c r="G44" s="20">
        <v>10.7</v>
      </c>
      <c r="H44" s="20">
        <v>1</v>
      </c>
      <c r="I44" s="34">
        <v>369</v>
      </c>
      <c r="J44" s="63">
        <v>101.88015799999999</v>
      </c>
      <c r="K44" s="52">
        <v>37593.78</v>
      </c>
      <c r="L44" s="63">
        <v>101.88015900000001</v>
      </c>
      <c r="M44" s="52">
        <v>37593.78</v>
      </c>
      <c r="N44" s="63">
        <v>101.88015900000001</v>
      </c>
      <c r="O44" s="54">
        <v>37593.78</v>
      </c>
      <c r="P44" s="55">
        <v>0</v>
      </c>
      <c r="Q44" s="35"/>
      <c r="R44" s="51">
        <v>1.3745792014903417E-3</v>
      </c>
    </row>
    <row r="45" spans="1:18" x14ac:dyDescent="0.25">
      <c r="A45" s="44" t="s">
        <v>63</v>
      </c>
      <c r="B45" s="44" t="s">
        <v>121</v>
      </c>
      <c r="C45" s="44" t="s">
        <v>141</v>
      </c>
      <c r="D45" s="44">
        <v>280907</v>
      </c>
      <c r="E45" s="44" t="s">
        <v>21</v>
      </c>
      <c r="F45" s="20">
        <v>1</v>
      </c>
      <c r="G45" s="20">
        <v>10.7</v>
      </c>
      <c r="H45" s="20">
        <v>1</v>
      </c>
      <c r="I45" s="34">
        <v>116113</v>
      </c>
      <c r="J45" s="63">
        <v>101.88015799999999</v>
      </c>
      <c r="K45" s="52">
        <v>11829610.859999999</v>
      </c>
      <c r="L45" s="63">
        <v>101.88015900000001</v>
      </c>
      <c r="M45" s="52">
        <v>11829610.949999999</v>
      </c>
      <c r="N45" s="63">
        <v>101.88015900000001</v>
      </c>
      <c r="O45" s="54">
        <v>11829610.869999999</v>
      </c>
      <c r="P45" s="55">
        <v>0</v>
      </c>
      <c r="Q45" s="35"/>
      <c r="R45" s="51">
        <v>0.43253796408943357</v>
      </c>
    </row>
    <row r="46" spans="1:18" x14ac:dyDescent="0.25">
      <c r="A46" s="24"/>
      <c r="B46" s="24"/>
      <c r="C46" s="24" t="s">
        <v>49</v>
      </c>
      <c r="D46" s="24" t="s">
        <v>50</v>
      </c>
      <c r="E46" s="24"/>
      <c r="F46" s="25"/>
      <c r="G46" s="25"/>
      <c r="H46" s="25"/>
      <c r="I46" s="25"/>
      <c r="J46" s="24"/>
      <c r="K46" s="39">
        <v>22699393.539999999</v>
      </c>
      <c r="L46" s="24"/>
      <c r="M46" s="39">
        <v>22786523.149999999</v>
      </c>
      <c r="N46" s="24"/>
      <c r="O46" s="39">
        <v>22778699.969999999</v>
      </c>
      <c r="P46" s="75">
        <v>-7823.18</v>
      </c>
      <c r="Q46" s="76">
        <v>-2.9999999999999997E-4</v>
      </c>
      <c r="R46" s="53">
        <v>0.83288099999999998</v>
      </c>
    </row>
    <row r="48" spans="1:18" x14ac:dyDescent="0.25">
      <c r="A48" s="21"/>
      <c r="B48" s="21" t="s">
        <v>85</v>
      </c>
      <c r="C48" s="21" t="s">
        <v>51</v>
      </c>
      <c r="D48" s="21" t="s">
        <v>50</v>
      </c>
      <c r="E48" s="21"/>
      <c r="F48" s="22"/>
      <c r="G48" s="22"/>
      <c r="H48" s="22"/>
      <c r="I48" s="22"/>
      <c r="J48" s="21"/>
      <c r="K48" s="21"/>
      <c r="L48" s="21"/>
      <c r="M48" s="21"/>
      <c r="N48" s="21"/>
      <c r="O48" s="40">
        <v>-4.47</v>
      </c>
      <c r="P48" s="23"/>
      <c r="Q48" s="23"/>
      <c r="R48" s="22"/>
    </row>
    <row r="49" spans="1:18" x14ac:dyDescent="0.25">
      <c r="A49" s="21"/>
      <c r="B49" s="21" t="s">
        <v>86</v>
      </c>
      <c r="C49" s="21" t="s">
        <v>51</v>
      </c>
      <c r="D49" s="21" t="s">
        <v>50</v>
      </c>
      <c r="E49" s="21"/>
      <c r="F49" s="22"/>
      <c r="G49" s="22"/>
      <c r="H49" s="22"/>
      <c r="I49" s="22"/>
      <c r="J49" s="21"/>
      <c r="K49" s="21"/>
      <c r="L49" s="21"/>
      <c r="M49" s="21"/>
      <c r="N49" s="21"/>
      <c r="O49" s="40">
        <v>38.71</v>
      </c>
      <c r="P49" s="23"/>
      <c r="Q49" s="23"/>
      <c r="R49" s="22"/>
    </row>
    <row r="50" spans="1:18" x14ac:dyDescent="0.25">
      <c r="A50" s="21"/>
      <c r="B50" s="21" t="s">
        <v>121</v>
      </c>
      <c r="C50" s="21" t="s">
        <v>51</v>
      </c>
      <c r="D50" s="21" t="s">
        <v>50</v>
      </c>
      <c r="E50" s="21"/>
      <c r="F50" s="22"/>
      <c r="G50" s="22"/>
      <c r="H50" s="22"/>
      <c r="I50" s="22"/>
      <c r="J50" s="21"/>
      <c r="K50" s="21"/>
      <c r="L50" s="21"/>
      <c r="M50" s="21"/>
      <c r="N50" s="21"/>
      <c r="O50" s="40">
        <v>-11.75</v>
      </c>
      <c r="P50" s="23"/>
      <c r="Q50" s="23"/>
      <c r="R50" s="22"/>
    </row>
    <row r="52" spans="1:18" x14ac:dyDescent="0.25">
      <c r="A52" s="24"/>
      <c r="B52" s="24"/>
      <c r="C52" s="24" t="s">
        <v>52</v>
      </c>
      <c r="D52" s="24" t="s">
        <v>50</v>
      </c>
      <c r="E52" s="24"/>
      <c r="F52" s="25"/>
      <c r="G52" s="25"/>
      <c r="H52" s="25"/>
      <c r="I52" s="25"/>
      <c r="J52" s="24"/>
      <c r="K52" s="24"/>
      <c r="L52" s="24"/>
      <c r="M52" s="24"/>
      <c r="N52" s="24"/>
      <c r="O52" s="39">
        <v>0</v>
      </c>
      <c r="P52" s="26"/>
      <c r="Q52" s="26"/>
      <c r="R52" s="25"/>
    </row>
    <row r="54" spans="1:18" x14ac:dyDescent="0.25">
      <c r="A54" s="27"/>
      <c r="B54" s="27"/>
      <c r="C54" s="27" t="s">
        <v>53</v>
      </c>
      <c r="D54" s="27"/>
      <c r="E54" s="27"/>
      <c r="F54" s="28"/>
      <c r="G54" s="28"/>
      <c r="H54" s="28"/>
      <c r="I54" s="28"/>
      <c r="J54" s="27"/>
      <c r="K54" s="27"/>
      <c r="L54" s="27"/>
      <c r="M54" s="27"/>
      <c r="N54" s="27"/>
      <c r="O54" s="41">
        <v>27349300.760000002</v>
      </c>
      <c r="P54" s="80"/>
      <c r="Q54" s="29"/>
      <c r="R54" s="28"/>
    </row>
    <row r="56" spans="1:18" x14ac:dyDescent="0.25">
      <c r="A56" s="21"/>
      <c r="B56" s="21"/>
      <c r="C56" s="21" t="s">
        <v>26</v>
      </c>
      <c r="D56" s="21"/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22.49</v>
      </c>
      <c r="P56" s="23"/>
      <c r="Q56" s="23"/>
      <c r="R56" s="22"/>
    </row>
    <row r="57" spans="1:18" x14ac:dyDescent="0.25">
      <c r="A57" s="21"/>
      <c r="B57" s="21"/>
      <c r="C57" s="21" t="s">
        <v>54</v>
      </c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40">
        <v>18822585.579999998</v>
      </c>
      <c r="P57" s="23"/>
      <c r="Q57" s="23"/>
      <c r="R57" s="22"/>
    </row>
    <row r="58" spans="1:18" x14ac:dyDescent="0.25">
      <c r="A58" s="21"/>
      <c r="B58" s="21"/>
      <c r="C58" s="21" t="s">
        <v>55</v>
      </c>
      <c r="D58" s="21"/>
      <c r="E58" s="21"/>
      <c r="F58" s="22"/>
      <c r="G58" s="22"/>
      <c r="H58" s="22"/>
      <c r="I58" s="22"/>
      <c r="J58" s="21"/>
      <c r="K58" s="21"/>
      <c r="L58" s="21"/>
      <c r="M58" s="21"/>
      <c r="N58" s="21"/>
      <c r="O58" s="40">
        <v>0</v>
      </c>
      <c r="P58" s="23"/>
      <c r="Q58" s="23"/>
      <c r="R58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393" r:id="rId4" name="Button 1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0</xdr:row>
                    <xdr:rowOff>123825</xdr:rowOff>
                  </from>
                  <to>
                    <xdr:col>20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CC8B1-3F84-4181-9161-91A7BB7CFB85}">
  <dimension ref="A1:S81"/>
  <sheetViews>
    <sheetView workbookViewId="0">
      <selection activeCell="Q10" sqref="Q10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10.710937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45688</v>
      </c>
      <c r="N4" s="14" t="s">
        <v>24</v>
      </c>
      <c r="O4" s="16">
        <v>45688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131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16</v>
      </c>
      <c r="F9" s="20">
        <v>0</v>
      </c>
      <c r="G9" s="20">
        <v>0</v>
      </c>
      <c r="H9" s="20">
        <v>0</v>
      </c>
      <c r="I9" s="34">
        <v>8333</v>
      </c>
      <c r="J9" s="89">
        <v>11.396630999999999</v>
      </c>
      <c r="K9" s="52">
        <v>94968.13</v>
      </c>
      <c r="L9" s="89">
        <v>11.408529</v>
      </c>
      <c r="M9" s="52">
        <v>95067.27</v>
      </c>
      <c r="N9" s="90">
        <v>14.7</v>
      </c>
      <c r="O9" s="54">
        <v>122367.22</v>
      </c>
      <c r="P9" s="56">
        <v>27399.089999999997</v>
      </c>
      <c r="Q9" s="50">
        <v>0.28720000000000001</v>
      </c>
      <c r="R9" s="68">
        <v>3.9638333032409991E-3</v>
      </c>
      <c r="S9" s="20" t="s">
        <v>138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16</v>
      </c>
      <c r="F10" s="20">
        <v>0</v>
      </c>
      <c r="G10" s="20">
        <v>0</v>
      </c>
      <c r="H10" s="20">
        <v>0</v>
      </c>
      <c r="I10" s="34">
        <v>2000</v>
      </c>
      <c r="J10" s="89">
        <v>11.396630999999999</v>
      </c>
      <c r="K10" s="52">
        <v>22793.26</v>
      </c>
      <c r="L10" s="89">
        <v>11.408529</v>
      </c>
      <c r="M10" s="52">
        <v>22817.06</v>
      </c>
      <c r="N10" s="90">
        <v>14.7</v>
      </c>
      <c r="O10" s="54">
        <v>29369.31</v>
      </c>
      <c r="P10" s="56">
        <v>6576.0500000000029</v>
      </c>
      <c r="Q10" s="50">
        <v>0.28720000000000001</v>
      </c>
      <c r="R10" s="68">
        <v>9.5135812573995645E-4</v>
      </c>
      <c r="S10" s="20" t="s">
        <v>138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89">
        <v>43.46</v>
      </c>
      <c r="K11" s="52">
        <v>1129.96</v>
      </c>
      <c r="L11" s="89">
        <v>43.505384999999997</v>
      </c>
      <c r="M11" s="52">
        <v>1131.1400000000001</v>
      </c>
      <c r="N11" s="90">
        <v>44.15</v>
      </c>
      <c r="O11" s="54">
        <v>1146.7</v>
      </c>
      <c r="P11" s="56">
        <v>16.740000000000009</v>
      </c>
      <c r="Q11" s="50">
        <v>1.38E-2</v>
      </c>
      <c r="R11" s="68">
        <v>3.7144977624125597E-5</v>
      </c>
      <c r="S11" s="20" t="s">
        <v>128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63</v>
      </c>
      <c r="F12" s="20">
        <v>0</v>
      </c>
      <c r="G12" s="20">
        <v>0</v>
      </c>
      <c r="H12" s="20">
        <v>0</v>
      </c>
      <c r="I12" s="20">
        <v>12</v>
      </c>
      <c r="J12" s="89">
        <v>19.539574999999999</v>
      </c>
      <c r="K12" s="52">
        <v>234.47</v>
      </c>
      <c r="L12" s="89">
        <v>19.539574999999999</v>
      </c>
      <c r="M12" s="52">
        <v>234.47</v>
      </c>
      <c r="N12" s="90">
        <v>14.47</v>
      </c>
      <c r="O12" s="54">
        <v>173.46</v>
      </c>
      <c r="P12" s="55">
        <v>-61.009999999999991</v>
      </c>
      <c r="Q12" s="49">
        <v>-0.26019999999999999</v>
      </c>
      <c r="R12" s="68">
        <v>5.6188783628506377E-6</v>
      </c>
      <c r="S12" s="20" t="s">
        <v>128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75737</v>
      </c>
      <c r="J13" s="89">
        <v>3.4191780000000001</v>
      </c>
      <c r="K13" s="52">
        <v>258958.28</v>
      </c>
      <c r="L13" s="89">
        <v>3.4227479999999999</v>
      </c>
      <c r="M13" s="52">
        <v>259228.67</v>
      </c>
      <c r="N13" s="90">
        <v>3.11</v>
      </c>
      <c r="O13" s="54">
        <v>235296.16</v>
      </c>
      <c r="P13" s="55">
        <v>-23662.119999999995</v>
      </c>
      <c r="Q13" s="49">
        <v>-9.2299999999999993E-2</v>
      </c>
      <c r="R13" s="68">
        <v>7.6219330236702498E-3</v>
      </c>
      <c r="S13" s="20" t="s">
        <v>128</v>
      </c>
    </row>
    <row r="14" spans="1:19" x14ac:dyDescent="0.25">
      <c r="A14" s="66" t="s">
        <v>82</v>
      </c>
      <c r="B14" s="44" t="s">
        <v>85</v>
      </c>
      <c r="C14" s="44" t="s">
        <v>95</v>
      </c>
      <c r="D14" s="44" t="s">
        <v>94</v>
      </c>
      <c r="E14" s="44">
        <v>0</v>
      </c>
      <c r="F14" s="20">
        <v>0</v>
      </c>
      <c r="G14" s="20">
        <v>0</v>
      </c>
      <c r="H14" s="20">
        <v>0</v>
      </c>
      <c r="I14" s="34">
        <v>13873</v>
      </c>
      <c r="J14" s="89">
        <v>3.4191780000000001</v>
      </c>
      <c r="K14" s="52">
        <v>47434.26</v>
      </c>
      <c r="L14" s="89">
        <v>3.4227479999999999</v>
      </c>
      <c r="M14" s="52">
        <v>47483.78</v>
      </c>
      <c r="N14" s="90">
        <v>3.11</v>
      </c>
      <c r="O14" s="54">
        <v>43099.99</v>
      </c>
      <c r="P14" s="55">
        <v>-4334.2700000000041</v>
      </c>
      <c r="Q14" s="49">
        <v>-9.2299999999999993E-2</v>
      </c>
      <c r="R14" s="68">
        <v>1.396135139225636E-3</v>
      </c>
      <c r="S14" s="20" t="s">
        <v>128</v>
      </c>
    </row>
    <row r="15" spans="1:19" x14ac:dyDescent="0.25">
      <c r="A15" s="66" t="s">
        <v>82</v>
      </c>
      <c r="B15" s="44" t="s">
        <v>86</v>
      </c>
      <c r="C15" s="44" t="s">
        <v>96</v>
      </c>
      <c r="D15" s="44" t="s">
        <v>97</v>
      </c>
      <c r="E15" s="44">
        <v>0</v>
      </c>
      <c r="F15" s="20">
        <v>0</v>
      </c>
      <c r="G15" s="20">
        <v>0</v>
      </c>
      <c r="H15" s="20">
        <v>0</v>
      </c>
      <c r="I15" s="20">
        <v>23</v>
      </c>
      <c r="J15" s="89">
        <v>15.37</v>
      </c>
      <c r="K15" s="52">
        <v>353.51</v>
      </c>
      <c r="L15" s="89">
        <v>15.386087</v>
      </c>
      <c r="M15" s="52">
        <v>353.88</v>
      </c>
      <c r="N15" s="90">
        <v>6.59</v>
      </c>
      <c r="O15" s="54">
        <v>151.41</v>
      </c>
      <c r="P15" s="55">
        <v>-202.1</v>
      </c>
      <c r="Q15" s="49">
        <v>-0.57210000000000005</v>
      </c>
      <c r="R15" s="68">
        <v>4.9046141641831833E-6</v>
      </c>
      <c r="S15" s="20" t="s">
        <v>128</v>
      </c>
    </row>
    <row r="16" spans="1:19" x14ac:dyDescent="0.25">
      <c r="A16" s="66" t="s">
        <v>82</v>
      </c>
      <c r="B16" s="44" t="s">
        <v>86</v>
      </c>
      <c r="C16" s="44" t="s">
        <v>98</v>
      </c>
      <c r="D16" s="44" t="s">
        <v>89</v>
      </c>
      <c r="E16" s="44">
        <v>0</v>
      </c>
      <c r="F16" s="20">
        <v>0</v>
      </c>
      <c r="G16" s="20">
        <v>0</v>
      </c>
      <c r="H16" s="20">
        <v>0</v>
      </c>
      <c r="I16" s="34">
        <v>5</v>
      </c>
      <c r="J16" s="89">
        <v>35.516807</v>
      </c>
      <c r="K16" s="52">
        <v>177.58</v>
      </c>
      <c r="L16" s="89">
        <v>35.553887000000003</v>
      </c>
      <c r="M16" s="52">
        <v>177.77</v>
      </c>
      <c r="N16" s="90">
        <v>31.89</v>
      </c>
      <c r="O16" s="54">
        <v>159.28</v>
      </c>
      <c r="P16" s="55">
        <v>-18.300000000000011</v>
      </c>
      <c r="Q16" s="49">
        <v>-0.104</v>
      </c>
      <c r="R16" s="68">
        <v>5.1595465561792315E-6</v>
      </c>
      <c r="S16" s="20" t="s">
        <v>128</v>
      </c>
    </row>
    <row r="17" spans="1:19" x14ac:dyDescent="0.25">
      <c r="A17" s="66" t="s">
        <v>82</v>
      </c>
      <c r="B17" s="44" t="s">
        <v>85</v>
      </c>
      <c r="C17" s="44" t="s">
        <v>98</v>
      </c>
      <c r="D17" s="44" t="s">
        <v>89</v>
      </c>
      <c r="E17" s="44">
        <v>0</v>
      </c>
      <c r="F17" s="20">
        <v>0</v>
      </c>
      <c r="G17" s="20">
        <v>0</v>
      </c>
      <c r="H17" s="20">
        <v>0</v>
      </c>
      <c r="I17" s="34">
        <v>8250</v>
      </c>
      <c r="J17" s="89">
        <v>35.516807</v>
      </c>
      <c r="K17" s="52">
        <v>293013.65999999997</v>
      </c>
      <c r="L17" s="89">
        <v>35.553887000000003</v>
      </c>
      <c r="M17" s="52">
        <v>293319.57</v>
      </c>
      <c r="N17" s="90">
        <v>31.89</v>
      </c>
      <c r="O17" s="54">
        <v>262817.83</v>
      </c>
      <c r="P17" s="55">
        <v>-30195.829999999958</v>
      </c>
      <c r="Q17" s="49">
        <v>-0.104</v>
      </c>
      <c r="R17" s="68">
        <v>8.5134406685020009E-3</v>
      </c>
      <c r="S17" s="20" t="s">
        <v>128</v>
      </c>
    </row>
    <row r="18" spans="1:19" x14ac:dyDescent="0.25">
      <c r="A18" s="66" t="s">
        <v>82</v>
      </c>
      <c r="B18" s="44" t="s">
        <v>121</v>
      </c>
      <c r="C18" s="44" t="s">
        <v>98</v>
      </c>
      <c r="D18" s="44" t="s">
        <v>89</v>
      </c>
      <c r="E18" s="44">
        <v>0</v>
      </c>
      <c r="F18" s="20">
        <v>0</v>
      </c>
      <c r="G18" s="20">
        <v>0</v>
      </c>
      <c r="H18" s="20">
        <v>0</v>
      </c>
      <c r="I18" s="34">
        <v>8250</v>
      </c>
      <c r="J18" s="89">
        <v>35.516807</v>
      </c>
      <c r="K18" s="52">
        <v>293013.65999999997</v>
      </c>
      <c r="L18" s="89">
        <v>35.553887000000003</v>
      </c>
      <c r="M18" s="52">
        <v>293319.57</v>
      </c>
      <c r="N18" s="90">
        <v>31.89</v>
      </c>
      <c r="O18" s="54">
        <v>262817.83</v>
      </c>
      <c r="P18" s="55">
        <v>-30195.829999999958</v>
      </c>
      <c r="Q18" s="49">
        <v>-0.104</v>
      </c>
      <c r="R18" s="68">
        <v>8.5134406685020009E-3</v>
      </c>
      <c r="S18" s="20" t="s">
        <v>128</v>
      </c>
    </row>
    <row r="19" spans="1:19" x14ac:dyDescent="0.25">
      <c r="A19" s="66" t="s">
        <v>82</v>
      </c>
      <c r="B19" s="44" t="s">
        <v>86</v>
      </c>
      <c r="C19" s="44" t="s">
        <v>99</v>
      </c>
      <c r="D19" s="44" t="s">
        <v>100</v>
      </c>
      <c r="E19" s="44">
        <v>0</v>
      </c>
      <c r="F19" s="20">
        <v>0</v>
      </c>
      <c r="G19" s="20">
        <v>0</v>
      </c>
      <c r="H19" s="20">
        <v>0</v>
      </c>
      <c r="I19" s="20">
        <v>46</v>
      </c>
      <c r="J19" s="89">
        <v>8.67</v>
      </c>
      <c r="K19" s="52">
        <v>398.82</v>
      </c>
      <c r="L19" s="89">
        <v>8.6791300000000007</v>
      </c>
      <c r="M19" s="52">
        <v>399.24</v>
      </c>
      <c r="N19" s="90">
        <v>12.3</v>
      </c>
      <c r="O19" s="54">
        <v>565.21</v>
      </c>
      <c r="P19" s="56">
        <v>166.39000000000004</v>
      </c>
      <c r="Q19" s="50">
        <v>0.41570000000000001</v>
      </c>
      <c r="R19" s="68">
        <v>1.830881032783817E-5</v>
      </c>
      <c r="S19" s="20" t="s">
        <v>128</v>
      </c>
    </row>
    <row r="20" spans="1:19" x14ac:dyDescent="0.25">
      <c r="A20" s="66" t="s">
        <v>82</v>
      </c>
      <c r="B20" s="44" t="s">
        <v>85</v>
      </c>
      <c r="C20" s="44" t="s">
        <v>135</v>
      </c>
      <c r="D20" s="44">
        <v>13</v>
      </c>
      <c r="E20" s="44">
        <v>0</v>
      </c>
      <c r="F20" s="20">
        <v>0</v>
      </c>
      <c r="G20" s="20">
        <v>0</v>
      </c>
      <c r="H20" s="20">
        <v>0</v>
      </c>
      <c r="I20" s="34">
        <v>4761</v>
      </c>
      <c r="J20" s="89">
        <v>20.855626999999998</v>
      </c>
      <c r="K20" s="52">
        <v>99293.64</v>
      </c>
      <c r="L20" s="89">
        <v>20.877400999999999</v>
      </c>
      <c r="M20" s="52">
        <v>99397.31</v>
      </c>
      <c r="N20" s="90">
        <v>21.22</v>
      </c>
      <c r="O20" s="54">
        <v>100922.95</v>
      </c>
      <c r="P20" s="56">
        <v>1629.3099999999977</v>
      </c>
      <c r="Q20" s="50">
        <v>1.5299999999999999E-2</v>
      </c>
      <c r="R20" s="68">
        <v>3.2691904765943542E-3</v>
      </c>
      <c r="S20" s="20" t="s">
        <v>138</v>
      </c>
    </row>
    <row r="21" spans="1:19" x14ac:dyDescent="0.25">
      <c r="A21" s="66" t="s">
        <v>82</v>
      </c>
      <c r="B21" s="44" t="s">
        <v>121</v>
      </c>
      <c r="C21" s="44" t="s">
        <v>135</v>
      </c>
      <c r="D21" s="44">
        <v>13</v>
      </c>
      <c r="E21" s="44">
        <v>0</v>
      </c>
      <c r="F21" s="20">
        <v>0</v>
      </c>
      <c r="G21" s="20">
        <v>0</v>
      </c>
      <c r="H21" s="20">
        <v>0</v>
      </c>
      <c r="I21" s="34">
        <v>2000</v>
      </c>
      <c r="J21" s="89">
        <v>20.855626999999998</v>
      </c>
      <c r="K21" s="52">
        <v>41711.25</v>
      </c>
      <c r="L21" s="89">
        <v>20.877400999999999</v>
      </c>
      <c r="M21" s="52">
        <v>41754.800000000003</v>
      </c>
      <c r="N21" s="90">
        <v>21.22</v>
      </c>
      <c r="O21" s="54">
        <v>42395.69</v>
      </c>
      <c r="P21" s="56">
        <v>684.44000000000233</v>
      </c>
      <c r="Q21" s="50">
        <v>1.5299999999999999E-2</v>
      </c>
      <c r="R21" s="68">
        <v>1.3733207956827115E-3</v>
      </c>
      <c r="S21" s="20" t="s">
        <v>138</v>
      </c>
    </row>
    <row r="22" spans="1:19" x14ac:dyDescent="0.25">
      <c r="A22" s="66" t="s">
        <v>82</v>
      </c>
      <c r="B22" s="44" t="s">
        <v>85</v>
      </c>
      <c r="C22" s="44" t="s">
        <v>136</v>
      </c>
      <c r="D22" s="44">
        <v>18</v>
      </c>
      <c r="E22" s="44">
        <v>0</v>
      </c>
      <c r="F22" s="20">
        <v>0</v>
      </c>
      <c r="G22" s="20">
        <v>0</v>
      </c>
      <c r="H22" s="20">
        <v>0</v>
      </c>
      <c r="I22" s="34">
        <v>20847</v>
      </c>
      <c r="J22" s="89">
        <v>26.527425999999998</v>
      </c>
      <c r="K22" s="52">
        <v>553017.25</v>
      </c>
      <c r="L22" s="89">
        <v>26.555122000000001</v>
      </c>
      <c r="M22" s="52">
        <v>553594.63</v>
      </c>
      <c r="N22" s="90">
        <v>24.3</v>
      </c>
      <c r="O22" s="54">
        <v>506053.23</v>
      </c>
      <c r="P22" s="55">
        <v>-46964.020000000019</v>
      </c>
      <c r="Q22" s="49">
        <v>-8.5900000000000004E-2</v>
      </c>
      <c r="R22" s="68">
        <v>1.6392548970930915E-2</v>
      </c>
      <c r="S22" s="20" t="s">
        <v>138</v>
      </c>
    </row>
    <row r="23" spans="1:19" x14ac:dyDescent="0.25">
      <c r="A23" s="66" t="s">
        <v>82</v>
      </c>
      <c r="B23" s="44" t="s">
        <v>121</v>
      </c>
      <c r="C23" s="44" t="s">
        <v>136</v>
      </c>
      <c r="D23" s="44">
        <v>18</v>
      </c>
      <c r="E23" s="44">
        <v>0</v>
      </c>
      <c r="F23" s="20">
        <v>0</v>
      </c>
      <c r="G23" s="20">
        <v>0</v>
      </c>
      <c r="H23" s="20">
        <v>0</v>
      </c>
      <c r="I23" s="34">
        <v>20839</v>
      </c>
      <c r="J23" s="89">
        <v>26.527425999999998</v>
      </c>
      <c r="K23" s="52">
        <v>552805.03</v>
      </c>
      <c r="L23" s="89">
        <v>26.555122000000001</v>
      </c>
      <c r="M23" s="52">
        <v>553382.18999999994</v>
      </c>
      <c r="N23" s="90">
        <v>24.3</v>
      </c>
      <c r="O23" s="54">
        <v>505859.03</v>
      </c>
      <c r="P23" s="55">
        <v>-46946</v>
      </c>
      <c r="Q23" s="49">
        <v>-8.5900000000000004E-2</v>
      </c>
      <c r="R23" s="68">
        <v>1.6386258263113174E-2</v>
      </c>
      <c r="S23" s="20" t="s">
        <v>138</v>
      </c>
    </row>
    <row r="24" spans="1:19" x14ac:dyDescent="0.25">
      <c r="A24" s="66" t="s">
        <v>82</v>
      </c>
      <c r="B24" s="44" t="s">
        <v>86</v>
      </c>
      <c r="C24" s="44" t="s">
        <v>101</v>
      </c>
      <c r="D24" s="44" t="s">
        <v>102</v>
      </c>
      <c r="E24" s="44">
        <v>13</v>
      </c>
      <c r="F24" s="20">
        <v>0</v>
      </c>
      <c r="G24" s="20">
        <v>0</v>
      </c>
      <c r="H24" s="20">
        <v>0</v>
      </c>
      <c r="I24" s="34">
        <v>5</v>
      </c>
      <c r="J24" s="89">
        <v>201.06692799999999</v>
      </c>
      <c r="K24" s="52">
        <v>1005.33</v>
      </c>
      <c r="L24" s="89">
        <v>201.27684199999999</v>
      </c>
      <c r="M24" s="52">
        <v>1006.38</v>
      </c>
      <c r="N24" s="90">
        <v>176.15</v>
      </c>
      <c r="O24" s="54">
        <v>879.84</v>
      </c>
      <c r="P24" s="55">
        <v>-125.49000000000001</v>
      </c>
      <c r="Q24" s="49">
        <v>-0.1258</v>
      </c>
      <c r="R24" s="68">
        <v>2.8500599208869506E-5</v>
      </c>
      <c r="S24" s="20" t="s">
        <v>128</v>
      </c>
    </row>
    <row r="25" spans="1:19" x14ac:dyDescent="0.25">
      <c r="A25" s="66" t="s">
        <v>82</v>
      </c>
      <c r="B25" s="44" t="s">
        <v>121</v>
      </c>
      <c r="C25" s="44" t="s">
        <v>101</v>
      </c>
      <c r="D25" s="44" t="s">
        <v>102</v>
      </c>
      <c r="E25" s="44">
        <v>13</v>
      </c>
      <c r="F25" s="20">
        <v>0</v>
      </c>
      <c r="G25" s="20">
        <v>0</v>
      </c>
      <c r="H25" s="20">
        <v>0</v>
      </c>
      <c r="I25" s="34">
        <v>1575</v>
      </c>
      <c r="J25" s="89">
        <v>201.06692799999999</v>
      </c>
      <c r="K25" s="52">
        <v>316680.40999999997</v>
      </c>
      <c r="L25" s="89">
        <v>201.27684199999999</v>
      </c>
      <c r="M25" s="52">
        <v>317011.03000000003</v>
      </c>
      <c r="N25" s="90">
        <v>176.15</v>
      </c>
      <c r="O25" s="54">
        <v>277146.59999999998</v>
      </c>
      <c r="P25" s="55">
        <v>-39533.81</v>
      </c>
      <c r="Q25" s="49">
        <v>-0.1258</v>
      </c>
      <c r="R25" s="68">
        <v>8.9775915719913536E-3</v>
      </c>
      <c r="S25" s="20" t="s">
        <v>128</v>
      </c>
    </row>
    <row r="26" spans="1:19" x14ac:dyDescent="0.25">
      <c r="A26" s="66" t="s">
        <v>82</v>
      </c>
      <c r="B26" s="44" t="s">
        <v>85</v>
      </c>
      <c r="C26" s="44" t="s">
        <v>101</v>
      </c>
      <c r="D26" s="44" t="s">
        <v>102</v>
      </c>
      <c r="E26" s="44">
        <v>13</v>
      </c>
      <c r="F26" s="20">
        <v>0</v>
      </c>
      <c r="G26" s="20">
        <v>0</v>
      </c>
      <c r="H26" s="20">
        <v>0</v>
      </c>
      <c r="I26" s="34">
        <v>1275</v>
      </c>
      <c r="J26" s="89">
        <v>201.06692799999999</v>
      </c>
      <c r="K26" s="52">
        <v>256360.33</v>
      </c>
      <c r="L26" s="89">
        <v>201.27684199999999</v>
      </c>
      <c r="M26" s="52">
        <v>256627.97</v>
      </c>
      <c r="N26" s="90">
        <v>176.15</v>
      </c>
      <c r="O26" s="54">
        <v>224356.78</v>
      </c>
      <c r="P26" s="55">
        <v>-32003.549999999988</v>
      </c>
      <c r="Q26" s="49">
        <v>-0.1258</v>
      </c>
      <c r="R26" s="68">
        <v>7.2675744073610084E-3</v>
      </c>
      <c r="S26" s="20" t="s">
        <v>128</v>
      </c>
    </row>
    <row r="27" spans="1:19" x14ac:dyDescent="0.25">
      <c r="A27" s="66" t="s">
        <v>82</v>
      </c>
      <c r="B27" s="44" t="s">
        <v>86</v>
      </c>
      <c r="C27" s="44" t="s">
        <v>155</v>
      </c>
      <c r="D27" s="44">
        <v>14</v>
      </c>
      <c r="E27" s="44">
        <v>0</v>
      </c>
      <c r="F27" s="20">
        <v>0</v>
      </c>
      <c r="G27" s="20">
        <v>0</v>
      </c>
      <c r="H27" s="20">
        <v>0</v>
      </c>
      <c r="I27" s="20">
        <v>8</v>
      </c>
      <c r="J27" s="89">
        <v>63.51</v>
      </c>
      <c r="K27" s="52">
        <v>508.08</v>
      </c>
      <c r="L27" s="89">
        <v>63.51</v>
      </c>
      <c r="M27" s="52">
        <v>508.08</v>
      </c>
      <c r="N27" s="90">
        <v>64.599999999999994</v>
      </c>
      <c r="O27" s="54">
        <v>516.26</v>
      </c>
      <c r="P27" s="56">
        <v>8.1800000000000068</v>
      </c>
      <c r="Q27" s="50">
        <v>1.61E-2</v>
      </c>
      <c r="R27" s="68">
        <v>1.67231761997306E-5</v>
      </c>
      <c r="S27" s="20" t="s">
        <v>130</v>
      </c>
    </row>
    <row r="28" spans="1:19" x14ac:dyDescent="0.25">
      <c r="A28" s="66" t="s">
        <v>82</v>
      </c>
      <c r="B28" s="44" t="s">
        <v>85</v>
      </c>
      <c r="C28" s="44" t="s">
        <v>147</v>
      </c>
      <c r="D28" s="44">
        <v>12</v>
      </c>
      <c r="E28" s="44">
        <v>0</v>
      </c>
      <c r="F28" s="20">
        <v>0</v>
      </c>
      <c r="G28" s="20">
        <v>0</v>
      </c>
      <c r="H28" s="20">
        <v>0</v>
      </c>
      <c r="I28" s="34">
        <v>20700</v>
      </c>
      <c r="J28" s="89">
        <v>9.7175060000000002</v>
      </c>
      <c r="K28" s="52">
        <v>201152.37</v>
      </c>
      <c r="L28" s="89">
        <v>9.7276509999999998</v>
      </c>
      <c r="M28" s="52">
        <v>201362.38</v>
      </c>
      <c r="N28" s="90">
        <v>10.199999999999999</v>
      </c>
      <c r="O28" s="54">
        <v>210919.57</v>
      </c>
      <c r="P28" s="56">
        <v>9767.2000000000116</v>
      </c>
      <c r="Q28" s="50">
        <v>4.7500000000000001E-2</v>
      </c>
      <c r="R28" s="68">
        <v>6.832303748269113E-3</v>
      </c>
      <c r="S28" s="20" t="s">
        <v>138</v>
      </c>
    </row>
    <row r="29" spans="1:19" x14ac:dyDescent="0.25">
      <c r="A29" s="66" t="s">
        <v>82</v>
      </c>
      <c r="B29" s="44" t="s">
        <v>121</v>
      </c>
      <c r="C29" s="44" t="s">
        <v>147</v>
      </c>
      <c r="D29" s="44">
        <v>12</v>
      </c>
      <c r="E29" s="44">
        <v>0</v>
      </c>
      <c r="F29" s="20">
        <v>0</v>
      </c>
      <c r="G29" s="20">
        <v>0</v>
      </c>
      <c r="H29" s="20">
        <v>0</v>
      </c>
      <c r="I29" s="34">
        <v>20700</v>
      </c>
      <c r="J29" s="89">
        <v>9.7175060000000002</v>
      </c>
      <c r="K29" s="52">
        <v>201152.37</v>
      </c>
      <c r="L29" s="89">
        <v>9.7276509999999998</v>
      </c>
      <c r="M29" s="52">
        <v>201362.38</v>
      </c>
      <c r="N29" s="90">
        <v>10.199999999999999</v>
      </c>
      <c r="O29" s="54">
        <v>210919.57</v>
      </c>
      <c r="P29" s="56">
        <v>9767.2000000000116</v>
      </c>
      <c r="Q29" s="50">
        <v>4.7500000000000001E-2</v>
      </c>
      <c r="R29" s="68">
        <v>6.832303748269113E-3</v>
      </c>
      <c r="S29" s="20" t="s">
        <v>138</v>
      </c>
    </row>
    <row r="30" spans="1:19" x14ac:dyDescent="0.25">
      <c r="A30" s="66" t="s">
        <v>82</v>
      </c>
      <c r="B30" s="44" t="s">
        <v>121</v>
      </c>
      <c r="C30" s="44" t="s">
        <v>142</v>
      </c>
      <c r="D30" s="44">
        <v>11</v>
      </c>
      <c r="E30" s="44">
        <v>0</v>
      </c>
      <c r="F30" s="20">
        <v>0</v>
      </c>
      <c r="G30" s="20">
        <v>0</v>
      </c>
      <c r="H30" s="20">
        <v>0</v>
      </c>
      <c r="I30" s="34">
        <v>16338</v>
      </c>
      <c r="J30" s="89">
        <v>26.264251000000002</v>
      </c>
      <c r="K30" s="52">
        <v>429105.33</v>
      </c>
      <c r="L30" s="89">
        <v>26.291671999999998</v>
      </c>
      <c r="M30" s="52">
        <v>429553.34</v>
      </c>
      <c r="N30" s="90">
        <v>21.48</v>
      </c>
      <c r="O30" s="54">
        <v>350573.86</v>
      </c>
      <c r="P30" s="55">
        <v>-78531.47000000003</v>
      </c>
      <c r="Q30" s="49">
        <v>-0.18390000000000001</v>
      </c>
      <c r="R30" s="68">
        <v>1.1356115972183951E-2</v>
      </c>
      <c r="S30" s="20" t="s">
        <v>138</v>
      </c>
    </row>
    <row r="31" spans="1:19" x14ac:dyDescent="0.25">
      <c r="A31" s="66" t="s">
        <v>82</v>
      </c>
      <c r="B31" s="44" t="s">
        <v>85</v>
      </c>
      <c r="C31" s="44" t="s">
        <v>142</v>
      </c>
      <c r="D31" s="44">
        <v>11</v>
      </c>
      <c r="E31" s="44">
        <v>0</v>
      </c>
      <c r="F31" s="20">
        <v>0</v>
      </c>
      <c r="G31" s="20">
        <v>0</v>
      </c>
      <c r="H31" s="20">
        <v>0</v>
      </c>
      <c r="I31" s="34">
        <v>13298</v>
      </c>
      <c r="J31" s="89">
        <v>26.264251000000002</v>
      </c>
      <c r="K31" s="52">
        <v>349262.01</v>
      </c>
      <c r="L31" s="89">
        <v>26.291671999999998</v>
      </c>
      <c r="M31" s="52">
        <v>349626.65</v>
      </c>
      <c r="N31" s="90">
        <v>21.48</v>
      </c>
      <c r="O31" s="54">
        <v>285342.83</v>
      </c>
      <c r="P31" s="55">
        <v>-63919.179999999993</v>
      </c>
      <c r="Q31" s="49">
        <v>-0.18390000000000001</v>
      </c>
      <c r="R31" s="68">
        <v>9.243091510904921E-3</v>
      </c>
      <c r="S31" s="20" t="s">
        <v>138</v>
      </c>
    </row>
    <row r="32" spans="1:19" x14ac:dyDescent="0.25">
      <c r="A32" s="66" t="s">
        <v>82</v>
      </c>
      <c r="B32" s="44" t="s">
        <v>86</v>
      </c>
      <c r="C32" s="44" t="s">
        <v>103</v>
      </c>
      <c r="D32" s="44" t="s">
        <v>104</v>
      </c>
      <c r="E32" s="44">
        <v>10</v>
      </c>
      <c r="F32" s="20">
        <v>0</v>
      </c>
      <c r="G32" s="20">
        <v>0</v>
      </c>
      <c r="H32" s="20">
        <v>0</v>
      </c>
      <c r="I32" s="34">
        <v>5</v>
      </c>
      <c r="J32" s="89">
        <v>165.54432299999999</v>
      </c>
      <c r="K32" s="52">
        <v>827.72</v>
      </c>
      <c r="L32" s="89">
        <v>165.717151</v>
      </c>
      <c r="M32" s="52">
        <v>828.59</v>
      </c>
      <c r="N32" s="90">
        <v>143.19999999999999</v>
      </c>
      <c r="O32" s="54">
        <v>715.25</v>
      </c>
      <c r="P32" s="55">
        <v>-112.47000000000003</v>
      </c>
      <c r="Q32" s="49">
        <v>-0.1368</v>
      </c>
      <c r="R32" s="68">
        <v>2.3169046172194846E-5</v>
      </c>
      <c r="S32" s="20" t="s">
        <v>128</v>
      </c>
    </row>
    <row r="33" spans="1:19" x14ac:dyDescent="0.25">
      <c r="A33" s="66" t="s">
        <v>82</v>
      </c>
      <c r="B33" s="44" t="s">
        <v>121</v>
      </c>
      <c r="C33" s="44" t="s">
        <v>103</v>
      </c>
      <c r="D33" s="44" t="s">
        <v>104</v>
      </c>
      <c r="E33" s="44">
        <v>10</v>
      </c>
      <c r="F33" s="20">
        <v>0</v>
      </c>
      <c r="G33" s="20">
        <v>0</v>
      </c>
      <c r="H33" s="20">
        <v>0</v>
      </c>
      <c r="I33" s="34">
        <v>520</v>
      </c>
      <c r="J33" s="89">
        <v>165.54432299999999</v>
      </c>
      <c r="K33" s="52">
        <v>86083.05</v>
      </c>
      <c r="L33" s="89">
        <v>165.717151</v>
      </c>
      <c r="M33" s="52">
        <v>86172.92</v>
      </c>
      <c r="N33" s="90">
        <v>143.19999999999999</v>
      </c>
      <c r="O33" s="54">
        <v>74386.259999999995</v>
      </c>
      <c r="P33" s="55">
        <v>-11696.790000000008</v>
      </c>
      <c r="Q33" s="49">
        <v>-0.1368</v>
      </c>
      <c r="R33" s="68">
        <v>2.4095892240711507E-3</v>
      </c>
      <c r="S33" s="20" t="s">
        <v>128</v>
      </c>
    </row>
    <row r="34" spans="1:19" x14ac:dyDescent="0.25">
      <c r="A34" s="66" t="s">
        <v>82</v>
      </c>
      <c r="B34" s="44" t="s">
        <v>85</v>
      </c>
      <c r="C34" s="44" t="s">
        <v>103</v>
      </c>
      <c r="D34" s="44" t="s">
        <v>104</v>
      </c>
      <c r="E34" s="44">
        <v>10</v>
      </c>
      <c r="F34" s="20">
        <v>0</v>
      </c>
      <c r="G34" s="20">
        <v>0</v>
      </c>
      <c r="H34" s="20">
        <v>0</v>
      </c>
      <c r="I34" s="34">
        <v>620</v>
      </c>
      <c r="J34" s="89">
        <v>165.54432299999999</v>
      </c>
      <c r="K34" s="52">
        <v>102637.48</v>
      </c>
      <c r="L34" s="89">
        <v>165.717151</v>
      </c>
      <c r="M34" s="52">
        <v>102744.63</v>
      </c>
      <c r="N34" s="90">
        <v>143.19999999999999</v>
      </c>
      <c r="O34" s="54">
        <v>88691.31</v>
      </c>
      <c r="P34" s="55">
        <v>-13946.169999999998</v>
      </c>
      <c r="Q34" s="49">
        <v>-0.1368</v>
      </c>
      <c r="R34" s="68">
        <v>2.8729717671617566E-3</v>
      </c>
      <c r="S34" s="20" t="s">
        <v>128</v>
      </c>
    </row>
    <row r="35" spans="1:19" x14ac:dyDescent="0.25">
      <c r="A35" s="66" t="s">
        <v>82</v>
      </c>
      <c r="B35" s="44" t="s">
        <v>86</v>
      </c>
      <c r="C35" s="44" t="s">
        <v>105</v>
      </c>
      <c r="D35" s="44" t="s">
        <v>97</v>
      </c>
      <c r="E35" s="44">
        <v>1</v>
      </c>
      <c r="F35" s="20">
        <v>0</v>
      </c>
      <c r="G35" s="20">
        <v>0</v>
      </c>
      <c r="H35" s="20">
        <v>0</v>
      </c>
      <c r="I35" s="20">
        <v>159</v>
      </c>
      <c r="J35" s="89">
        <v>2.84</v>
      </c>
      <c r="K35" s="52">
        <v>451.56</v>
      </c>
      <c r="L35" s="89">
        <v>2.842956</v>
      </c>
      <c r="M35" s="52">
        <v>452.03</v>
      </c>
      <c r="N35" s="90">
        <v>2.2400000000000002</v>
      </c>
      <c r="O35" s="54">
        <v>355.79</v>
      </c>
      <c r="P35" s="55">
        <v>-95.769999999999982</v>
      </c>
      <c r="Q35" s="49">
        <v>-0.21290000000000001</v>
      </c>
      <c r="R35" s="68">
        <v>1.1525082051877253E-5</v>
      </c>
      <c r="S35" s="20" t="s">
        <v>128</v>
      </c>
    </row>
    <row r="36" spans="1:19" x14ac:dyDescent="0.25">
      <c r="A36" s="66" t="s">
        <v>82</v>
      </c>
      <c r="B36" s="44" t="s">
        <v>86</v>
      </c>
      <c r="C36" s="44" t="s">
        <v>106</v>
      </c>
      <c r="D36" s="44" t="s">
        <v>97</v>
      </c>
      <c r="E36" s="44">
        <v>86</v>
      </c>
      <c r="F36" s="20">
        <v>0</v>
      </c>
      <c r="G36" s="20">
        <v>0</v>
      </c>
      <c r="H36" s="20">
        <v>0</v>
      </c>
      <c r="I36" s="20">
        <v>8</v>
      </c>
      <c r="J36" s="89">
        <v>100.05</v>
      </c>
      <c r="K36" s="52">
        <v>800.4</v>
      </c>
      <c r="L36" s="89">
        <v>100.155</v>
      </c>
      <c r="M36" s="52">
        <v>801.24</v>
      </c>
      <c r="N36" s="90">
        <v>101.59</v>
      </c>
      <c r="O36" s="54">
        <v>811.87</v>
      </c>
      <c r="P36" s="56">
        <v>11.470000000000027</v>
      </c>
      <c r="Q36" s="50">
        <v>1.3299999999999999E-2</v>
      </c>
      <c r="R36" s="68">
        <v>2.6298851472659671E-5</v>
      </c>
      <c r="S36" s="20" t="s">
        <v>128</v>
      </c>
    </row>
    <row r="37" spans="1:19" x14ac:dyDescent="0.25">
      <c r="A37" s="66" t="s">
        <v>82</v>
      </c>
      <c r="B37" s="44" t="s">
        <v>86</v>
      </c>
      <c r="C37" s="44" t="s">
        <v>107</v>
      </c>
      <c r="D37" s="44" t="s">
        <v>108</v>
      </c>
      <c r="E37" s="44">
        <v>9</v>
      </c>
      <c r="F37" s="20">
        <v>0</v>
      </c>
      <c r="G37" s="20">
        <v>0</v>
      </c>
      <c r="H37" s="20">
        <v>0</v>
      </c>
      <c r="I37" s="20">
        <v>2</v>
      </c>
      <c r="J37" s="89">
        <v>113.64</v>
      </c>
      <c r="K37" s="52">
        <v>227.28</v>
      </c>
      <c r="L37" s="89">
        <v>113.755</v>
      </c>
      <c r="M37" s="52">
        <v>227.51</v>
      </c>
      <c r="N37" s="90">
        <v>162.79</v>
      </c>
      <c r="O37" s="54">
        <v>325.24</v>
      </c>
      <c r="P37" s="56">
        <v>97.960000000000008</v>
      </c>
      <c r="Q37" s="50">
        <v>0.42959999999999998</v>
      </c>
      <c r="R37" s="68">
        <v>1.0535477912680394E-5</v>
      </c>
      <c r="S37" s="20" t="s">
        <v>128</v>
      </c>
    </row>
    <row r="38" spans="1:19" x14ac:dyDescent="0.25">
      <c r="A38" s="66" t="s">
        <v>82</v>
      </c>
      <c r="B38" s="44" t="s">
        <v>86</v>
      </c>
      <c r="C38" s="44" t="s">
        <v>119</v>
      </c>
      <c r="D38" s="44" t="s">
        <v>120</v>
      </c>
      <c r="E38" s="44">
        <v>1</v>
      </c>
      <c r="F38" s="20">
        <v>0</v>
      </c>
      <c r="G38" s="20">
        <v>0</v>
      </c>
      <c r="H38" s="20">
        <v>0</v>
      </c>
      <c r="I38" s="20">
        <v>1</v>
      </c>
      <c r="J38" s="89">
        <v>14.305099</v>
      </c>
      <c r="K38" s="52">
        <v>14.31</v>
      </c>
      <c r="L38" s="89">
        <v>14.305099</v>
      </c>
      <c r="M38" s="52">
        <v>14.31</v>
      </c>
      <c r="N38" s="90">
        <v>3.15</v>
      </c>
      <c r="O38" s="54">
        <v>3.15</v>
      </c>
      <c r="P38" s="55">
        <v>-11.16</v>
      </c>
      <c r="Q38" s="49">
        <v>-0.78</v>
      </c>
      <c r="R38" s="68">
        <v>1.0203774266677912E-7</v>
      </c>
      <c r="S38" s="20" t="s">
        <v>128</v>
      </c>
    </row>
    <row r="39" spans="1:19" x14ac:dyDescent="0.25">
      <c r="A39" s="66" t="s">
        <v>82</v>
      </c>
      <c r="B39" s="44" t="s">
        <v>86</v>
      </c>
      <c r="C39" s="44" t="s">
        <v>109</v>
      </c>
      <c r="D39" s="44" t="s">
        <v>100</v>
      </c>
      <c r="E39" s="44">
        <v>0</v>
      </c>
      <c r="F39" s="20">
        <v>0</v>
      </c>
      <c r="G39" s="20">
        <v>0</v>
      </c>
      <c r="H39" s="20">
        <v>0</v>
      </c>
      <c r="I39" s="20">
        <v>5</v>
      </c>
      <c r="J39" s="89">
        <v>53.62</v>
      </c>
      <c r="K39" s="52">
        <v>268.10000000000002</v>
      </c>
      <c r="L39" s="89">
        <v>53.676000000000002</v>
      </c>
      <c r="M39" s="52">
        <v>268.38</v>
      </c>
      <c r="N39" s="90">
        <v>40.86</v>
      </c>
      <c r="O39" s="54">
        <v>204.09</v>
      </c>
      <c r="P39" s="55">
        <v>-64.010000000000019</v>
      </c>
      <c r="Q39" s="49">
        <v>-0.23960000000000001</v>
      </c>
      <c r="R39" s="68">
        <v>6.6110739367818898E-6</v>
      </c>
      <c r="S39" s="20" t="s">
        <v>128</v>
      </c>
    </row>
    <row r="40" spans="1:19" x14ac:dyDescent="0.25">
      <c r="A40" s="66" t="s">
        <v>82</v>
      </c>
      <c r="B40" s="44" t="s">
        <v>86</v>
      </c>
      <c r="C40" s="44" t="s">
        <v>90</v>
      </c>
      <c r="D40" s="44" t="s">
        <v>89</v>
      </c>
      <c r="E40" s="44">
        <v>19</v>
      </c>
      <c r="F40" s="20">
        <v>0</v>
      </c>
      <c r="G40" s="20">
        <v>0</v>
      </c>
      <c r="H40" s="20">
        <v>0</v>
      </c>
      <c r="I40" s="20">
        <v>195</v>
      </c>
      <c r="J40" s="89">
        <v>4.38</v>
      </c>
      <c r="K40" s="52">
        <v>854.1</v>
      </c>
      <c r="L40" s="89">
        <v>4.3845640000000001</v>
      </c>
      <c r="M40" s="52">
        <v>854.99</v>
      </c>
      <c r="N40" s="90">
        <v>2.3199999999999998</v>
      </c>
      <c r="O40" s="54">
        <v>451.92</v>
      </c>
      <c r="P40" s="55">
        <v>-402.18</v>
      </c>
      <c r="Q40" s="49">
        <v>-0.47139999999999999</v>
      </c>
      <c r="R40" s="68">
        <v>1.4639014814593911E-5</v>
      </c>
      <c r="S40" s="20" t="s">
        <v>128</v>
      </c>
    </row>
    <row r="41" spans="1:19" x14ac:dyDescent="0.25">
      <c r="A41" s="66" t="s">
        <v>82</v>
      </c>
      <c r="B41" s="44" t="s">
        <v>121</v>
      </c>
      <c r="C41" s="44" t="s">
        <v>152</v>
      </c>
      <c r="D41" s="44" t="s">
        <v>94</v>
      </c>
      <c r="E41" s="44">
        <v>41</v>
      </c>
      <c r="F41" s="20">
        <v>0</v>
      </c>
      <c r="G41" s="20">
        <v>0</v>
      </c>
      <c r="H41" s="20">
        <v>0</v>
      </c>
      <c r="I41" s="34">
        <v>1000</v>
      </c>
      <c r="J41" s="89">
        <v>232.99238</v>
      </c>
      <c r="K41" s="52">
        <v>232992.38</v>
      </c>
      <c r="L41" s="89">
        <v>233.235624</v>
      </c>
      <c r="M41" s="52">
        <v>233235.62</v>
      </c>
      <c r="N41" s="90">
        <v>293.14999999999998</v>
      </c>
      <c r="O41" s="54">
        <v>292843.95</v>
      </c>
      <c r="P41" s="56">
        <v>59851.570000000007</v>
      </c>
      <c r="Q41" s="50">
        <v>0.25559999999999999</v>
      </c>
      <c r="R41" s="68">
        <v>9.4860747973406767E-3</v>
      </c>
      <c r="S41" s="20" t="s">
        <v>130</v>
      </c>
    </row>
    <row r="42" spans="1:19" x14ac:dyDescent="0.25">
      <c r="A42" s="66" t="s">
        <v>140</v>
      </c>
      <c r="B42" s="44" t="s">
        <v>85</v>
      </c>
      <c r="C42" s="44" t="s">
        <v>145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1250</v>
      </c>
      <c r="J42" s="89">
        <v>451.02480000000003</v>
      </c>
      <c r="K42" s="52">
        <v>563781</v>
      </c>
      <c r="L42" s="89">
        <v>451.49567000000002</v>
      </c>
      <c r="M42" s="52">
        <v>564369.59</v>
      </c>
      <c r="N42" s="90">
        <v>546.49233600000002</v>
      </c>
      <c r="O42" s="54">
        <v>682402.25</v>
      </c>
      <c r="P42" s="56">
        <v>118621.25</v>
      </c>
      <c r="Q42" s="50">
        <v>0.20910000000000001</v>
      </c>
      <c r="R42" s="68">
        <v>2.2105011168486056E-2</v>
      </c>
      <c r="S42" s="20" t="s">
        <v>130</v>
      </c>
    </row>
    <row r="43" spans="1:19" x14ac:dyDescent="0.25">
      <c r="A43" s="66" t="s">
        <v>140</v>
      </c>
      <c r="B43" s="44" t="s">
        <v>121</v>
      </c>
      <c r="C43" s="44" t="s">
        <v>145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1250</v>
      </c>
      <c r="J43" s="89">
        <v>451.02480000000003</v>
      </c>
      <c r="K43" s="52">
        <v>563781</v>
      </c>
      <c r="L43" s="89">
        <v>451.49567000000002</v>
      </c>
      <c r="M43" s="52">
        <v>564369.59</v>
      </c>
      <c r="N43" s="90">
        <v>546.49233600000002</v>
      </c>
      <c r="O43" s="54">
        <v>682402.25</v>
      </c>
      <c r="P43" s="56">
        <v>118621.25</v>
      </c>
      <c r="Q43" s="50">
        <v>0.20910000000000001</v>
      </c>
      <c r="R43" s="68">
        <v>2.2105011168486056E-2</v>
      </c>
      <c r="S43" s="20" t="s">
        <v>130</v>
      </c>
    </row>
    <row r="44" spans="1:19" x14ac:dyDescent="0.25">
      <c r="A44" s="66" t="s">
        <v>82</v>
      </c>
      <c r="B44" s="44" t="s">
        <v>86</v>
      </c>
      <c r="C44" s="44" t="s">
        <v>110</v>
      </c>
      <c r="D44" s="44" t="s">
        <v>94</v>
      </c>
      <c r="E44" s="44">
        <v>15</v>
      </c>
      <c r="F44" s="20">
        <v>0</v>
      </c>
      <c r="G44" s="20">
        <v>0</v>
      </c>
      <c r="H44" s="20">
        <v>0</v>
      </c>
      <c r="I44" s="20">
        <v>2</v>
      </c>
      <c r="J44" s="89">
        <v>142.6</v>
      </c>
      <c r="K44" s="52">
        <v>285.2</v>
      </c>
      <c r="L44" s="89">
        <v>142.75</v>
      </c>
      <c r="M44" s="52">
        <v>285.5</v>
      </c>
      <c r="N44" s="90">
        <v>195.79</v>
      </c>
      <c r="O44" s="54">
        <v>391.17</v>
      </c>
      <c r="P44" s="56">
        <v>105.97000000000003</v>
      </c>
      <c r="Q44" s="50">
        <v>0.37009999999999998</v>
      </c>
      <c r="R44" s="68">
        <v>1.2671144063163172E-5</v>
      </c>
      <c r="S44" s="20" t="s">
        <v>128</v>
      </c>
    </row>
    <row r="45" spans="1:19" x14ac:dyDescent="0.25">
      <c r="A45" s="79" t="s">
        <v>82</v>
      </c>
      <c r="B45" s="77" t="s">
        <v>86</v>
      </c>
      <c r="C45" s="77" t="s">
        <v>63</v>
      </c>
      <c r="D45" s="77" t="s">
        <v>89</v>
      </c>
      <c r="E45" s="77">
        <v>7</v>
      </c>
      <c r="F45" s="81">
        <v>0</v>
      </c>
      <c r="G45" s="81">
        <v>0</v>
      </c>
      <c r="H45" s="81">
        <v>0</v>
      </c>
      <c r="I45" s="81">
        <v>7</v>
      </c>
      <c r="J45" s="89">
        <v>115.851428</v>
      </c>
      <c r="K45" s="52">
        <v>810.96</v>
      </c>
      <c r="L45" s="89">
        <v>115.972857</v>
      </c>
      <c r="M45" s="52">
        <v>811.81</v>
      </c>
      <c r="N45" s="90">
        <v>135.38</v>
      </c>
      <c r="O45" s="54">
        <v>946.67</v>
      </c>
      <c r="P45" s="84">
        <v>135.70999999999992</v>
      </c>
      <c r="Q45" s="85">
        <v>0.1661</v>
      </c>
      <c r="R45" s="83">
        <v>3.0665419000114219E-5</v>
      </c>
      <c r="S45" s="20" t="s">
        <v>128</v>
      </c>
    </row>
    <row r="46" spans="1:19" x14ac:dyDescent="0.25">
      <c r="A46" s="44" t="s">
        <v>140</v>
      </c>
      <c r="B46" s="44" t="s">
        <v>85</v>
      </c>
      <c r="C46" s="44" t="s">
        <v>151</v>
      </c>
      <c r="D46" s="44" t="s">
        <v>94</v>
      </c>
      <c r="E46" s="44">
        <v>0</v>
      </c>
      <c r="F46" s="20">
        <v>0</v>
      </c>
      <c r="G46" s="20">
        <v>0</v>
      </c>
      <c r="H46" s="20">
        <v>0</v>
      </c>
      <c r="I46" s="34">
        <v>2650</v>
      </c>
      <c r="J46" s="89">
        <v>2147.2374970000001</v>
      </c>
      <c r="K46" s="52">
        <v>5690179.4100000001</v>
      </c>
      <c r="L46" s="89">
        <v>2149.4792130000001</v>
      </c>
      <c r="M46" s="52">
        <v>5696119.9100000001</v>
      </c>
      <c r="N46" s="90">
        <v>2277.154434</v>
      </c>
      <c r="O46" s="54">
        <v>6028159.2800000003</v>
      </c>
      <c r="P46" s="56">
        <v>337979.87000000011</v>
      </c>
      <c r="Q46" s="50">
        <v>5.8299999999999998E-2</v>
      </c>
      <c r="R46" s="51">
        <v>0.19526976678317351</v>
      </c>
      <c r="S46" s="20" t="s">
        <v>130</v>
      </c>
    </row>
    <row r="47" spans="1:19" x14ac:dyDescent="0.25">
      <c r="A47" s="44" t="s">
        <v>140</v>
      </c>
      <c r="B47" s="44" t="s">
        <v>121</v>
      </c>
      <c r="C47" s="44" t="s">
        <v>151</v>
      </c>
      <c r="D47" s="44" t="s">
        <v>94</v>
      </c>
      <c r="E47" s="44">
        <v>0</v>
      </c>
      <c r="F47" s="20">
        <v>0</v>
      </c>
      <c r="G47" s="20">
        <v>0</v>
      </c>
      <c r="H47" s="20">
        <v>0</v>
      </c>
      <c r="I47" s="34">
        <v>3265</v>
      </c>
      <c r="J47" s="89">
        <v>2147.2374970000001</v>
      </c>
      <c r="K47" s="52">
        <v>7010730.4800000004</v>
      </c>
      <c r="L47" s="89">
        <v>2149.4792130000001</v>
      </c>
      <c r="M47" s="52">
        <v>7018049.6299999999</v>
      </c>
      <c r="N47" s="90">
        <v>2277.154434</v>
      </c>
      <c r="O47" s="54">
        <v>7427147.1900000004</v>
      </c>
      <c r="P47" s="56">
        <v>416416.70999999996</v>
      </c>
      <c r="Q47" s="50">
        <v>5.8299999999999998E-2</v>
      </c>
      <c r="R47" s="51">
        <v>0.24058709007032117</v>
      </c>
      <c r="S47" s="20" t="s">
        <v>130</v>
      </c>
    </row>
    <row r="48" spans="1:19" x14ac:dyDescent="0.25">
      <c r="A48" s="44" t="s">
        <v>140</v>
      </c>
      <c r="B48" s="44" t="s">
        <v>85</v>
      </c>
      <c r="C48" s="44" t="s">
        <v>132</v>
      </c>
      <c r="D48" s="44" t="s">
        <v>94</v>
      </c>
      <c r="E48" s="44">
        <v>0</v>
      </c>
      <c r="F48" s="20">
        <v>0</v>
      </c>
      <c r="G48" s="20">
        <v>0</v>
      </c>
      <c r="H48" s="20">
        <v>0</v>
      </c>
      <c r="I48" s="34">
        <v>3297</v>
      </c>
      <c r="J48" s="89">
        <v>1385.182047</v>
      </c>
      <c r="K48" s="52">
        <v>4566945.24</v>
      </c>
      <c r="L48" s="89">
        <v>1386.6281779999999</v>
      </c>
      <c r="M48" s="52">
        <v>4571713.0999999996</v>
      </c>
      <c r="N48" s="90">
        <v>1695.7335720000001</v>
      </c>
      <c r="O48" s="54">
        <v>5584996.7599999998</v>
      </c>
      <c r="P48" s="56">
        <v>1018051.5199999996</v>
      </c>
      <c r="Q48" s="50">
        <v>0.22159999999999999</v>
      </c>
      <c r="R48" s="51">
        <v>0.18091443244180164</v>
      </c>
      <c r="S48" s="20" t="s">
        <v>143</v>
      </c>
    </row>
    <row r="49" spans="1:19" x14ac:dyDescent="0.25">
      <c r="A49" s="44" t="s">
        <v>140</v>
      </c>
      <c r="B49" s="44" t="s">
        <v>121</v>
      </c>
      <c r="C49" s="44" t="s">
        <v>132</v>
      </c>
      <c r="D49" s="44" t="s">
        <v>94</v>
      </c>
      <c r="E49" s="44">
        <v>0</v>
      </c>
      <c r="F49" s="20">
        <v>0</v>
      </c>
      <c r="G49" s="20">
        <v>0</v>
      </c>
      <c r="H49" s="20">
        <v>0</v>
      </c>
      <c r="I49" s="34">
        <v>527</v>
      </c>
      <c r="J49" s="89">
        <v>1385.182047</v>
      </c>
      <c r="K49" s="52">
        <v>729990.94</v>
      </c>
      <c r="L49" s="89">
        <v>1386.6281779999999</v>
      </c>
      <c r="M49" s="52">
        <v>730753.05</v>
      </c>
      <c r="N49" s="90">
        <v>1695.7335720000001</v>
      </c>
      <c r="O49" s="54">
        <v>892718.62</v>
      </c>
      <c r="P49" s="56">
        <v>162727.68000000005</v>
      </c>
      <c r="Q49" s="50">
        <v>0.22159999999999999</v>
      </c>
      <c r="R49" s="51">
        <v>2.8917775498857833E-2</v>
      </c>
      <c r="S49" s="20" t="s">
        <v>143</v>
      </c>
    </row>
    <row r="50" spans="1:19" x14ac:dyDescent="0.25">
      <c r="A50" s="44" t="s">
        <v>140</v>
      </c>
      <c r="B50" s="44" t="s">
        <v>85</v>
      </c>
      <c r="C50" s="44" t="s">
        <v>148</v>
      </c>
      <c r="D50" s="44" t="s">
        <v>94</v>
      </c>
      <c r="E50" s="44">
        <v>0</v>
      </c>
      <c r="F50" s="20">
        <v>0</v>
      </c>
      <c r="G50" s="20">
        <v>0</v>
      </c>
      <c r="H50" s="20">
        <v>0</v>
      </c>
      <c r="I50" s="20">
        <v>35</v>
      </c>
      <c r="J50" s="89">
        <v>2405</v>
      </c>
      <c r="K50" s="52">
        <v>84175</v>
      </c>
      <c r="L50" s="89">
        <v>2407.51082</v>
      </c>
      <c r="M50" s="52">
        <v>84262.88</v>
      </c>
      <c r="N50" s="90">
        <v>3582.6982480000001</v>
      </c>
      <c r="O50" s="54">
        <v>125263.52</v>
      </c>
      <c r="P50" s="56">
        <v>41088.520000000004</v>
      </c>
      <c r="Q50" s="50">
        <v>0.48659999999999998</v>
      </c>
      <c r="R50" s="51">
        <v>4.05765295850633E-3</v>
      </c>
      <c r="S50" s="20" t="s">
        <v>130</v>
      </c>
    </row>
    <row r="51" spans="1:19" x14ac:dyDescent="0.25">
      <c r="A51" s="44" t="s">
        <v>140</v>
      </c>
      <c r="B51" s="44" t="s">
        <v>121</v>
      </c>
      <c r="C51" s="44" t="s">
        <v>148</v>
      </c>
      <c r="D51" s="44" t="s">
        <v>94</v>
      </c>
      <c r="E51" s="44">
        <v>0</v>
      </c>
      <c r="F51" s="20">
        <v>0</v>
      </c>
      <c r="G51" s="20">
        <v>0</v>
      </c>
      <c r="H51" s="20">
        <v>0</v>
      </c>
      <c r="I51" s="20">
        <v>35</v>
      </c>
      <c r="J51" s="89">
        <v>2405</v>
      </c>
      <c r="K51" s="52">
        <v>84175</v>
      </c>
      <c r="L51" s="89">
        <v>2407.51082</v>
      </c>
      <c r="M51" s="52">
        <v>84262.88</v>
      </c>
      <c r="N51" s="90">
        <v>3582.6982480000001</v>
      </c>
      <c r="O51" s="54">
        <v>125263.52</v>
      </c>
      <c r="P51" s="56">
        <v>41088.520000000004</v>
      </c>
      <c r="Q51" s="50">
        <v>0.48659999999999998</v>
      </c>
      <c r="R51" s="51">
        <v>4.05765295850633E-3</v>
      </c>
      <c r="S51" s="20" t="s">
        <v>130</v>
      </c>
    </row>
    <row r="52" spans="1:19" x14ac:dyDescent="0.25">
      <c r="A52" s="44" t="s">
        <v>140</v>
      </c>
      <c r="B52" s="44" t="s">
        <v>85</v>
      </c>
      <c r="C52" s="44" t="s">
        <v>146</v>
      </c>
      <c r="D52" s="44" t="s">
        <v>94</v>
      </c>
      <c r="E52" s="44">
        <v>0</v>
      </c>
      <c r="F52" s="20">
        <v>0</v>
      </c>
      <c r="G52" s="20">
        <v>0</v>
      </c>
      <c r="H52" s="20">
        <v>0</v>
      </c>
      <c r="I52" s="34">
        <v>550</v>
      </c>
      <c r="J52" s="89">
        <v>284.87090899999998</v>
      </c>
      <c r="K52" s="52">
        <v>156679</v>
      </c>
      <c r="L52" s="89">
        <v>285.16831400000001</v>
      </c>
      <c r="M52" s="52">
        <v>156842.57</v>
      </c>
      <c r="N52" s="90">
        <v>488.99936400000001</v>
      </c>
      <c r="O52" s="54">
        <v>268668.86</v>
      </c>
      <c r="P52" s="56">
        <v>111989.85999999999</v>
      </c>
      <c r="Q52" s="50">
        <v>0.71299999999999997</v>
      </c>
      <c r="R52" s="51">
        <v>8.7029726981767957E-3</v>
      </c>
      <c r="S52" s="20" t="s">
        <v>130</v>
      </c>
    </row>
    <row r="53" spans="1:19" x14ac:dyDescent="0.25">
      <c r="A53" s="44" t="s">
        <v>140</v>
      </c>
      <c r="B53" s="44" t="s">
        <v>121</v>
      </c>
      <c r="C53" s="44" t="s">
        <v>146</v>
      </c>
      <c r="D53" s="44" t="s">
        <v>94</v>
      </c>
      <c r="E53" s="44">
        <v>0</v>
      </c>
      <c r="F53" s="20">
        <v>0</v>
      </c>
      <c r="G53" s="20">
        <v>0</v>
      </c>
      <c r="H53" s="20">
        <v>0</v>
      </c>
      <c r="I53" s="34">
        <v>550</v>
      </c>
      <c r="J53" s="89">
        <v>284.87090899999998</v>
      </c>
      <c r="K53" s="52">
        <v>156679</v>
      </c>
      <c r="L53" s="89">
        <v>285.16831400000001</v>
      </c>
      <c r="M53" s="52">
        <v>156842.57</v>
      </c>
      <c r="N53" s="90">
        <v>488.99936400000001</v>
      </c>
      <c r="O53" s="54">
        <v>268668.86</v>
      </c>
      <c r="P53" s="56">
        <v>111989.85999999999</v>
      </c>
      <c r="Q53" s="50">
        <v>0.71299999999999997</v>
      </c>
      <c r="R53" s="51">
        <v>8.7029726981767957E-3</v>
      </c>
      <c r="S53" s="20" t="s">
        <v>130</v>
      </c>
    </row>
    <row r="54" spans="1:19" x14ac:dyDescent="0.25">
      <c r="A54" s="44" t="s">
        <v>82</v>
      </c>
      <c r="B54" s="44" t="s">
        <v>86</v>
      </c>
      <c r="C54" s="44" t="s">
        <v>112</v>
      </c>
      <c r="D54" s="44" t="s">
        <v>100</v>
      </c>
      <c r="E54" s="44">
        <v>0</v>
      </c>
      <c r="F54" s="20">
        <v>0</v>
      </c>
      <c r="G54" s="20">
        <v>0</v>
      </c>
      <c r="H54" s="20">
        <v>0</v>
      </c>
      <c r="I54" s="20">
        <v>10</v>
      </c>
      <c r="J54" s="89">
        <v>36.726467</v>
      </c>
      <c r="K54" s="52">
        <v>367.26</v>
      </c>
      <c r="L54" s="89">
        <v>36.726467</v>
      </c>
      <c r="M54" s="52">
        <v>367.26</v>
      </c>
      <c r="N54" s="90">
        <v>7.9</v>
      </c>
      <c r="O54" s="54">
        <v>78.92</v>
      </c>
      <c r="P54" s="55">
        <v>-288.33999999999997</v>
      </c>
      <c r="Q54" s="49">
        <v>-0.78510000000000002</v>
      </c>
      <c r="R54" s="51">
        <v>2.5564503654800664E-6</v>
      </c>
      <c r="S54" s="20" t="s">
        <v>128</v>
      </c>
    </row>
    <row r="55" spans="1:19" x14ac:dyDescent="0.25">
      <c r="A55" s="44" t="s">
        <v>82</v>
      </c>
      <c r="B55" s="44" t="s">
        <v>86</v>
      </c>
      <c r="C55" s="44" t="s">
        <v>113</v>
      </c>
      <c r="D55" s="44" t="s">
        <v>89</v>
      </c>
      <c r="E55" s="44">
        <v>1</v>
      </c>
      <c r="F55" s="20">
        <v>0</v>
      </c>
      <c r="G55" s="20">
        <v>0</v>
      </c>
      <c r="H55" s="20">
        <v>0</v>
      </c>
      <c r="I55" s="20">
        <v>6</v>
      </c>
      <c r="J55" s="89">
        <v>30.4</v>
      </c>
      <c r="K55" s="52">
        <v>182.4</v>
      </c>
      <c r="L55" s="89">
        <v>30.431667000000001</v>
      </c>
      <c r="M55" s="52">
        <v>182.59</v>
      </c>
      <c r="N55" s="90">
        <v>16.68</v>
      </c>
      <c r="O55" s="54">
        <v>99.97</v>
      </c>
      <c r="P55" s="55">
        <v>-82.43</v>
      </c>
      <c r="Q55" s="49">
        <v>-0.45250000000000001</v>
      </c>
      <c r="R55" s="51">
        <v>3.2383216299675903E-6</v>
      </c>
      <c r="S55" s="20" t="s">
        <v>128</v>
      </c>
    </row>
    <row r="56" spans="1:19" x14ac:dyDescent="0.25">
      <c r="A56" s="44" t="s">
        <v>140</v>
      </c>
      <c r="B56" s="44" t="s">
        <v>85</v>
      </c>
      <c r="C56" s="44" t="s">
        <v>137</v>
      </c>
      <c r="D56" s="44" t="s">
        <v>94</v>
      </c>
      <c r="E56" s="44">
        <v>0</v>
      </c>
      <c r="F56" s="20">
        <v>0</v>
      </c>
      <c r="G56" s="20">
        <v>0</v>
      </c>
      <c r="H56" s="20">
        <v>0</v>
      </c>
      <c r="I56" s="20">
        <v>25</v>
      </c>
      <c r="J56" s="89">
        <v>2480.5</v>
      </c>
      <c r="K56" s="52">
        <v>62012.5</v>
      </c>
      <c r="L56" s="89">
        <v>2483.0896419999999</v>
      </c>
      <c r="M56" s="52">
        <v>62077.24</v>
      </c>
      <c r="N56" s="90">
        <v>2353.9147640000001</v>
      </c>
      <c r="O56" s="54">
        <v>58786.43</v>
      </c>
      <c r="P56" s="55">
        <v>-3226.0699999999997</v>
      </c>
      <c r="Q56" s="49">
        <v>-5.2999999999999999E-2</v>
      </c>
      <c r="R56" s="51">
        <v>1.9042649576630553E-3</v>
      </c>
      <c r="S56" s="20" t="s">
        <v>138</v>
      </c>
    </row>
    <row r="57" spans="1:19" x14ac:dyDescent="0.25">
      <c r="A57" s="44" t="s">
        <v>82</v>
      </c>
      <c r="B57" s="44" t="s">
        <v>86</v>
      </c>
      <c r="C57" s="44" t="s">
        <v>114</v>
      </c>
      <c r="D57" s="44" t="s">
        <v>94</v>
      </c>
      <c r="E57" s="44">
        <v>14</v>
      </c>
      <c r="F57" s="20">
        <v>0</v>
      </c>
      <c r="G57" s="20">
        <v>0</v>
      </c>
      <c r="H57" s="20">
        <v>0</v>
      </c>
      <c r="I57" s="20">
        <v>11</v>
      </c>
      <c r="J57" s="89">
        <v>22.8</v>
      </c>
      <c r="K57" s="52">
        <v>250.8</v>
      </c>
      <c r="L57" s="89">
        <v>22.824545000000001</v>
      </c>
      <c r="M57" s="52">
        <v>251.07</v>
      </c>
      <c r="N57" s="90">
        <v>0.61899999999999999</v>
      </c>
      <c r="O57" s="54">
        <v>6.8</v>
      </c>
      <c r="P57" s="55">
        <v>-244</v>
      </c>
      <c r="Q57" s="49">
        <v>-0.97289999999999999</v>
      </c>
      <c r="R57" s="51">
        <v>2.2027195242352318E-7</v>
      </c>
      <c r="S57" s="20" t="s">
        <v>128</v>
      </c>
    </row>
    <row r="58" spans="1:19" x14ac:dyDescent="0.25">
      <c r="A58" s="44" t="s">
        <v>82</v>
      </c>
      <c r="B58" s="44" t="s">
        <v>86</v>
      </c>
      <c r="C58" s="44" t="s">
        <v>115</v>
      </c>
      <c r="D58" s="44" t="s">
        <v>94</v>
      </c>
      <c r="E58" s="44">
        <v>0</v>
      </c>
      <c r="F58" s="20">
        <v>0</v>
      </c>
      <c r="G58" s="20">
        <v>0</v>
      </c>
      <c r="H58" s="20">
        <v>0</v>
      </c>
      <c r="I58" s="34">
        <v>17</v>
      </c>
      <c r="J58" s="89">
        <v>54.067891000000003</v>
      </c>
      <c r="K58" s="52">
        <v>919.15</v>
      </c>
      <c r="L58" s="89">
        <v>54.124338000000002</v>
      </c>
      <c r="M58" s="52">
        <v>920.11</v>
      </c>
      <c r="N58" s="90">
        <v>54.17</v>
      </c>
      <c r="O58" s="54">
        <v>919.93</v>
      </c>
      <c r="P58" s="55">
        <v>0.77999999999997272</v>
      </c>
      <c r="Q58" s="49">
        <v>-2.0000000000000001E-4</v>
      </c>
      <c r="R58" s="51">
        <v>2.9799231940142894E-5</v>
      </c>
      <c r="S58" s="20" t="s">
        <v>128</v>
      </c>
    </row>
    <row r="59" spans="1:19" x14ac:dyDescent="0.25">
      <c r="A59" s="44" t="s">
        <v>82</v>
      </c>
      <c r="B59" s="44" t="s">
        <v>121</v>
      </c>
      <c r="C59" s="44" t="s">
        <v>115</v>
      </c>
      <c r="D59" s="44" t="s">
        <v>94</v>
      </c>
      <c r="E59" s="44">
        <v>0</v>
      </c>
      <c r="F59" s="20">
        <v>0</v>
      </c>
      <c r="G59" s="20">
        <v>0</v>
      </c>
      <c r="H59" s="20">
        <v>0</v>
      </c>
      <c r="I59" s="34">
        <v>7400</v>
      </c>
      <c r="J59" s="89">
        <v>54.067891000000003</v>
      </c>
      <c r="K59" s="52">
        <v>400102.39</v>
      </c>
      <c r="L59" s="89">
        <v>54.124338000000002</v>
      </c>
      <c r="M59" s="52">
        <v>400520.1</v>
      </c>
      <c r="N59" s="90">
        <v>54.17</v>
      </c>
      <c r="O59" s="54">
        <v>400439.51</v>
      </c>
      <c r="P59" s="55">
        <v>337.11999999999534</v>
      </c>
      <c r="Q59" s="49">
        <v>-2.0000000000000001E-4</v>
      </c>
      <c r="R59" s="51">
        <v>1.2971410690473374E-2</v>
      </c>
      <c r="S59" s="20" t="s">
        <v>128</v>
      </c>
    </row>
    <row r="60" spans="1:19" x14ac:dyDescent="0.25">
      <c r="A60" s="44" t="s">
        <v>82</v>
      </c>
      <c r="B60" s="44" t="s">
        <v>85</v>
      </c>
      <c r="C60" s="44" t="s">
        <v>115</v>
      </c>
      <c r="D60" s="44" t="s">
        <v>94</v>
      </c>
      <c r="E60" s="44">
        <v>0</v>
      </c>
      <c r="F60" s="20">
        <v>0</v>
      </c>
      <c r="G60" s="20">
        <v>0</v>
      </c>
      <c r="H60" s="20">
        <v>0</v>
      </c>
      <c r="I60" s="34">
        <v>1600</v>
      </c>
      <c r="J60" s="89">
        <v>54.067891000000003</v>
      </c>
      <c r="K60" s="52">
        <v>86508.63</v>
      </c>
      <c r="L60" s="89">
        <v>54.124338000000002</v>
      </c>
      <c r="M60" s="52">
        <v>86598.94</v>
      </c>
      <c r="N60" s="90">
        <v>54.17</v>
      </c>
      <c r="O60" s="54">
        <v>86581.51</v>
      </c>
      <c r="P60" s="55">
        <v>72.879999999990105</v>
      </c>
      <c r="Q60" s="49">
        <v>-2.0000000000000001E-4</v>
      </c>
      <c r="R60" s="51">
        <v>2.8046291546289406E-3</v>
      </c>
      <c r="S60" s="20" t="s">
        <v>128</v>
      </c>
    </row>
    <row r="61" spans="1:19" x14ac:dyDescent="0.25">
      <c r="A61" s="24"/>
      <c r="B61" s="24"/>
      <c r="C61" s="24" t="s">
        <v>116</v>
      </c>
      <c r="D61" s="24" t="s">
        <v>50</v>
      </c>
      <c r="E61" s="24"/>
      <c r="F61" s="25"/>
      <c r="G61" s="25"/>
      <c r="H61" s="25"/>
      <c r="I61" s="25"/>
      <c r="J61" s="24"/>
      <c r="K61" s="39">
        <v>24598240.730000004</v>
      </c>
      <c r="L61" s="24"/>
      <c r="M61" s="39">
        <v>24623920.169999998</v>
      </c>
      <c r="N61" s="24"/>
      <c r="O61" s="39">
        <v>26766581.460000001</v>
      </c>
      <c r="P61" s="91">
        <v>2168340.7299999967</v>
      </c>
      <c r="Q61" s="92">
        <v>8.6999999999999994E-2</v>
      </c>
      <c r="R61" s="53">
        <v>0.86704811177944074</v>
      </c>
      <c r="S61" s="74"/>
    </row>
    <row r="62" spans="1:19" x14ac:dyDescent="0.25">
      <c r="A62" s="21"/>
      <c r="B62" s="21"/>
      <c r="C62" s="21"/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21"/>
      <c r="P62" s="23"/>
      <c r="Q62" s="23"/>
      <c r="R62" s="96"/>
      <c r="S62" s="72"/>
    </row>
    <row r="63" spans="1:19" x14ac:dyDescent="0.25">
      <c r="A63" s="44" t="s">
        <v>117</v>
      </c>
      <c r="B63" s="44" t="s">
        <v>86</v>
      </c>
      <c r="C63" s="44" t="s">
        <v>91</v>
      </c>
      <c r="D63" s="44">
        <v>20</v>
      </c>
      <c r="E63" s="44" t="s">
        <v>21</v>
      </c>
      <c r="F63" s="20">
        <v>985</v>
      </c>
      <c r="G63" s="20">
        <v>0</v>
      </c>
      <c r="H63" s="20">
        <v>11</v>
      </c>
      <c r="I63" s="20">
        <v>129</v>
      </c>
      <c r="J63" s="89">
        <v>6.8051690000000002</v>
      </c>
      <c r="K63" s="54">
        <v>877.87</v>
      </c>
      <c r="L63" s="89">
        <v>6.7517250000000004</v>
      </c>
      <c r="M63" s="54">
        <v>870.97</v>
      </c>
      <c r="N63" s="90">
        <v>6.4670069999999997</v>
      </c>
      <c r="O63" s="54">
        <v>834.24</v>
      </c>
      <c r="P63" s="55">
        <v>-36.729999999999997</v>
      </c>
      <c r="Q63" s="49">
        <v>-4.2200000000000001E-2</v>
      </c>
      <c r="R63" s="51">
        <v>2.6999999999999999E-5</v>
      </c>
      <c r="S63" s="20" t="s">
        <v>130</v>
      </c>
    </row>
    <row r="64" spans="1:19" x14ac:dyDescent="0.25">
      <c r="A64" s="44" t="s">
        <v>117</v>
      </c>
      <c r="B64" s="44" t="s">
        <v>85</v>
      </c>
      <c r="C64" s="44" t="s">
        <v>149</v>
      </c>
      <c r="D64" s="44">
        <v>24</v>
      </c>
      <c r="E64" s="44" t="s">
        <v>21</v>
      </c>
      <c r="F64" s="20">
        <v>1826</v>
      </c>
      <c r="G64" s="20">
        <v>0</v>
      </c>
      <c r="H64" s="20">
        <v>1566</v>
      </c>
      <c r="I64" s="34">
        <v>17470</v>
      </c>
      <c r="J64" s="89">
        <v>67.872962000000001</v>
      </c>
      <c r="K64" s="52">
        <v>1185740.6461400001</v>
      </c>
      <c r="L64" s="89">
        <v>68.242587</v>
      </c>
      <c r="M64" s="52">
        <v>1192197.99489</v>
      </c>
      <c r="N64" s="90">
        <v>68.357697999999999</v>
      </c>
      <c r="O64" s="54">
        <v>1194208.9840599999</v>
      </c>
      <c r="P64" s="56">
        <v>2010.9891699999571</v>
      </c>
      <c r="Q64" s="50">
        <v>1.6999999999999999E-3</v>
      </c>
      <c r="R64" s="51">
        <v>3.7916857191242832E-2</v>
      </c>
      <c r="S64" s="20" t="s">
        <v>130</v>
      </c>
    </row>
    <row r="65" spans="1:19" x14ac:dyDescent="0.25">
      <c r="A65" s="44" t="s">
        <v>117</v>
      </c>
      <c r="B65" s="44" t="s">
        <v>121</v>
      </c>
      <c r="C65" s="44" t="s">
        <v>149</v>
      </c>
      <c r="D65" s="44">
        <v>24</v>
      </c>
      <c r="E65" s="44" t="s">
        <v>21</v>
      </c>
      <c r="F65" s="20">
        <v>1826</v>
      </c>
      <c r="G65" s="20">
        <v>0</v>
      </c>
      <c r="H65" s="20">
        <v>1566</v>
      </c>
      <c r="I65" s="34">
        <v>17470</v>
      </c>
      <c r="J65" s="89">
        <v>67.872962000000001</v>
      </c>
      <c r="K65" s="52">
        <v>1185740.6461400001</v>
      </c>
      <c r="L65" s="89">
        <v>68.242587</v>
      </c>
      <c r="M65" s="52">
        <v>1192197.99489</v>
      </c>
      <c r="N65" s="90">
        <v>68.357697999999999</v>
      </c>
      <c r="O65" s="54">
        <v>1194208.9840599999</v>
      </c>
      <c r="P65" s="56">
        <v>2010.9891699999571</v>
      </c>
      <c r="Q65" s="50">
        <v>1.6999999999999999E-3</v>
      </c>
      <c r="R65" s="51">
        <v>3.7916857191242832E-2</v>
      </c>
      <c r="S65" s="20" t="s">
        <v>130</v>
      </c>
    </row>
    <row r="66" spans="1:19" x14ac:dyDescent="0.25">
      <c r="A66" s="44" t="s">
        <v>63</v>
      </c>
      <c r="B66" s="44" t="s">
        <v>85</v>
      </c>
      <c r="C66" s="44" t="s">
        <v>141</v>
      </c>
      <c r="D66" s="44">
        <v>280907</v>
      </c>
      <c r="E66" s="44" t="s">
        <v>21</v>
      </c>
      <c r="F66" s="20">
        <v>4</v>
      </c>
      <c r="G66" s="20">
        <v>9.4499999999999993</v>
      </c>
      <c r="H66" s="20">
        <v>4</v>
      </c>
      <c r="I66" s="34">
        <v>11847</v>
      </c>
      <c r="J66" s="89">
        <v>100.888075</v>
      </c>
      <c r="K66" s="52">
        <v>1195221.024525</v>
      </c>
      <c r="L66" s="89">
        <v>100.888075</v>
      </c>
      <c r="M66" s="52">
        <v>1195221.024525</v>
      </c>
      <c r="N66" s="90">
        <v>100.888075</v>
      </c>
      <c r="O66" s="54">
        <v>1195221.024525</v>
      </c>
      <c r="P66" s="55">
        <v>0</v>
      </c>
      <c r="Q66" s="35"/>
      <c r="R66" s="51">
        <v>5.5553999999999999E-2</v>
      </c>
      <c r="S66" s="20" t="s">
        <v>130</v>
      </c>
    </row>
    <row r="67" spans="1:19" x14ac:dyDescent="0.25">
      <c r="A67" s="44" t="s">
        <v>63</v>
      </c>
      <c r="B67" s="44" t="s">
        <v>86</v>
      </c>
      <c r="C67" s="44" t="s">
        <v>141</v>
      </c>
      <c r="D67" s="44">
        <v>280907</v>
      </c>
      <c r="E67" s="44" t="s">
        <v>21</v>
      </c>
      <c r="F67" s="20">
        <v>4</v>
      </c>
      <c r="G67" s="20">
        <v>9.4499999999999993</v>
      </c>
      <c r="H67" s="20">
        <v>4</v>
      </c>
      <c r="I67" s="34">
        <v>482</v>
      </c>
      <c r="J67" s="89">
        <v>100.888075</v>
      </c>
      <c r="K67" s="52">
        <v>48628.052150000003</v>
      </c>
      <c r="L67" s="89">
        <v>100.888075</v>
      </c>
      <c r="M67" s="52">
        <v>48628.052150000003</v>
      </c>
      <c r="N67" s="90">
        <v>100.888075</v>
      </c>
      <c r="O67" s="54">
        <v>48628.052150000003</v>
      </c>
      <c r="P67" s="55">
        <v>0</v>
      </c>
      <c r="Q67" s="35"/>
      <c r="R67" s="51">
        <v>5.5553999999999999E-2</v>
      </c>
      <c r="S67" s="20" t="s">
        <v>130</v>
      </c>
    </row>
    <row r="68" spans="1:19" x14ac:dyDescent="0.25">
      <c r="A68" s="44" t="s">
        <v>63</v>
      </c>
      <c r="B68" s="44" t="s">
        <v>121</v>
      </c>
      <c r="C68" s="44" t="s">
        <v>141</v>
      </c>
      <c r="D68" s="44">
        <v>280907</v>
      </c>
      <c r="E68" s="44" t="s">
        <v>21</v>
      </c>
      <c r="F68" s="20">
        <v>4</v>
      </c>
      <c r="G68" s="20">
        <v>9.4499999999999993</v>
      </c>
      <c r="H68" s="20">
        <v>4</v>
      </c>
      <c r="I68" s="34">
        <v>4670</v>
      </c>
      <c r="J68" s="89">
        <v>100.888075</v>
      </c>
      <c r="K68" s="52">
        <v>471147.31024999998</v>
      </c>
      <c r="L68" s="89">
        <v>100.888075</v>
      </c>
      <c r="M68" s="52">
        <v>471147.31024999998</v>
      </c>
      <c r="N68" s="90">
        <v>100.888075</v>
      </c>
      <c r="O68" s="54">
        <v>471147.31024999998</v>
      </c>
      <c r="P68" s="55">
        <v>0</v>
      </c>
      <c r="Q68" s="35"/>
      <c r="R68" s="51">
        <v>5.5553999999999999E-2</v>
      </c>
      <c r="S68" s="20" t="s">
        <v>130</v>
      </c>
    </row>
    <row r="69" spans="1:19" x14ac:dyDescent="0.25">
      <c r="A69" s="24"/>
      <c r="B69" s="24"/>
      <c r="C69" s="24" t="s">
        <v>49</v>
      </c>
      <c r="D69" s="24" t="s">
        <v>50</v>
      </c>
      <c r="E69" s="24"/>
      <c r="F69" s="25"/>
      <c r="G69" s="25"/>
      <c r="H69" s="25"/>
      <c r="I69" s="25"/>
      <c r="J69" s="24"/>
      <c r="K69" s="39">
        <v>4087355.5492050005</v>
      </c>
      <c r="L69" s="24"/>
      <c r="M69" s="39">
        <v>4100263.3467049999</v>
      </c>
      <c r="N69" s="24"/>
      <c r="O69" s="39">
        <v>4104248.5950449994</v>
      </c>
      <c r="P69" s="91">
        <v>3985.26</v>
      </c>
      <c r="Q69" s="92">
        <v>1E-3</v>
      </c>
      <c r="R69" s="53">
        <v>0.13294900000000001</v>
      </c>
      <c r="S69" s="74"/>
    </row>
    <row r="70" spans="1:19" x14ac:dyDescent="0.25">
      <c r="A70" s="21"/>
      <c r="B70" s="21"/>
      <c r="C70" s="21"/>
      <c r="D70" s="21"/>
      <c r="E70" s="21"/>
      <c r="F70" s="22"/>
      <c r="G70" s="22"/>
      <c r="H70" s="22"/>
      <c r="I70" s="22"/>
      <c r="J70" s="21"/>
      <c r="K70" s="21"/>
      <c r="L70" s="21"/>
      <c r="M70" s="21"/>
      <c r="N70" s="21"/>
      <c r="O70" s="21"/>
      <c r="P70" s="23"/>
      <c r="Q70" s="23"/>
      <c r="R70" s="22"/>
    </row>
    <row r="71" spans="1:19" x14ac:dyDescent="0.25">
      <c r="A71" s="21"/>
      <c r="B71" s="21" t="s">
        <v>85</v>
      </c>
      <c r="C71" s="21" t="s">
        <v>51</v>
      </c>
      <c r="D71" s="21" t="s">
        <v>50</v>
      </c>
      <c r="E71" s="21"/>
      <c r="F71" s="22"/>
      <c r="G71" s="22"/>
      <c r="H71" s="22"/>
      <c r="I71" s="22"/>
      <c r="J71" s="21"/>
      <c r="K71" s="21"/>
      <c r="L71" s="21"/>
      <c r="M71" s="21"/>
      <c r="N71" s="21"/>
      <c r="O71" s="40">
        <v>22.8</v>
      </c>
      <c r="P71" s="23"/>
      <c r="Q71" s="23"/>
      <c r="R71" s="22"/>
    </row>
    <row r="72" spans="1:19" x14ac:dyDescent="0.25">
      <c r="A72" s="21"/>
      <c r="B72" s="21" t="s">
        <v>86</v>
      </c>
      <c r="C72" s="21" t="s">
        <v>51</v>
      </c>
      <c r="D72" s="21" t="s">
        <v>50</v>
      </c>
      <c r="E72" s="21"/>
      <c r="F72" s="22"/>
      <c r="G72" s="22"/>
      <c r="H72" s="22"/>
      <c r="I72" s="22"/>
      <c r="J72" s="21"/>
      <c r="K72" s="21"/>
      <c r="L72" s="21"/>
      <c r="M72" s="21"/>
      <c r="N72" s="21"/>
      <c r="O72" s="40">
        <v>-28.99</v>
      </c>
      <c r="P72" s="23"/>
      <c r="Q72" s="23"/>
      <c r="R72" s="22"/>
    </row>
    <row r="73" spans="1:19" x14ac:dyDescent="0.25">
      <c r="A73" s="21"/>
      <c r="B73" s="21" t="s">
        <v>121</v>
      </c>
      <c r="C73" s="21" t="s">
        <v>51</v>
      </c>
      <c r="D73" s="21" t="s">
        <v>50</v>
      </c>
      <c r="E73" s="21"/>
      <c r="F73" s="22"/>
      <c r="G73" s="22"/>
      <c r="H73" s="22"/>
      <c r="I73" s="22"/>
      <c r="J73" s="21"/>
      <c r="K73" s="21"/>
      <c r="L73" s="21"/>
      <c r="M73" s="21"/>
      <c r="N73" s="21"/>
      <c r="O73" s="40">
        <v>106.03</v>
      </c>
      <c r="P73" s="23"/>
      <c r="Q73" s="23"/>
      <c r="R73" s="22"/>
    </row>
    <row r="74" spans="1:19" x14ac:dyDescent="0.25">
      <c r="A74" s="21"/>
      <c r="B74" s="21"/>
      <c r="C74" s="21"/>
      <c r="D74" s="21"/>
      <c r="E74" s="21"/>
      <c r="F74" s="22"/>
      <c r="G74" s="22"/>
      <c r="H74" s="22"/>
      <c r="I74" s="22"/>
      <c r="J74" s="21"/>
      <c r="K74" s="21"/>
      <c r="L74" s="21"/>
      <c r="M74" s="21"/>
      <c r="N74" s="21"/>
      <c r="O74" s="21"/>
      <c r="P74" s="23"/>
      <c r="Q74" s="23"/>
      <c r="R74" s="22"/>
    </row>
    <row r="75" spans="1:19" x14ac:dyDescent="0.25">
      <c r="A75" s="24"/>
      <c r="B75" s="24"/>
      <c r="C75" s="24" t="s">
        <v>52</v>
      </c>
      <c r="D75" s="24" t="s">
        <v>50</v>
      </c>
      <c r="E75" s="24"/>
      <c r="F75" s="25"/>
      <c r="G75" s="25"/>
      <c r="H75" s="25"/>
      <c r="I75" s="25"/>
      <c r="J75" s="24"/>
      <c r="K75" s="24"/>
      <c r="L75" s="24"/>
      <c r="M75" s="24"/>
      <c r="N75" s="24"/>
      <c r="O75" s="39">
        <v>0</v>
      </c>
      <c r="P75" s="26"/>
      <c r="Q75" s="26"/>
      <c r="R75" s="25"/>
    </row>
    <row r="76" spans="1:19" x14ac:dyDescent="0.25">
      <c r="A76" s="21"/>
      <c r="B76" s="21"/>
      <c r="C76" s="21"/>
      <c r="D76" s="21"/>
      <c r="E76" s="21"/>
      <c r="F76" s="22"/>
      <c r="G76" s="22"/>
      <c r="H76" s="22"/>
      <c r="I76" s="22"/>
      <c r="J76" s="21"/>
      <c r="K76" s="21"/>
      <c r="L76" s="21"/>
      <c r="M76" s="21"/>
      <c r="N76" s="21"/>
      <c r="O76" s="21"/>
      <c r="P76" s="23"/>
      <c r="Q76" s="23"/>
      <c r="R76" s="22"/>
    </row>
    <row r="77" spans="1:19" x14ac:dyDescent="0.25">
      <c r="A77" s="27"/>
      <c r="B77" s="27"/>
      <c r="C77" s="27" t="s">
        <v>53</v>
      </c>
      <c r="D77" s="27"/>
      <c r="E77" s="27"/>
      <c r="F77" s="28"/>
      <c r="G77" s="28"/>
      <c r="H77" s="28"/>
      <c r="I77" s="28"/>
      <c r="J77" s="27"/>
      <c r="K77" s="27"/>
      <c r="L77" s="27"/>
      <c r="M77" s="27"/>
      <c r="N77" s="27"/>
      <c r="O77" s="41">
        <v>30870929.895045005</v>
      </c>
      <c r="P77" s="29"/>
      <c r="Q77" s="29"/>
      <c r="R77" s="28"/>
    </row>
    <row r="78" spans="1:19" x14ac:dyDescent="0.25">
      <c r="A78" s="21"/>
      <c r="B78" s="21"/>
      <c r="C78" s="21"/>
      <c r="D78" s="21"/>
      <c r="E78" s="21"/>
      <c r="F78" s="22"/>
      <c r="G78" s="22"/>
      <c r="H78" s="22"/>
      <c r="I78" s="22"/>
      <c r="J78" s="21"/>
      <c r="K78" s="21"/>
      <c r="L78" s="21"/>
      <c r="M78" s="21"/>
      <c r="N78" s="21"/>
      <c r="O78" s="21"/>
      <c r="P78" s="23"/>
      <c r="Q78" s="23"/>
      <c r="R78" s="22"/>
    </row>
    <row r="79" spans="1:19" x14ac:dyDescent="0.25">
      <c r="A79" s="21"/>
      <c r="B79" s="21"/>
      <c r="C79" s="21" t="s">
        <v>26</v>
      </c>
      <c r="D79" s="21"/>
      <c r="E79" s="21"/>
      <c r="F79" s="22"/>
      <c r="G79" s="22"/>
      <c r="H79" s="22"/>
      <c r="I79" s="22"/>
      <c r="J79" s="21"/>
      <c r="K79" s="21"/>
      <c r="L79" s="21"/>
      <c r="M79" s="21"/>
      <c r="N79" s="21"/>
      <c r="O79" s="40">
        <v>99.83</v>
      </c>
      <c r="P79" s="23"/>
      <c r="Q79" s="23"/>
      <c r="R79" s="22"/>
    </row>
    <row r="80" spans="1:19" x14ac:dyDescent="0.25">
      <c r="A80" s="21"/>
      <c r="B80" s="21"/>
      <c r="C80" s="21" t="s">
        <v>54</v>
      </c>
      <c r="D80" s="21"/>
      <c r="E80" s="21"/>
      <c r="F80" s="22"/>
      <c r="G80" s="22"/>
      <c r="H80" s="22"/>
      <c r="I80" s="22"/>
      <c r="J80" s="21"/>
      <c r="K80" s="21"/>
      <c r="L80" s="21"/>
      <c r="M80" s="21"/>
      <c r="N80" s="21"/>
      <c r="O80" s="40">
        <v>1715096.22</v>
      </c>
      <c r="P80" s="23"/>
      <c r="Q80" s="23"/>
      <c r="R80" s="22"/>
    </row>
    <row r="81" spans="1:18" x14ac:dyDescent="0.25">
      <c r="A81" s="21"/>
      <c r="B81" s="21"/>
      <c r="C81" s="21" t="s">
        <v>55</v>
      </c>
      <c r="D81" s="21"/>
      <c r="E81" s="21"/>
      <c r="F81" s="22"/>
      <c r="G81" s="22"/>
      <c r="H81" s="22"/>
      <c r="I81" s="22"/>
      <c r="J81" s="21"/>
      <c r="K81" s="21"/>
      <c r="L81" s="21"/>
      <c r="M81" s="21"/>
      <c r="N81" s="21"/>
      <c r="O81" s="40">
        <v>0</v>
      </c>
      <c r="P81" s="23"/>
      <c r="Q81" s="23"/>
      <c r="R81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7298" r:id="rId4" name="Button 2">
              <controlPr defaultSize="0" print="0" autoFill="0" autoPict="0" macro="[0]!PDF">
                <anchor moveWithCells="1" sizeWithCells="1">
                  <from>
                    <xdr:col>18</xdr:col>
                    <xdr:colOff>619125</xdr:colOff>
                    <xdr:row>1</xdr:row>
                    <xdr:rowOff>38100</xdr:rowOff>
                  </from>
                  <to>
                    <xdr:col>20</xdr:col>
                    <xdr:colOff>361950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299" r:id="rId5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619125</xdr:colOff>
                    <xdr:row>3</xdr:row>
                    <xdr:rowOff>171450</xdr:rowOff>
                  </from>
                  <to>
                    <xdr:col>20</xdr:col>
                    <xdr:colOff>361950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300" r:id="rId6" name="Button 4">
              <controlPr defaultSize="0" print="0" autoFill="0" autoPict="0" macro="[0]!PDF">
                <anchor moveWithCells="1" sizeWithCells="1">
                  <from>
                    <xdr:col>18</xdr:col>
                    <xdr:colOff>619125</xdr:colOff>
                    <xdr:row>1</xdr:row>
                    <xdr:rowOff>38100</xdr:rowOff>
                  </from>
                  <to>
                    <xdr:col>20</xdr:col>
                    <xdr:colOff>361950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FE45B-95F6-4F18-B841-59F99AF87B67}">
  <dimension ref="A1:R180"/>
  <sheetViews>
    <sheetView topLeftCell="A55" workbookViewId="0">
      <selection activeCell="Q50" sqref="Q50"/>
    </sheetView>
  </sheetViews>
  <sheetFormatPr baseColWidth="10" defaultRowHeight="15" x14ac:dyDescent="0.25"/>
  <cols>
    <col min="1" max="1" width="6.7109375" customWidth="1"/>
    <col min="2" max="2" width="12" bestFit="1" customWidth="1"/>
    <col min="3" max="4" width="8.7109375" customWidth="1"/>
    <col min="5" max="5" width="6.7109375" customWidth="1"/>
    <col min="6" max="6" width="29" bestFit="1" customWidth="1"/>
    <col min="7" max="8" width="7.7109375" customWidth="1"/>
    <col min="9" max="9" width="4.7109375" customWidth="1"/>
    <col min="10" max="10" width="6.7109375" customWidth="1"/>
    <col min="11" max="11" width="8.7109375" customWidth="1"/>
    <col min="12" max="12" width="6.7109375" customWidth="1"/>
    <col min="13" max="13" width="9.7109375" customWidth="1"/>
    <col min="14" max="14" width="8.7109375" customWidth="1"/>
    <col min="15" max="15" width="6.7109375" customWidth="1"/>
    <col min="16" max="16" width="2.7109375" customWidth="1"/>
    <col min="17" max="17" width="8.7109375" customWidth="1"/>
    <col min="18" max="18" width="10.7109375" customWidth="1"/>
  </cols>
  <sheetData>
    <row r="1" spans="1:18" ht="47.1" customHeight="1" x14ac:dyDescent="0.25"/>
    <row r="3" spans="1:18" x14ac:dyDescent="0.25">
      <c r="A3" s="64"/>
      <c r="B3" s="104"/>
      <c r="R3" s="65"/>
    </row>
    <row r="4" spans="1:18" x14ac:dyDescent="0.25">
      <c r="A4" s="69" t="s">
        <v>12</v>
      </c>
      <c r="B4" s="105"/>
      <c r="C4" s="36">
        <v>105433</v>
      </c>
      <c r="D4" s="37" t="s">
        <v>13</v>
      </c>
      <c r="F4" s="38" t="s">
        <v>123</v>
      </c>
      <c r="K4" s="37" t="s">
        <v>118</v>
      </c>
      <c r="L4" t="s">
        <v>160</v>
      </c>
      <c r="R4" s="65"/>
    </row>
    <row r="5" spans="1:18" x14ac:dyDescent="0.25">
      <c r="A5" s="69" t="s">
        <v>14</v>
      </c>
      <c r="B5" s="105"/>
      <c r="C5" s="36" t="s">
        <v>15</v>
      </c>
      <c r="D5" s="37" t="s">
        <v>16</v>
      </c>
      <c r="F5" s="38" t="s">
        <v>144</v>
      </c>
      <c r="R5" s="65"/>
    </row>
    <row r="6" spans="1:18" x14ac:dyDescent="0.25">
      <c r="A6" s="64"/>
      <c r="B6" s="104"/>
      <c r="R6" s="65"/>
    </row>
    <row r="7" spans="1:18" x14ac:dyDescent="0.25">
      <c r="A7" s="17" t="s">
        <v>64</v>
      </c>
      <c r="B7" s="106" t="s">
        <v>87</v>
      </c>
      <c r="C7" s="18" t="s">
        <v>65</v>
      </c>
      <c r="D7" s="18" t="s">
        <v>65</v>
      </c>
      <c r="E7" s="18" t="s">
        <v>66</v>
      </c>
      <c r="F7" s="18" t="s">
        <v>67</v>
      </c>
      <c r="G7" s="18" t="s">
        <v>17</v>
      </c>
      <c r="H7" s="18" t="s">
        <v>18</v>
      </c>
      <c r="I7" s="18" t="s">
        <v>19</v>
      </c>
      <c r="J7" s="18" t="s">
        <v>68</v>
      </c>
      <c r="K7" s="18" t="s">
        <v>20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73</v>
      </c>
      <c r="Q7" s="18" t="s">
        <v>74</v>
      </c>
      <c r="R7" s="19" t="s">
        <v>75</v>
      </c>
    </row>
    <row r="8" spans="1:18" x14ac:dyDescent="0.25">
      <c r="A8" s="17"/>
      <c r="B8" s="106"/>
      <c r="C8" s="18" t="s">
        <v>76</v>
      </c>
      <c r="D8" s="18" t="s">
        <v>77</v>
      </c>
      <c r="E8" s="18"/>
      <c r="F8" s="18"/>
      <c r="G8" s="18"/>
      <c r="H8" s="18"/>
      <c r="I8" s="18"/>
      <c r="J8" s="18" t="s">
        <v>78</v>
      </c>
      <c r="K8" s="18"/>
      <c r="L8" s="18" t="s">
        <v>79</v>
      </c>
      <c r="M8" s="18"/>
      <c r="N8" s="18"/>
      <c r="O8" s="18"/>
      <c r="P8" s="18"/>
      <c r="Q8" s="18"/>
      <c r="R8" s="19"/>
    </row>
    <row r="9" spans="1:18" x14ac:dyDescent="0.25">
      <c r="A9" s="66" t="s">
        <v>80</v>
      </c>
      <c r="B9" s="107" t="s">
        <v>85</v>
      </c>
      <c r="C9" s="44"/>
      <c r="D9" s="44"/>
      <c r="E9" s="44"/>
      <c r="F9" s="44" t="s">
        <v>84</v>
      </c>
      <c r="G9" s="44"/>
      <c r="H9" s="44"/>
      <c r="I9" s="44"/>
      <c r="J9" s="44"/>
      <c r="K9" s="88"/>
      <c r="L9" s="44"/>
      <c r="M9" s="44"/>
      <c r="N9" s="44"/>
      <c r="O9" s="59"/>
      <c r="P9" s="44" t="s">
        <v>21</v>
      </c>
      <c r="Q9" s="44">
        <v>0</v>
      </c>
      <c r="R9" s="70">
        <v>22.8</v>
      </c>
    </row>
    <row r="10" spans="1:18" x14ac:dyDescent="0.25">
      <c r="A10" s="66" t="s">
        <v>80</v>
      </c>
      <c r="B10" s="107" t="s">
        <v>86</v>
      </c>
      <c r="C10" s="44"/>
      <c r="D10" s="44"/>
      <c r="E10" s="44"/>
      <c r="F10" s="44" t="s">
        <v>84</v>
      </c>
      <c r="G10" s="44"/>
      <c r="H10" s="44"/>
      <c r="I10" s="44"/>
      <c r="J10" s="44"/>
      <c r="K10" s="88"/>
      <c r="L10" s="44"/>
      <c r="M10" s="44"/>
      <c r="N10" s="44"/>
      <c r="O10" s="59"/>
      <c r="P10" s="44" t="s">
        <v>21</v>
      </c>
      <c r="Q10" s="44">
        <v>0</v>
      </c>
      <c r="R10" s="70">
        <v>-28.99</v>
      </c>
    </row>
    <row r="11" spans="1:18" x14ac:dyDescent="0.25">
      <c r="A11" s="66" t="s">
        <v>80</v>
      </c>
      <c r="B11" s="107" t="s">
        <v>121</v>
      </c>
      <c r="C11" s="44"/>
      <c r="D11" s="44"/>
      <c r="E11" s="44"/>
      <c r="F11" s="44" t="s">
        <v>84</v>
      </c>
      <c r="G11" s="44"/>
      <c r="H11" s="44"/>
      <c r="I11" s="44"/>
      <c r="J11" s="44"/>
      <c r="K11" s="88"/>
      <c r="L11" s="44"/>
      <c r="M11" s="44"/>
      <c r="N11" s="44"/>
      <c r="O11" s="59"/>
      <c r="P11" s="44" t="s">
        <v>21</v>
      </c>
      <c r="Q11" s="44">
        <v>0</v>
      </c>
      <c r="R11" s="70">
        <v>106.03</v>
      </c>
    </row>
    <row r="12" spans="1:18" x14ac:dyDescent="0.25">
      <c r="A12" s="66" t="s">
        <v>82</v>
      </c>
      <c r="B12" s="107" t="s">
        <v>85</v>
      </c>
      <c r="C12" s="60">
        <v>45688</v>
      </c>
      <c r="D12" s="60">
        <v>45692</v>
      </c>
      <c r="E12" s="44">
        <v>368783</v>
      </c>
      <c r="F12" s="44" t="s">
        <v>83</v>
      </c>
      <c r="G12" s="44" t="s">
        <v>141</v>
      </c>
      <c r="H12" s="44">
        <v>280907</v>
      </c>
      <c r="I12" s="44">
        <v>4</v>
      </c>
      <c r="J12" s="52">
        <v>1254.9777504559054</v>
      </c>
      <c r="K12" s="61">
        <v>100.994007</v>
      </c>
      <c r="L12" s="44">
        <v>11847</v>
      </c>
      <c r="M12" s="52">
        <v>1196476.0044184984</v>
      </c>
      <c r="N12" s="44"/>
      <c r="O12" s="59"/>
      <c r="P12" s="44" t="s">
        <v>81</v>
      </c>
      <c r="Q12" s="52">
        <v>1196476.0044184984</v>
      </c>
      <c r="R12" s="71">
        <v>1196498.8</v>
      </c>
    </row>
    <row r="13" spans="1:18" x14ac:dyDescent="0.25">
      <c r="A13" s="66" t="s">
        <v>82</v>
      </c>
      <c r="B13" s="107" t="s">
        <v>86</v>
      </c>
      <c r="C13" s="60">
        <v>45688</v>
      </c>
      <c r="D13" s="60">
        <v>45692</v>
      </c>
      <c r="E13" s="44">
        <v>368783</v>
      </c>
      <c r="F13" s="44" t="s">
        <v>83</v>
      </c>
      <c r="G13" s="44" t="s">
        <v>141</v>
      </c>
      <c r="H13" s="44">
        <v>280907</v>
      </c>
      <c r="I13" s="44">
        <v>4</v>
      </c>
      <c r="J13" s="52">
        <v>51.059278781104609</v>
      </c>
      <c r="K13" s="61">
        <v>100.994007</v>
      </c>
      <c r="L13" s="44">
        <v>482</v>
      </c>
      <c r="M13" s="52">
        <v>48679.111515971657</v>
      </c>
      <c r="N13" s="44"/>
      <c r="O13" s="59"/>
      <c r="P13" s="44" t="s">
        <v>81</v>
      </c>
      <c r="Q13" s="52">
        <v>48679.111515971657</v>
      </c>
      <c r="R13" s="71">
        <v>48650.12</v>
      </c>
    </row>
    <row r="14" spans="1:18" x14ac:dyDescent="0.25">
      <c r="A14" s="66" t="s">
        <v>82</v>
      </c>
      <c r="B14" s="107" t="s">
        <v>121</v>
      </c>
      <c r="C14" s="60">
        <v>45688</v>
      </c>
      <c r="D14" s="60">
        <v>45692</v>
      </c>
      <c r="E14" s="44">
        <v>368783</v>
      </c>
      <c r="F14" s="44" t="s">
        <v>83</v>
      </c>
      <c r="G14" s="44" t="s">
        <v>141</v>
      </c>
      <c r="H14" s="44">
        <v>280907</v>
      </c>
      <c r="I14" s="44">
        <v>4</v>
      </c>
      <c r="J14" s="52">
        <v>494.70297076298442</v>
      </c>
      <c r="K14" s="61">
        <v>100.994007</v>
      </c>
      <c r="L14" s="44">
        <v>4670</v>
      </c>
      <c r="M14" s="52">
        <v>471642.01406553446</v>
      </c>
      <c r="N14" s="44"/>
      <c r="O14" s="59"/>
      <c r="P14" s="44" t="s">
        <v>81</v>
      </c>
      <c r="Q14" s="52">
        <v>471642.01406553446</v>
      </c>
      <c r="R14" s="71">
        <v>471748.04</v>
      </c>
    </row>
    <row r="15" spans="1:18" x14ac:dyDescent="0.25">
      <c r="A15" s="66" t="s">
        <v>82</v>
      </c>
      <c r="B15" s="107" t="s">
        <v>85</v>
      </c>
      <c r="C15" s="60">
        <v>45692</v>
      </c>
      <c r="D15" s="60">
        <v>45692</v>
      </c>
      <c r="E15" s="44">
        <v>370227</v>
      </c>
      <c r="F15" s="44" t="s">
        <v>124</v>
      </c>
      <c r="G15" s="44" t="s">
        <v>141</v>
      </c>
      <c r="H15" s="44">
        <v>280907</v>
      </c>
      <c r="I15" s="44">
        <v>1</v>
      </c>
      <c r="J15" s="44">
        <v>9.4499999999999993</v>
      </c>
      <c r="K15" s="61">
        <v>101.001853</v>
      </c>
      <c r="L15" s="44">
        <v>11846</v>
      </c>
      <c r="M15" s="52">
        <v>1196467.9455547747</v>
      </c>
      <c r="N15" s="44"/>
      <c r="O15" s="59"/>
      <c r="P15" s="44" t="s">
        <v>125</v>
      </c>
      <c r="Q15" s="52">
        <v>1196467.9455547747</v>
      </c>
      <c r="R15" s="70">
        <v>30.85</v>
      </c>
    </row>
    <row r="16" spans="1:18" x14ac:dyDescent="0.25">
      <c r="A16" s="66" t="s">
        <v>82</v>
      </c>
      <c r="B16" s="107" t="s">
        <v>86</v>
      </c>
      <c r="C16" s="60">
        <v>45692</v>
      </c>
      <c r="D16" s="60">
        <v>45692</v>
      </c>
      <c r="E16" s="44">
        <v>370227</v>
      </c>
      <c r="F16" s="44" t="s">
        <v>124</v>
      </c>
      <c r="G16" s="44" t="s">
        <v>141</v>
      </c>
      <c r="H16" s="44">
        <v>280907</v>
      </c>
      <c r="I16" s="44">
        <v>1</v>
      </c>
      <c r="J16" s="44">
        <v>9.4499999999999993</v>
      </c>
      <c r="K16" s="61">
        <v>101.001853</v>
      </c>
      <c r="L16" s="44">
        <v>482</v>
      </c>
      <c r="M16" s="52">
        <v>48682.892939169462</v>
      </c>
      <c r="N16" s="44"/>
      <c r="O16" s="59"/>
      <c r="P16" s="44" t="s">
        <v>125</v>
      </c>
      <c r="Q16" s="52">
        <v>48682.892939169462</v>
      </c>
      <c r="R16" s="70">
        <v>-32.770000000000003</v>
      </c>
    </row>
    <row r="17" spans="1:18" x14ac:dyDescent="0.25">
      <c r="A17" s="66" t="s">
        <v>82</v>
      </c>
      <c r="B17" s="107" t="s">
        <v>121</v>
      </c>
      <c r="C17" s="60">
        <v>45692</v>
      </c>
      <c r="D17" s="60">
        <v>45692</v>
      </c>
      <c r="E17" s="44">
        <v>370227</v>
      </c>
      <c r="F17" s="44" t="s">
        <v>124</v>
      </c>
      <c r="G17" s="44" t="s">
        <v>141</v>
      </c>
      <c r="H17" s="44">
        <v>280907</v>
      </c>
      <c r="I17" s="44">
        <v>1</v>
      </c>
      <c r="J17" s="44">
        <v>9.4499999999999993</v>
      </c>
      <c r="K17" s="61">
        <v>101.001853</v>
      </c>
      <c r="L17" s="44">
        <v>4670</v>
      </c>
      <c r="M17" s="52">
        <v>471678.65150606097</v>
      </c>
      <c r="N17" s="44"/>
      <c r="O17" s="59"/>
      <c r="P17" s="44" t="s">
        <v>125</v>
      </c>
      <c r="Q17" s="52">
        <v>471678.65150606097</v>
      </c>
      <c r="R17" s="70">
        <v>69.39</v>
      </c>
    </row>
    <row r="18" spans="1:18" x14ac:dyDescent="0.25">
      <c r="A18" s="66" t="s">
        <v>82</v>
      </c>
      <c r="B18" s="107" t="s">
        <v>85</v>
      </c>
      <c r="C18" s="60">
        <v>45692</v>
      </c>
      <c r="D18" s="60">
        <v>45693</v>
      </c>
      <c r="E18" s="44">
        <v>370227</v>
      </c>
      <c r="F18" s="44" t="s">
        <v>83</v>
      </c>
      <c r="G18" s="44" t="s">
        <v>141</v>
      </c>
      <c r="H18" s="44">
        <v>280907</v>
      </c>
      <c r="I18" s="44">
        <v>1</v>
      </c>
      <c r="J18" s="44">
        <v>314.06744087539727</v>
      </c>
      <c r="K18" s="61">
        <v>101.02836499999999</v>
      </c>
      <c r="L18" s="44">
        <v>11846</v>
      </c>
      <c r="M18" s="52">
        <v>1196782.0129956503</v>
      </c>
      <c r="N18" s="44"/>
      <c r="O18" s="59"/>
      <c r="P18" s="44" t="s">
        <v>81</v>
      </c>
      <c r="Q18" s="52">
        <v>1196782.0129956503</v>
      </c>
      <c r="R18" s="71">
        <v>1196812.8600000001</v>
      </c>
    </row>
    <row r="19" spans="1:18" x14ac:dyDescent="0.25">
      <c r="A19" s="66" t="s">
        <v>82</v>
      </c>
      <c r="B19" s="107" t="s">
        <v>86</v>
      </c>
      <c r="C19" s="60">
        <v>45692</v>
      </c>
      <c r="D19" s="60">
        <v>45693</v>
      </c>
      <c r="E19" s="44">
        <v>370227</v>
      </c>
      <c r="F19" s="44" t="s">
        <v>83</v>
      </c>
      <c r="G19" s="44" t="s">
        <v>141</v>
      </c>
      <c r="H19" s="44">
        <v>280907</v>
      </c>
      <c r="I19" s="44">
        <v>1</v>
      </c>
      <c r="J19" s="44">
        <v>12.77903988704554</v>
      </c>
      <c r="K19" s="61">
        <v>101.02836499999999</v>
      </c>
      <c r="L19" s="44">
        <v>482</v>
      </c>
      <c r="M19" s="52">
        <v>48695.671979056511</v>
      </c>
      <c r="N19" s="44"/>
      <c r="O19" s="59"/>
      <c r="P19" s="44" t="s">
        <v>81</v>
      </c>
      <c r="Q19" s="52">
        <v>48695.671979056511</v>
      </c>
      <c r="R19" s="71">
        <v>48662.9</v>
      </c>
    </row>
    <row r="20" spans="1:18" x14ac:dyDescent="0.25">
      <c r="A20" s="66" t="s">
        <v>82</v>
      </c>
      <c r="B20" s="107" t="s">
        <v>121</v>
      </c>
      <c r="C20" s="60">
        <v>45692</v>
      </c>
      <c r="D20" s="60">
        <v>45693</v>
      </c>
      <c r="E20" s="44">
        <v>370227</v>
      </c>
      <c r="F20" s="44" t="s">
        <v>83</v>
      </c>
      <c r="G20" s="44" t="s">
        <v>141</v>
      </c>
      <c r="H20" s="44">
        <v>280907</v>
      </c>
      <c r="I20" s="44">
        <v>1</v>
      </c>
      <c r="J20" s="44">
        <v>123.81351923755743</v>
      </c>
      <c r="K20" s="61">
        <v>101.02836499999999</v>
      </c>
      <c r="L20" s="44">
        <v>4670</v>
      </c>
      <c r="M20" s="52">
        <v>471802.46502529859</v>
      </c>
      <c r="N20" s="44"/>
      <c r="O20" s="59"/>
      <c r="P20" s="44" t="s">
        <v>81</v>
      </c>
      <c r="Q20" s="52">
        <v>471802.46502529859</v>
      </c>
      <c r="R20" s="71">
        <v>471871.86</v>
      </c>
    </row>
    <row r="21" spans="1:18" x14ac:dyDescent="0.25">
      <c r="A21" s="66" t="s">
        <v>82</v>
      </c>
      <c r="B21" s="107" t="s">
        <v>85</v>
      </c>
      <c r="C21" s="60">
        <v>45693</v>
      </c>
      <c r="D21" s="60">
        <v>45693</v>
      </c>
      <c r="E21" s="44">
        <v>371772</v>
      </c>
      <c r="F21" s="44" t="s">
        <v>124</v>
      </c>
      <c r="G21" s="44" t="s">
        <v>141</v>
      </c>
      <c r="H21" s="44">
        <v>280907</v>
      </c>
      <c r="I21" s="44">
        <v>1</v>
      </c>
      <c r="J21" s="44">
        <v>9.4499999999999993</v>
      </c>
      <c r="K21" s="61">
        <v>101.030297</v>
      </c>
      <c r="L21" s="44">
        <v>11846</v>
      </c>
      <c r="M21" s="52">
        <v>1196804.8993728703</v>
      </c>
      <c r="N21" s="44"/>
      <c r="O21" s="59"/>
      <c r="P21" s="44" t="s">
        <v>125</v>
      </c>
      <c r="Q21" s="52">
        <v>1196804.8993728703</v>
      </c>
      <c r="R21" s="70">
        <v>7.96</v>
      </c>
    </row>
    <row r="22" spans="1:18" x14ac:dyDescent="0.25">
      <c r="A22" s="66" t="s">
        <v>82</v>
      </c>
      <c r="B22" s="107" t="s">
        <v>86</v>
      </c>
      <c r="C22" s="60">
        <v>45693</v>
      </c>
      <c r="D22" s="60">
        <v>45693</v>
      </c>
      <c r="E22" s="44">
        <v>371772</v>
      </c>
      <c r="F22" s="44" t="s">
        <v>124</v>
      </c>
      <c r="G22" s="44" t="s">
        <v>141</v>
      </c>
      <c r="H22" s="44">
        <v>280907</v>
      </c>
      <c r="I22" s="44">
        <v>1</v>
      </c>
      <c r="J22" s="44">
        <v>9.4499999999999993</v>
      </c>
      <c r="K22" s="61">
        <v>101.030297</v>
      </c>
      <c r="L22" s="44">
        <v>482</v>
      </c>
      <c r="M22" s="52">
        <v>48696.603199200035</v>
      </c>
      <c r="N22" s="44"/>
      <c r="O22" s="59"/>
      <c r="P22" s="44" t="s">
        <v>125</v>
      </c>
      <c r="Q22" s="52">
        <v>48696.603199200035</v>
      </c>
      <c r="R22" s="70">
        <v>-33.700000000000003</v>
      </c>
    </row>
    <row r="23" spans="1:18" x14ac:dyDescent="0.25">
      <c r="A23" s="66" t="s">
        <v>82</v>
      </c>
      <c r="B23" s="107" t="s">
        <v>121</v>
      </c>
      <c r="C23" s="60">
        <v>45693</v>
      </c>
      <c r="D23" s="60">
        <v>45693</v>
      </c>
      <c r="E23" s="44">
        <v>371772</v>
      </c>
      <c r="F23" s="44" t="s">
        <v>124</v>
      </c>
      <c r="G23" s="44" t="s">
        <v>141</v>
      </c>
      <c r="H23" s="44">
        <v>280907</v>
      </c>
      <c r="I23" s="44">
        <v>1</v>
      </c>
      <c r="J23" s="44">
        <v>9.4499999999999993</v>
      </c>
      <c r="K23" s="61">
        <v>101.030297</v>
      </c>
      <c r="L23" s="44">
        <v>4670</v>
      </c>
      <c r="M23" s="52">
        <v>471811.48742793396</v>
      </c>
      <c r="N23" s="44"/>
      <c r="O23" s="59"/>
      <c r="P23" s="44" t="s">
        <v>125</v>
      </c>
      <c r="Q23" s="52">
        <v>471811.48742793396</v>
      </c>
      <c r="R23" s="70">
        <v>60.37</v>
      </c>
    </row>
    <row r="24" spans="1:18" x14ac:dyDescent="0.25">
      <c r="A24" s="66" t="s">
        <v>82</v>
      </c>
      <c r="B24" s="107" t="s">
        <v>85</v>
      </c>
      <c r="C24" s="60">
        <v>45693</v>
      </c>
      <c r="D24" s="60">
        <v>45693</v>
      </c>
      <c r="E24" s="44">
        <v>371780</v>
      </c>
      <c r="F24" s="44" t="s">
        <v>124</v>
      </c>
      <c r="G24" s="44" t="s">
        <v>141</v>
      </c>
      <c r="H24" s="44">
        <v>280907</v>
      </c>
      <c r="I24" s="44">
        <v>1</v>
      </c>
      <c r="J24" s="44">
        <v>9.4499999999999993</v>
      </c>
      <c r="K24" s="61">
        <v>101.030233</v>
      </c>
      <c r="L24" s="44">
        <v>21</v>
      </c>
      <c r="M24" s="52">
        <v>2121.6348837209398</v>
      </c>
      <c r="N24" s="44"/>
      <c r="O24" s="59"/>
      <c r="P24" s="44" t="s">
        <v>125</v>
      </c>
      <c r="Q24" s="52">
        <v>2121.6348837209398</v>
      </c>
      <c r="R24" s="71">
        <v>-2113.67</v>
      </c>
    </row>
    <row r="25" spans="1:18" x14ac:dyDescent="0.25">
      <c r="A25" s="66" t="s">
        <v>82</v>
      </c>
      <c r="B25" s="107" t="s">
        <v>86</v>
      </c>
      <c r="C25" s="60">
        <v>45693</v>
      </c>
      <c r="D25" s="60">
        <v>45693</v>
      </c>
      <c r="E25" s="44">
        <v>371780</v>
      </c>
      <c r="F25" s="44" t="s">
        <v>124</v>
      </c>
      <c r="G25" s="44" t="s">
        <v>141</v>
      </c>
      <c r="H25" s="44">
        <v>280907</v>
      </c>
      <c r="I25" s="44">
        <v>1</v>
      </c>
      <c r="J25" s="44">
        <v>9.4499999999999993</v>
      </c>
      <c r="K25" s="61">
        <v>101.030233</v>
      </c>
      <c r="L25" s="44">
        <v>0</v>
      </c>
      <c r="M25" s="52">
        <v>0</v>
      </c>
      <c r="N25" s="44"/>
      <c r="O25" s="59"/>
      <c r="P25" s="44" t="s">
        <v>125</v>
      </c>
      <c r="Q25" s="52">
        <v>0</v>
      </c>
      <c r="R25" s="71">
        <v>-33.700000000000003</v>
      </c>
    </row>
    <row r="26" spans="1:18" x14ac:dyDescent="0.25">
      <c r="A26" s="66" t="s">
        <v>82</v>
      </c>
      <c r="B26" s="107" t="s">
        <v>121</v>
      </c>
      <c r="C26" s="60">
        <v>45693</v>
      </c>
      <c r="D26" s="60">
        <v>45693</v>
      </c>
      <c r="E26" s="44">
        <v>371780</v>
      </c>
      <c r="F26" s="44" t="s">
        <v>124</v>
      </c>
      <c r="G26" s="44" t="s">
        <v>141</v>
      </c>
      <c r="H26" s="44">
        <v>280907</v>
      </c>
      <c r="I26" s="44">
        <v>1</v>
      </c>
      <c r="J26" s="44">
        <v>9.4499999999999993</v>
      </c>
      <c r="K26" s="61">
        <v>101.030233</v>
      </c>
      <c r="L26" s="44">
        <v>22</v>
      </c>
      <c r="M26" s="52">
        <v>2222.6651162790799</v>
      </c>
      <c r="N26" s="44"/>
      <c r="O26" s="59"/>
      <c r="P26" s="44" t="s">
        <v>125</v>
      </c>
      <c r="Q26" s="52">
        <v>2222.6651162790799</v>
      </c>
      <c r="R26" s="71">
        <v>-2162.3000000000002</v>
      </c>
    </row>
    <row r="27" spans="1:18" x14ac:dyDescent="0.25">
      <c r="A27" s="66" t="s">
        <v>80</v>
      </c>
      <c r="B27" s="107" t="s">
        <v>85</v>
      </c>
      <c r="C27" s="60">
        <v>45693</v>
      </c>
      <c r="D27" s="60">
        <v>45693</v>
      </c>
      <c r="E27" s="44">
        <v>851721</v>
      </c>
      <c r="F27" s="44" t="s">
        <v>150</v>
      </c>
      <c r="G27" s="44" t="s">
        <v>146</v>
      </c>
      <c r="H27" s="44" t="s">
        <v>94</v>
      </c>
      <c r="I27" s="44"/>
      <c r="J27" s="44"/>
      <c r="K27" s="88"/>
      <c r="L27" s="44"/>
      <c r="M27" s="52">
        <v>2183.25</v>
      </c>
      <c r="N27" s="44"/>
      <c r="O27" s="59"/>
      <c r="P27" s="44" t="s">
        <v>81</v>
      </c>
      <c r="Q27" s="52">
        <v>2183.25</v>
      </c>
      <c r="R27" s="70">
        <v>69.58</v>
      </c>
    </row>
    <row r="28" spans="1:18" x14ac:dyDescent="0.25">
      <c r="A28" s="66" t="s">
        <v>80</v>
      </c>
      <c r="B28" s="107" t="s">
        <v>121</v>
      </c>
      <c r="C28" s="60">
        <v>45693</v>
      </c>
      <c r="D28" s="60">
        <v>45693</v>
      </c>
      <c r="E28" s="44">
        <v>851721</v>
      </c>
      <c r="F28" s="44" t="s">
        <v>150</v>
      </c>
      <c r="G28" s="44" t="s">
        <v>146</v>
      </c>
      <c r="H28" s="44" t="s">
        <v>94</v>
      </c>
      <c r="I28" s="44"/>
      <c r="J28" s="44"/>
      <c r="K28" s="88"/>
      <c r="L28" s="44"/>
      <c r="M28" s="52">
        <v>2183.2399999999998</v>
      </c>
      <c r="N28" s="44"/>
      <c r="O28" s="59"/>
      <c r="P28" s="44" t="s">
        <v>81</v>
      </c>
      <c r="Q28" s="52">
        <v>2183.2399999999998</v>
      </c>
      <c r="R28" s="70">
        <v>20.94</v>
      </c>
    </row>
    <row r="29" spans="1:18" x14ac:dyDescent="0.25">
      <c r="A29" s="66" t="s">
        <v>82</v>
      </c>
      <c r="B29" s="107" t="s">
        <v>85</v>
      </c>
      <c r="C29" s="60">
        <v>45693</v>
      </c>
      <c r="D29" s="60">
        <v>45694</v>
      </c>
      <c r="E29" s="44">
        <v>371772</v>
      </c>
      <c r="F29" s="44" t="s">
        <v>83</v>
      </c>
      <c r="G29" s="44" t="s">
        <v>141</v>
      </c>
      <c r="H29" s="44">
        <v>280907</v>
      </c>
      <c r="I29" s="44">
        <v>1</v>
      </c>
      <c r="J29" s="44">
        <v>314.15803859277622</v>
      </c>
      <c r="K29" s="61">
        <v>101.056817</v>
      </c>
      <c r="L29" s="44">
        <v>11846</v>
      </c>
      <c r="M29" s="52">
        <v>1197119.0574114565</v>
      </c>
      <c r="N29" s="44"/>
      <c r="O29" s="59"/>
      <c r="P29" s="44" t="s">
        <v>81</v>
      </c>
      <c r="Q29" s="52">
        <v>1197119.0574114565</v>
      </c>
      <c r="R29" s="71">
        <v>1197188.6399999999</v>
      </c>
    </row>
    <row r="30" spans="1:18" x14ac:dyDescent="0.25">
      <c r="A30" s="66" t="s">
        <v>82</v>
      </c>
      <c r="B30" s="107" t="s">
        <v>86</v>
      </c>
      <c r="C30" s="60">
        <v>45693</v>
      </c>
      <c r="D30" s="60">
        <v>45694</v>
      </c>
      <c r="E30" s="44">
        <v>371772</v>
      </c>
      <c r="F30" s="44" t="s">
        <v>83</v>
      </c>
      <c r="G30" s="44" t="s">
        <v>141</v>
      </c>
      <c r="H30" s="44">
        <v>280907</v>
      </c>
      <c r="I30" s="44">
        <v>1</v>
      </c>
      <c r="J30" s="44">
        <v>12.78272620308274</v>
      </c>
      <c r="K30" s="61">
        <v>101.056817</v>
      </c>
      <c r="L30" s="44">
        <v>482</v>
      </c>
      <c r="M30" s="52">
        <v>48709.385925402843</v>
      </c>
      <c r="N30" s="44"/>
      <c r="O30" s="59"/>
      <c r="P30" s="44" t="s">
        <v>81</v>
      </c>
      <c r="Q30" s="52">
        <v>48709.385925402843</v>
      </c>
      <c r="R30" s="71">
        <v>48675.69</v>
      </c>
    </row>
    <row r="31" spans="1:18" x14ac:dyDescent="0.25">
      <c r="A31" s="66" t="s">
        <v>82</v>
      </c>
      <c r="B31" s="107" t="s">
        <v>121</v>
      </c>
      <c r="C31" s="60">
        <v>45693</v>
      </c>
      <c r="D31" s="60">
        <v>45694</v>
      </c>
      <c r="E31" s="44">
        <v>371772</v>
      </c>
      <c r="F31" s="44" t="s">
        <v>83</v>
      </c>
      <c r="G31" s="44" t="s">
        <v>141</v>
      </c>
      <c r="H31" s="44">
        <v>280907</v>
      </c>
      <c r="I31" s="44">
        <v>1</v>
      </c>
      <c r="J31" s="44">
        <v>123.84923520414191</v>
      </c>
      <c r="K31" s="61">
        <v>101.056817</v>
      </c>
      <c r="L31" s="44">
        <v>4670</v>
      </c>
      <c r="M31" s="52">
        <v>471935.33666313539</v>
      </c>
      <c r="N31" s="44"/>
      <c r="O31" s="59"/>
      <c r="P31" s="44" t="s">
        <v>81</v>
      </c>
      <c r="Q31" s="52">
        <v>471935.33666313539</v>
      </c>
      <c r="R31" s="71">
        <v>471956.28</v>
      </c>
    </row>
    <row r="32" spans="1:18" x14ac:dyDescent="0.25">
      <c r="A32" s="66" t="s">
        <v>82</v>
      </c>
      <c r="B32" s="107" t="s">
        <v>85</v>
      </c>
      <c r="C32" s="60">
        <v>45693</v>
      </c>
      <c r="D32" s="60">
        <v>45694</v>
      </c>
      <c r="E32" s="44">
        <v>371780</v>
      </c>
      <c r="F32" s="44" t="s">
        <v>83</v>
      </c>
      <c r="G32" s="44" t="s">
        <v>141</v>
      </c>
      <c r="H32" s="44">
        <v>280907</v>
      </c>
      <c r="I32" s="44">
        <v>1</v>
      </c>
      <c r="J32" s="44">
        <v>0.55674418604651066</v>
      </c>
      <c r="K32" s="61">
        <v>101.05674399999999</v>
      </c>
      <c r="L32" s="44">
        <v>21</v>
      </c>
      <c r="M32" s="52">
        <v>2122.191627906966</v>
      </c>
      <c r="N32" s="44"/>
      <c r="O32" s="59"/>
      <c r="P32" s="44" t="s">
        <v>81</v>
      </c>
      <c r="Q32" s="52">
        <v>2122.191627906966</v>
      </c>
      <c r="R32" s="71">
        <v>1199310.83</v>
      </c>
    </row>
    <row r="33" spans="1:18" x14ac:dyDescent="0.25">
      <c r="A33" s="66" t="s">
        <v>82</v>
      </c>
      <c r="B33" s="107" t="s">
        <v>86</v>
      </c>
      <c r="C33" s="60">
        <v>45693</v>
      </c>
      <c r="D33" s="60">
        <v>45694</v>
      </c>
      <c r="E33" s="44">
        <v>371780</v>
      </c>
      <c r="F33" s="44" t="s">
        <v>83</v>
      </c>
      <c r="G33" s="44" t="s">
        <v>141</v>
      </c>
      <c r="H33" s="44">
        <v>280907</v>
      </c>
      <c r="I33" s="44">
        <v>1</v>
      </c>
      <c r="J33" s="44">
        <v>0</v>
      </c>
      <c r="K33" s="61">
        <v>101.05674399999999</v>
      </c>
      <c r="L33" s="44">
        <v>0</v>
      </c>
      <c r="M33" s="52">
        <v>0</v>
      </c>
      <c r="N33" s="44"/>
      <c r="O33" s="59"/>
      <c r="P33" s="44" t="s">
        <v>81</v>
      </c>
      <c r="Q33" s="52">
        <v>0</v>
      </c>
      <c r="R33" s="71">
        <v>48675.69</v>
      </c>
    </row>
    <row r="34" spans="1:18" x14ac:dyDescent="0.25">
      <c r="A34" s="66" t="s">
        <v>82</v>
      </c>
      <c r="B34" s="107" t="s">
        <v>121</v>
      </c>
      <c r="C34" s="60">
        <v>45693</v>
      </c>
      <c r="D34" s="60">
        <v>45694</v>
      </c>
      <c r="E34" s="44">
        <v>371780</v>
      </c>
      <c r="F34" s="44" t="s">
        <v>83</v>
      </c>
      <c r="G34" s="44" t="s">
        <v>141</v>
      </c>
      <c r="H34" s="44">
        <v>280907</v>
      </c>
      <c r="I34" s="44">
        <v>1</v>
      </c>
      <c r="J34" s="44">
        <v>0.58325581395348736</v>
      </c>
      <c r="K34" s="61">
        <v>101.05674399999999</v>
      </c>
      <c r="L34" s="44">
        <v>22</v>
      </c>
      <c r="M34" s="52">
        <v>2223.2483720930122</v>
      </c>
      <c r="N34" s="44"/>
      <c r="O34" s="59"/>
      <c r="P34" s="44" t="s">
        <v>81</v>
      </c>
      <c r="Q34" s="52">
        <v>2223.2483720930122</v>
      </c>
      <c r="R34" s="71">
        <v>474179.53</v>
      </c>
    </row>
    <row r="35" spans="1:18" x14ac:dyDescent="0.25">
      <c r="A35" s="66" t="s">
        <v>82</v>
      </c>
      <c r="B35" s="107" t="s">
        <v>85</v>
      </c>
      <c r="C35" s="60">
        <v>45694</v>
      </c>
      <c r="D35" s="60">
        <v>45694</v>
      </c>
      <c r="E35" s="44">
        <v>373039</v>
      </c>
      <c r="F35" s="44" t="s">
        <v>124</v>
      </c>
      <c r="G35" s="44" t="s">
        <v>141</v>
      </c>
      <c r="H35" s="44">
        <v>280907</v>
      </c>
      <c r="I35" s="44">
        <v>1</v>
      </c>
      <c r="J35" s="44">
        <v>9.4499999999999993</v>
      </c>
      <c r="K35" s="61">
        <v>101.058742</v>
      </c>
      <c r="L35" s="44">
        <v>11867</v>
      </c>
      <c r="M35" s="52">
        <v>1199264.089627367</v>
      </c>
      <c r="N35" s="44"/>
      <c r="O35" s="59"/>
      <c r="P35" s="44" t="s">
        <v>125</v>
      </c>
      <c r="Q35" s="52">
        <v>1199264.089627367</v>
      </c>
      <c r="R35" s="70">
        <v>46.74</v>
      </c>
    </row>
    <row r="36" spans="1:18" x14ac:dyDescent="0.25">
      <c r="A36" s="66" t="s">
        <v>82</v>
      </c>
      <c r="B36" s="107" t="s">
        <v>86</v>
      </c>
      <c r="C36" s="60">
        <v>45694</v>
      </c>
      <c r="D36" s="60">
        <v>45694</v>
      </c>
      <c r="E36" s="44">
        <v>373039</v>
      </c>
      <c r="F36" s="44" t="s">
        <v>124</v>
      </c>
      <c r="G36" s="44" t="s">
        <v>141</v>
      </c>
      <c r="H36" s="44">
        <v>280907</v>
      </c>
      <c r="I36" s="44">
        <v>1</v>
      </c>
      <c r="J36" s="44">
        <v>9.4499999999999993</v>
      </c>
      <c r="K36" s="61">
        <v>101.058742</v>
      </c>
      <c r="L36" s="44">
        <v>482</v>
      </c>
      <c r="M36" s="52">
        <v>48710.313575494307</v>
      </c>
      <c r="N36" s="44"/>
      <c r="O36" s="59"/>
      <c r="P36" s="44" t="s">
        <v>125</v>
      </c>
      <c r="Q36" s="52">
        <v>48710.313575494307</v>
      </c>
      <c r="R36" s="70">
        <v>-34.619999999999997</v>
      </c>
    </row>
    <row r="37" spans="1:18" x14ac:dyDescent="0.25">
      <c r="A37" s="66" t="s">
        <v>82</v>
      </c>
      <c r="B37" s="107" t="s">
        <v>121</v>
      </c>
      <c r="C37" s="60">
        <v>45694</v>
      </c>
      <c r="D37" s="60">
        <v>45694</v>
      </c>
      <c r="E37" s="44">
        <v>373039</v>
      </c>
      <c r="F37" s="44" t="s">
        <v>124</v>
      </c>
      <c r="G37" s="44" t="s">
        <v>141</v>
      </c>
      <c r="H37" s="44">
        <v>280907</v>
      </c>
      <c r="I37" s="44">
        <v>1</v>
      </c>
      <c r="J37" s="44">
        <v>9.4499999999999993</v>
      </c>
      <c r="K37" s="61">
        <v>101.058742</v>
      </c>
      <c r="L37" s="44">
        <v>4692</v>
      </c>
      <c r="M37" s="52">
        <v>474167.61679713544</v>
      </c>
      <c r="N37" s="44"/>
      <c r="O37" s="59"/>
      <c r="P37" s="44" t="s">
        <v>125</v>
      </c>
      <c r="Q37" s="52">
        <v>474167.61679713544</v>
      </c>
      <c r="R37" s="70">
        <v>11.91</v>
      </c>
    </row>
    <row r="38" spans="1:18" x14ac:dyDescent="0.25">
      <c r="A38" s="66" t="s">
        <v>82</v>
      </c>
      <c r="B38" s="107" t="s">
        <v>85</v>
      </c>
      <c r="C38" s="60">
        <v>45694</v>
      </c>
      <c r="D38" s="60">
        <v>45695</v>
      </c>
      <c r="E38" s="44">
        <v>373039</v>
      </c>
      <c r="F38" s="44" t="s">
        <v>83</v>
      </c>
      <c r="G38" s="44" t="s">
        <v>141</v>
      </c>
      <c r="H38" s="44">
        <v>280907</v>
      </c>
      <c r="I38" s="44">
        <v>1</v>
      </c>
      <c r="J38" s="44">
        <v>314.80523560823934</v>
      </c>
      <c r="K38" s="61">
        <v>101.08526999999999</v>
      </c>
      <c r="L38" s="44">
        <v>11867</v>
      </c>
      <c r="M38" s="52">
        <v>1199578.8948629745</v>
      </c>
      <c r="N38" s="44"/>
      <c r="O38" s="59"/>
      <c r="P38" s="44" t="s">
        <v>81</v>
      </c>
      <c r="Q38" s="52">
        <v>1199578.8948629745</v>
      </c>
      <c r="R38" s="71">
        <v>1199625.6299999999</v>
      </c>
    </row>
    <row r="39" spans="1:18" x14ac:dyDescent="0.25">
      <c r="A39" s="66" t="s">
        <v>82</v>
      </c>
      <c r="B39" s="107" t="s">
        <v>86</v>
      </c>
      <c r="C39" s="60">
        <v>45694</v>
      </c>
      <c r="D39" s="60">
        <v>45695</v>
      </c>
      <c r="E39" s="44">
        <v>373039</v>
      </c>
      <c r="F39" s="44" t="s">
        <v>83</v>
      </c>
      <c r="G39" s="44" t="s">
        <v>141</v>
      </c>
      <c r="H39" s="44">
        <v>280907</v>
      </c>
      <c r="I39" s="44">
        <v>1</v>
      </c>
      <c r="J39" s="44">
        <v>12.786392817322945</v>
      </c>
      <c r="K39" s="61">
        <v>101.08526999999999</v>
      </c>
      <c r="L39" s="44">
        <v>482</v>
      </c>
      <c r="M39" s="52">
        <v>48723.099968311602</v>
      </c>
      <c r="N39" s="44"/>
      <c r="O39" s="59"/>
      <c r="P39" s="44" t="s">
        <v>81</v>
      </c>
      <c r="Q39" s="52">
        <v>48723.099968311602</v>
      </c>
      <c r="R39" s="71">
        <v>48688.480000000003</v>
      </c>
    </row>
    <row r="40" spans="1:18" x14ac:dyDescent="0.25">
      <c r="A40" s="66" t="s">
        <v>82</v>
      </c>
      <c r="B40" s="107" t="s">
        <v>121</v>
      </c>
      <c r="C40" s="60">
        <v>45694</v>
      </c>
      <c r="D40" s="60">
        <v>45695</v>
      </c>
      <c r="E40" s="44">
        <v>373039</v>
      </c>
      <c r="F40" s="44" t="s">
        <v>83</v>
      </c>
      <c r="G40" s="44" t="s">
        <v>141</v>
      </c>
      <c r="H40" s="44">
        <v>280907</v>
      </c>
      <c r="I40" s="44">
        <v>1</v>
      </c>
      <c r="J40" s="44">
        <v>124.46837157443827</v>
      </c>
      <c r="K40" s="61">
        <v>101.08526999999999</v>
      </c>
      <c r="L40" s="44">
        <v>4692</v>
      </c>
      <c r="M40" s="52">
        <v>474292.08516870957</v>
      </c>
      <c r="N40" s="44"/>
      <c r="O40" s="59"/>
      <c r="P40" s="44" t="s">
        <v>81</v>
      </c>
      <c r="Q40" s="52">
        <v>474292.08516870957</v>
      </c>
      <c r="R40" s="71">
        <v>474304</v>
      </c>
    </row>
    <row r="41" spans="1:18" x14ac:dyDescent="0.25">
      <c r="A41" s="66" t="s">
        <v>82</v>
      </c>
      <c r="B41" s="107" t="s">
        <v>85</v>
      </c>
      <c r="C41" s="60">
        <v>45695</v>
      </c>
      <c r="D41" s="60">
        <v>45695</v>
      </c>
      <c r="E41" s="44">
        <v>374523</v>
      </c>
      <c r="F41" s="44" t="s">
        <v>124</v>
      </c>
      <c r="G41" s="44" t="s">
        <v>141</v>
      </c>
      <c r="H41" s="44">
        <v>280511</v>
      </c>
      <c r="I41" s="44">
        <v>3</v>
      </c>
      <c r="J41" s="44">
        <v>8.9499999999999993</v>
      </c>
      <c r="K41" s="61">
        <v>101.877111</v>
      </c>
      <c r="L41" s="44">
        <v>11775</v>
      </c>
      <c r="M41" s="52">
        <v>1199602.9870475556</v>
      </c>
      <c r="N41" s="44"/>
      <c r="O41" s="59"/>
      <c r="P41" s="44" t="s">
        <v>125</v>
      </c>
      <c r="Q41" s="52">
        <v>1199602.9870475556</v>
      </c>
      <c r="R41" s="70">
        <v>22.64</v>
      </c>
    </row>
    <row r="42" spans="1:18" x14ac:dyDescent="0.25">
      <c r="A42" s="66" t="s">
        <v>82</v>
      </c>
      <c r="B42" s="107" t="s">
        <v>86</v>
      </c>
      <c r="C42" s="60">
        <v>45695</v>
      </c>
      <c r="D42" s="60">
        <v>45695</v>
      </c>
      <c r="E42" s="44">
        <v>374523</v>
      </c>
      <c r="F42" s="44" t="s">
        <v>124</v>
      </c>
      <c r="G42" s="44" t="s">
        <v>141</v>
      </c>
      <c r="H42" s="44">
        <v>280511</v>
      </c>
      <c r="I42" s="44">
        <v>3</v>
      </c>
      <c r="J42" s="44">
        <v>8.9499999999999993</v>
      </c>
      <c r="K42" s="61">
        <v>101.877111</v>
      </c>
      <c r="L42" s="44">
        <v>478</v>
      </c>
      <c r="M42" s="52">
        <v>48697.25926188803</v>
      </c>
      <c r="N42" s="44"/>
      <c r="O42" s="59"/>
      <c r="P42" s="44" t="s">
        <v>125</v>
      </c>
      <c r="Q42" s="52">
        <v>48697.25926188803</v>
      </c>
      <c r="R42" s="70">
        <v>-8.7799999999999994</v>
      </c>
    </row>
    <row r="43" spans="1:18" x14ac:dyDescent="0.25">
      <c r="A43" s="66" t="s">
        <v>82</v>
      </c>
      <c r="B43" s="107" t="s">
        <v>121</v>
      </c>
      <c r="C43" s="60">
        <v>45695</v>
      </c>
      <c r="D43" s="60">
        <v>45695</v>
      </c>
      <c r="E43" s="44">
        <v>374523</v>
      </c>
      <c r="F43" s="44" t="s">
        <v>124</v>
      </c>
      <c r="G43" s="44" t="s">
        <v>141</v>
      </c>
      <c r="H43" s="44">
        <v>280511</v>
      </c>
      <c r="I43" s="44">
        <v>3</v>
      </c>
      <c r="J43" s="44">
        <v>8.9499999999999993</v>
      </c>
      <c r="K43" s="61">
        <v>101.877111</v>
      </c>
      <c r="L43" s="44">
        <v>4655</v>
      </c>
      <c r="M43" s="52">
        <v>474237.95369056228</v>
      </c>
      <c r="N43" s="44"/>
      <c r="O43" s="59"/>
      <c r="P43" s="44" t="s">
        <v>125</v>
      </c>
      <c r="Q43" s="52">
        <v>474237.95369056228</v>
      </c>
      <c r="R43" s="70">
        <v>66.040000000000006</v>
      </c>
    </row>
    <row r="44" spans="1:18" x14ac:dyDescent="0.25">
      <c r="A44" s="66" t="s">
        <v>80</v>
      </c>
      <c r="B44" s="107" t="s">
        <v>86</v>
      </c>
      <c r="C44" s="60">
        <v>45695</v>
      </c>
      <c r="D44" s="60">
        <v>45695</v>
      </c>
      <c r="E44" s="44">
        <v>851767</v>
      </c>
      <c r="F44" s="44" t="s">
        <v>158</v>
      </c>
      <c r="G44" s="44" t="s">
        <v>155</v>
      </c>
      <c r="H44" s="44">
        <v>14</v>
      </c>
      <c r="I44" s="44"/>
      <c r="J44" s="44"/>
      <c r="K44" s="88"/>
      <c r="L44" s="44"/>
      <c r="M44" s="44">
        <v>5.77</v>
      </c>
      <c r="N44" s="44"/>
      <c r="O44" s="59"/>
      <c r="P44" s="44" t="s">
        <v>81</v>
      </c>
      <c r="Q44" s="44">
        <v>5.77</v>
      </c>
      <c r="R44" s="70">
        <v>-3.01</v>
      </c>
    </row>
    <row r="45" spans="1:18" x14ac:dyDescent="0.25">
      <c r="A45" s="66" t="s">
        <v>82</v>
      </c>
      <c r="B45" s="107" t="s">
        <v>85</v>
      </c>
      <c r="C45" s="60">
        <v>45695</v>
      </c>
      <c r="D45" s="60">
        <v>45698</v>
      </c>
      <c r="E45" s="44">
        <v>374523</v>
      </c>
      <c r="F45" s="44" t="s">
        <v>83</v>
      </c>
      <c r="G45" s="44" t="s">
        <v>141</v>
      </c>
      <c r="H45" s="44">
        <v>280511</v>
      </c>
      <c r="I45" s="44">
        <v>3</v>
      </c>
      <c r="J45" s="52">
        <v>894.69943222143331</v>
      </c>
      <c r="K45" s="61">
        <v>101.95309399999999</v>
      </c>
      <c r="L45" s="44">
        <v>11775</v>
      </c>
      <c r="M45" s="52">
        <v>1200497.6864797771</v>
      </c>
      <c r="N45" s="44"/>
      <c r="O45" s="59"/>
      <c r="P45" s="44" t="s">
        <v>81</v>
      </c>
      <c r="Q45" s="52">
        <v>1200497.6864797771</v>
      </c>
      <c r="R45" s="71">
        <v>1200520.33</v>
      </c>
    </row>
    <row r="46" spans="1:18" x14ac:dyDescent="0.25">
      <c r="A46" s="66" t="s">
        <v>82</v>
      </c>
      <c r="B46" s="107" t="s">
        <v>86</v>
      </c>
      <c r="C46" s="60">
        <v>45695</v>
      </c>
      <c r="D46" s="60">
        <v>45698</v>
      </c>
      <c r="E46" s="44">
        <v>374523</v>
      </c>
      <c r="F46" s="44" t="s">
        <v>83</v>
      </c>
      <c r="G46" s="44" t="s">
        <v>141</v>
      </c>
      <c r="H46" s="44">
        <v>280511</v>
      </c>
      <c r="I46" s="44">
        <v>3</v>
      </c>
      <c r="J46" s="52">
        <v>36.319858055358402</v>
      </c>
      <c r="K46" s="61">
        <v>101.95309399999999</v>
      </c>
      <c r="L46" s="44">
        <v>478</v>
      </c>
      <c r="M46" s="52">
        <v>48733.579119943381</v>
      </c>
      <c r="N46" s="44"/>
      <c r="O46" s="59"/>
      <c r="P46" s="44" t="s">
        <v>81</v>
      </c>
      <c r="Q46" s="52">
        <v>48733.579119943381</v>
      </c>
      <c r="R46" s="71">
        <v>48730.57</v>
      </c>
    </row>
    <row r="47" spans="1:18" x14ac:dyDescent="0.25">
      <c r="A47" s="66" t="s">
        <v>82</v>
      </c>
      <c r="B47" s="107" t="s">
        <v>121</v>
      </c>
      <c r="C47" s="60">
        <v>45695</v>
      </c>
      <c r="D47" s="60">
        <v>45698</v>
      </c>
      <c r="E47" s="44">
        <v>374523</v>
      </c>
      <c r="F47" s="44" t="s">
        <v>83</v>
      </c>
      <c r="G47" s="44" t="s">
        <v>141</v>
      </c>
      <c r="H47" s="44">
        <v>280511</v>
      </c>
      <c r="I47" s="44">
        <v>3</v>
      </c>
      <c r="J47" s="52">
        <v>353.70070972320781</v>
      </c>
      <c r="K47" s="61">
        <v>101.95309399999999</v>
      </c>
      <c r="L47" s="44">
        <v>4655</v>
      </c>
      <c r="M47" s="52">
        <v>474591.65440028551</v>
      </c>
      <c r="N47" s="44"/>
      <c r="O47" s="59"/>
      <c r="P47" s="44" t="s">
        <v>81</v>
      </c>
      <c r="Q47" s="52">
        <v>474591.65440028551</v>
      </c>
      <c r="R47" s="71">
        <v>474657.69</v>
      </c>
    </row>
    <row r="48" spans="1:18" x14ac:dyDescent="0.25">
      <c r="A48" s="66" t="s">
        <v>82</v>
      </c>
      <c r="B48" s="107" t="s">
        <v>85</v>
      </c>
      <c r="C48" s="60">
        <v>45698</v>
      </c>
      <c r="D48" s="60">
        <v>45698</v>
      </c>
      <c r="E48" s="44">
        <v>375885</v>
      </c>
      <c r="F48" s="44" t="s">
        <v>124</v>
      </c>
      <c r="G48" s="44" t="s">
        <v>141</v>
      </c>
      <c r="H48" s="44">
        <v>280907</v>
      </c>
      <c r="I48" s="44">
        <v>1</v>
      </c>
      <c r="J48" s="44">
        <v>8.9499999999999993</v>
      </c>
      <c r="K48" s="61">
        <v>101.17251899999999</v>
      </c>
      <c r="L48" s="44">
        <v>11938</v>
      </c>
      <c r="M48" s="52">
        <v>1207797.534043029</v>
      </c>
      <c r="N48" s="44"/>
      <c r="O48" s="59"/>
      <c r="P48" s="44" t="s">
        <v>125</v>
      </c>
      <c r="Q48" s="52">
        <v>1207797.534043029</v>
      </c>
      <c r="R48" s="71">
        <v>-7277.2</v>
      </c>
    </row>
    <row r="49" spans="1:18" x14ac:dyDescent="0.25">
      <c r="A49" s="66" t="s">
        <v>82</v>
      </c>
      <c r="B49" s="107" t="s">
        <v>86</v>
      </c>
      <c r="C49" s="60">
        <v>45698</v>
      </c>
      <c r="D49" s="60">
        <v>45698</v>
      </c>
      <c r="E49" s="44">
        <v>375885</v>
      </c>
      <c r="F49" s="44" t="s">
        <v>124</v>
      </c>
      <c r="G49" s="44" t="s">
        <v>141</v>
      </c>
      <c r="H49" s="44">
        <v>280907</v>
      </c>
      <c r="I49" s="44">
        <v>1</v>
      </c>
      <c r="J49" s="44">
        <v>8.9499999999999993</v>
      </c>
      <c r="K49" s="61">
        <v>101.17251899999999</v>
      </c>
      <c r="L49" s="44">
        <v>482</v>
      </c>
      <c r="M49" s="52">
        <v>48765.154247674654</v>
      </c>
      <c r="N49" s="44"/>
      <c r="O49" s="59"/>
      <c r="P49" s="44" t="s">
        <v>125</v>
      </c>
      <c r="Q49" s="52">
        <v>48765.154247674654</v>
      </c>
      <c r="R49" s="71">
        <v>-34.58</v>
      </c>
    </row>
    <row r="50" spans="1:18" x14ac:dyDescent="0.25">
      <c r="A50" s="66" t="s">
        <v>82</v>
      </c>
      <c r="B50" s="107" t="s">
        <v>121</v>
      </c>
      <c r="C50" s="60">
        <v>45698</v>
      </c>
      <c r="D50" s="60">
        <v>45698</v>
      </c>
      <c r="E50" s="44">
        <v>375885</v>
      </c>
      <c r="F50" s="44" t="s">
        <v>124</v>
      </c>
      <c r="G50" s="44" t="s">
        <v>141</v>
      </c>
      <c r="H50" s="44">
        <v>280907</v>
      </c>
      <c r="I50" s="44">
        <v>1</v>
      </c>
      <c r="J50" s="44">
        <v>8.9499999999999993</v>
      </c>
      <c r="K50" s="61">
        <v>101.17251899999999</v>
      </c>
      <c r="L50" s="44">
        <v>4780</v>
      </c>
      <c r="M50" s="52">
        <v>483604.64170930465</v>
      </c>
      <c r="N50" s="44"/>
      <c r="O50" s="59"/>
      <c r="P50" s="44" t="s">
        <v>125</v>
      </c>
      <c r="Q50" s="52">
        <v>483604.64170930465</v>
      </c>
      <c r="R50" s="71">
        <v>-8946.9500000000007</v>
      </c>
    </row>
    <row r="51" spans="1:18" x14ac:dyDescent="0.25">
      <c r="A51" s="66" t="s">
        <v>80</v>
      </c>
      <c r="B51" s="107" t="s">
        <v>85</v>
      </c>
      <c r="C51" s="60">
        <v>45698</v>
      </c>
      <c r="D51" s="60">
        <v>45698</v>
      </c>
      <c r="E51" s="44">
        <v>851780</v>
      </c>
      <c r="F51" s="44" t="s">
        <v>159</v>
      </c>
      <c r="G51" s="44" t="s">
        <v>142</v>
      </c>
      <c r="H51" s="44">
        <v>11</v>
      </c>
      <c r="I51" s="44"/>
      <c r="J51" s="44"/>
      <c r="K51" s="88"/>
      <c r="L51" s="44"/>
      <c r="M51" s="52">
        <v>799.88</v>
      </c>
      <c r="N51" s="44"/>
      <c r="O51" s="59"/>
      <c r="P51" s="44" t="s">
        <v>81</v>
      </c>
      <c r="Q51" s="52">
        <v>799.88</v>
      </c>
      <c r="R51" s="71">
        <v>-6477.32</v>
      </c>
    </row>
    <row r="52" spans="1:18" x14ac:dyDescent="0.25">
      <c r="A52" s="66" t="s">
        <v>80</v>
      </c>
      <c r="B52" s="107" t="s">
        <v>121</v>
      </c>
      <c r="C52" s="60">
        <v>45698</v>
      </c>
      <c r="D52" s="60">
        <v>45698</v>
      </c>
      <c r="E52" s="44">
        <v>851780</v>
      </c>
      <c r="F52" s="44" t="s">
        <v>159</v>
      </c>
      <c r="G52" s="44" t="s">
        <v>142</v>
      </c>
      <c r="H52" s="44">
        <v>11</v>
      </c>
      <c r="I52" s="44"/>
      <c r="J52" s="44"/>
      <c r="K52" s="88"/>
      <c r="L52" s="44"/>
      <c r="M52" s="52">
        <v>982.7299999999999</v>
      </c>
      <c r="N52" s="44"/>
      <c r="O52" s="59"/>
      <c r="P52" s="44" t="s">
        <v>81</v>
      </c>
      <c r="Q52" s="52">
        <v>982.7299999999999</v>
      </c>
      <c r="R52" s="71">
        <v>-7964.22</v>
      </c>
    </row>
    <row r="53" spans="1:18" x14ac:dyDescent="0.25">
      <c r="A53" s="66" t="s">
        <v>80</v>
      </c>
      <c r="B53" s="107" t="s">
        <v>85</v>
      </c>
      <c r="C53" s="60">
        <v>45698</v>
      </c>
      <c r="D53" s="60">
        <v>45698</v>
      </c>
      <c r="E53" s="44">
        <v>851785</v>
      </c>
      <c r="F53" s="44" t="s">
        <v>158</v>
      </c>
      <c r="G53" s="44" t="s">
        <v>142</v>
      </c>
      <c r="H53" s="44">
        <v>11</v>
      </c>
      <c r="I53" s="44"/>
      <c r="J53" s="44"/>
      <c r="K53" s="88"/>
      <c r="L53" s="44"/>
      <c r="M53" s="52">
        <v>6531.68</v>
      </c>
      <c r="N53" s="44"/>
      <c r="O53" s="59"/>
      <c r="P53" s="44" t="s">
        <v>81</v>
      </c>
      <c r="Q53" s="52">
        <v>6531.68</v>
      </c>
      <c r="R53" s="70">
        <v>54.36</v>
      </c>
    </row>
    <row r="54" spans="1:18" x14ac:dyDescent="0.25">
      <c r="A54" s="66" t="s">
        <v>80</v>
      </c>
      <c r="B54" s="107" t="s">
        <v>121</v>
      </c>
      <c r="C54" s="60">
        <v>45698</v>
      </c>
      <c r="D54" s="60">
        <v>45698</v>
      </c>
      <c r="E54" s="44">
        <v>851785</v>
      </c>
      <c r="F54" s="44" t="s">
        <v>158</v>
      </c>
      <c r="G54" s="44" t="s">
        <v>142</v>
      </c>
      <c r="H54" s="44">
        <v>11</v>
      </c>
      <c r="I54" s="44"/>
      <c r="J54" s="44"/>
      <c r="K54" s="88"/>
      <c r="L54" s="44"/>
      <c r="M54" s="52">
        <v>8024.869999999999</v>
      </c>
      <c r="N54" s="44"/>
      <c r="O54" s="59"/>
      <c r="P54" s="44" t="s">
        <v>81</v>
      </c>
      <c r="Q54" s="52">
        <v>8024.869999999999</v>
      </c>
      <c r="R54" s="70">
        <v>60.65</v>
      </c>
    </row>
    <row r="55" spans="1:18" x14ac:dyDescent="0.25">
      <c r="A55" s="66" t="s">
        <v>82</v>
      </c>
      <c r="B55" s="107" t="s">
        <v>86</v>
      </c>
      <c r="C55" s="60">
        <v>44714</v>
      </c>
      <c r="D55" s="60">
        <v>45699</v>
      </c>
      <c r="E55" s="44">
        <v>269253</v>
      </c>
      <c r="F55" s="44" t="s">
        <v>153</v>
      </c>
      <c r="G55" s="44" t="s">
        <v>91</v>
      </c>
      <c r="H55" s="44">
        <v>20</v>
      </c>
      <c r="I55" s="44">
        <v>985</v>
      </c>
      <c r="J55" s="44">
        <v>2.2400000000000002</v>
      </c>
      <c r="K55" s="61">
        <v>6.4666670000000002</v>
      </c>
      <c r="L55" s="44">
        <v>129</v>
      </c>
      <c r="M55" s="44">
        <v>834.2</v>
      </c>
      <c r="N55" s="44"/>
      <c r="O55" s="59"/>
      <c r="P55" s="44" t="s">
        <v>81</v>
      </c>
      <c r="Q55" s="44">
        <v>834.2</v>
      </c>
      <c r="R55" s="70">
        <v>799.62</v>
      </c>
    </row>
    <row r="56" spans="1:18" x14ac:dyDescent="0.25">
      <c r="A56" s="66" t="s">
        <v>80</v>
      </c>
      <c r="B56" s="107" t="s">
        <v>86</v>
      </c>
      <c r="C56" s="60">
        <v>44714</v>
      </c>
      <c r="D56" s="60">
        <v>45699</v>
      </c>
      <c r="E56" s="44">
        <v>269253</v>
      </c>
      <c r="F56" s="44" t="s">
        <v>154</v>
      </c>
      <c r="G56" s="44" t="s">
        <v>91</v>
      </c>
      <c r="H56" s="44">
        <v>20</v>
      </c>
      <c r="I56" s="44"/>
      <c r="J56" s="44"/>
      <c r="K56" s="61"/>
      <c r="L56" s="44"/>
      <c r="M56" s="44">
        <v>3.22</v>
      </c>
      <c r="N56" s="44"/>
      <c r="O56" s="59"/>
      <c r="P56" s="44" t="s">
        <v>81</v>
      </c>
      <c r="Q56" s="44">
        <v>3.22</v>
      </c>
      <c r="R56" s="70">
        <v>802.82</v>
      </c>
    </row>
    <row r="57" spans="1:18" x14ac:dyDescent="0.25">
      <c r="A57" s="66" t="s">
        <v>82</v>
      </c>
      <c r="B57" s="107" t="s">
        <v>85</v>
      </c>
      <c r="C57" s="60">
        <v>45698</v>
      </c>
      <c r="D57" s="60">
        <v>45699</v>
      </c>
      <c r="E57" s="44">
        <v>375885</v>
      </c>
      <c r="F57" s="44" t="s">
        <v>83</v>
      </c>
      <c r="G57" s="44" t="s">
        <v>141</v>
      </c>
      <c r="H57" s="44">
        <v>280907</v>
      </c>
      <c r="I57" s="44">
        <v>1</v>
      </c>
      <c r="J57" s="44">
        <v>300.26846279069713</v>
      </c>
      <c r="K57" s="61">
        <v>101.197672</v>
      </c>
      <c r="L57" s="44">
        <v>11938</v>
      </c>
      <c r="M57" s="52">
        <v>1208097.8025058149</v>
      </c>
      <c r="N57" s="44"/>
      <c r="O57" s="59"/>
      <c r="P57" s="44" t="s">
        <v>81</v>
      </c>
      <c r="Q57" s="52">
        <v>1208097.8025058149</v>
      </c>
      <c r="R57" s="71">
        <v>1208152.1599999999</v>
      </c>
    </row>
    <row r="58" spans="1:18" x14ac:dyDescent="0.25">
      <c r="A58" s="66" t="s">
        <v>82</v>
      </c>
      <c r="B58" s="107" t="s">
        <v>86</v>
      </c>
      <c r="C58" s="60">
        <v>45698</v>
      </c>
      <c r="D58" s="60">
        <v>45699</v>
      </c>
      <c r="E58" s="44">
        <v>375885</v>
      </c>
      <c r="F58" s="44" t="s">
        <v>83</v>
      </c>
      <c r="G58" s="44" t="s">
        <v>141</v>
      </c>
      <c r="H58" s="44">
        <v>280907</v>
      </c>
      <c r="I58" s="44">
        <v>1</v>
      </c>
      <c r="J58" s="44">
        <v>12.123420930232534</v>
      </c>
      <c r="K58" s="61">
        <v>101.197672</v>
      </c>
      <c r="L58" s="44">
        <v>482</v>
      </c>
      <c r="M58" s="52">
        <v>48777.277668604693</v>
      </c>
      <c r="N58" s="44"/>
      <c r="O58" s="59"/>
      <c r="P58" s="44" t="s">
        <v>81</v>
      </c>
      <c r="Q58" s="52">
        <v>48777.277668604693</v>
      </c>
      <c r="R58" s="71">
        <v>49580.1</v>
      </c>
    </row>
    <row r="59" spans="1:18" x14ac:dyDescent="0.25">
      <c r="A59" s="66" t="s">
        <v>82</v>
      </c>
      <c r="B59" s="107" t="s">
        <v>121</v>
      </c>
      <c r="C59" s="60">
        <v>45698</v>
      </c>
      <c r="D59" s="60">
        <v>45699</v>
      </c>
      <c r="E59" s="44">
        <v>375885</v>
      </c>
      <c r="F59" s="44" t="s">
        <v>83</v>
      </c>
      <c r="G59" s="44" t="s">
        <v>141</v>
      </c>
      <c r="H59" s="44">
        <v>280907</v>
      </c>
      <c r="I59" s="44">
        <v>1</v>
      </c>
      <c r="J59" s="44">
        <v>120.22811627906954</v>
      </c>
      <c r="K59" s="61">
        <v>101.197672</v>
      </c>
      <c r="L59" s="44">
        <v>4780</v>
      </c>
      <c r="M59" s="52">
        <v>483724.86982558185</v>
      </c>
      <c r="N59" s="44"/>
      <c r="O59" s="59"/>
      <c r="P59" s="44" t="s">
        <v>81</v>
      </c>
      <c r="Q59" s="52">
        <v>483724.86982558185</v>
      </c>
      <c r="R59" s="71">
        <v>483785.52</v>
      </c>
    </row>
    <row r="60" spans="1:18" x14ac:dyDescent="0.25">
      <c r="A60" s="66" t="s">
        <v>82</v>
      </c>
      <c r="B60" s="107" t="s">
        <v>85</v>
      </c>
      <c r="C60" s="60">
        <v>45699</v>
      </c>
      <c r="D60" s="60">
        <v>45699</v>
      </c>
      <c r="E60" s="44">
        <v>377269</v>
      </c>
      <c r="F60" s="44" t="s">
        <v>124</v>
      </c>
      <c r="G60" s="44" t="s">
        <v>141</v>
      </c>
      <c r="H60" s="44">
        <v>280907</v>
      </c>
      <c r="I60" s="44">
        <v>1</v>
      </c>
      <c r="J60" s="44">
        <v>8.9499999999999993</v>
      </c>
      <c r="K60" s="61">
        <v>101.200964</v>
      </c>
      <c r="L60" s="44">
        <v>11938</v>
      </c>
      <c r="M60" s="52">
        <v>1208137.1076767398</v>
      </c>
      <c r="N60" s="44"/>
      <c r="O60" s="59"/>
      <c r="P60" s="44" t="s">
        <v>125</v>
      </c>
      <c r="Q60" s="52">
        <v>1208137.1076767398</v>
      </c>
      <c r="R60" s="70">
        <v>15.05</v>
      </c>
    </row>
    <row r="61" spans="1:18" x14ac:dyDescent="0.25">
      <c r="A61" s="66" t="s">
        <v>82</v>
      </c>
      <c r="B61" s="107" t="s">
        <v>86</v>
      </c>
      <c r="C61" s="60">
        <v>45699</v>
      </c>
      <c r="D61" s="60">
        <v>45699</v>
      </c>
      <c r="E61" s="44">
        <v>377269</v>
      </c>
      <c r="F61" s="44" t="s">
        <v>124</v>
      </c>
      <c r="G61" s="44" t="s">
        <v>141</v>
      </c>
      <c r="H61" s="44">
        <v>280907</v>
      </c>
      <c r="I61" s="44">
        <v>1</v>
      </c>
      <c r="J61" s="44">
        <v>8.9499999999999993</v>
      </c>
      <c r="K61" s="61">
        <v>101.200964</v>
      </c>
      <c r="L61" s="44">
        <v>482</v>
      </c>
      <c r="M61" s="52">
        <v>48778.864625581213</v>
      </c>
      <c r="N61" s="44"/>
      <c r="O61" s="59"/>
      <c r="P61" s="44" t="s">
        <v>125</v>
      </c>
      <c r="Q61" s="52">
        <v>48778.864625581213</v>
      </c>
      <c r="R61" s="70">
        <v>801.24</v>
      </c>
    </row>
    <row r="62" spans="1:18" x14ac:dyDescent="0.25">
      <c r="A62" s="66" t="s">
        <v>82</v>
      </c>
      <c r="B62" s="107" t="s">
        <v>121</v>
      </c>
      <c r="C62" s="60">
        <v>45699</v>
      </c>
      <c r="D62" s="60">
        <v>45699</v>
      </c>
      <c r="E62" s="44">
        <v>377269</v>
      </c>
      <c r="F62" s="44" t="s">
        <v>124</v>
      </c>
      <c r="G62" s="44" t="s">
        <v>141</v>
      </c>
      <c r="H62" s="44">
        <v>280907</v>
      </c>
      <c r="I62" s="44">
        <v>1</v>
      </c>
      <c r="J62" s="44">
        <v>8.9499999999999993</v>
      </c>
      <c r="K62" s="61">
        <v>101.200964</v>
      </c>
      <c r="L62" s="44">
        <v>4780</v>
      </c>
      <c r="M62" s="52">
        <v>483740.60769767262</v>
      </c>
      <c r="N62" s="44"/>
      <c r="O62" s="59"/>
      <c r="P62" s="44" t="s">
        <v>125</v>
      </c>
      <c r="Q62" s="52">
        <v>483740.60769767262</v>
      </c>
      <c r="R62" s="70">
        <v>44.91</v>
      </c>
    </row>
    <row r="63" spans="1:18" x14ac:dyDescent="0.25">
      <c r="A63" s="66" t="s">
        <v>82</v>
      </c>
      <c r="B63" s="107" t="s">
        <v>85</v>
      </c>
      <c r="C63" s="60">
        <v>45699</v>
      </c>
      <c r="D63" s="60">
        <v>45700</v>
      </c>
      <c r="E63" s="44">
        <v>377269</v>
      </c>
      <c r="F63" s="44" t="s">
        <v>83</v>
      </c>
      <c r="G63" s="44" t="s">
        <v>141</v>
      </c>
      <c r="H63" s="44">
        <v>280907</v>
      </c>
      <c r="I63" s="44">
        <v>1</v>
      </c>
      <c r="J63" s="44">
        <v>300.35175116279078</v>
      </c>
      <c r="K63" s="61">
        <v>101.226123</v>
      </c>
      <c r="L63" s="44">
        <v>11938</v>
      </c>
      <c r="M63" s="52">
        <v>1208437.4594279076</v>
      </c>
      <c r="N63" s="44"/>
      <c r="O63" s="59"/>
      <c r="P63" s="44" t="s">
        <v>81</v>
      </c>
      <c r="Q63" s="52">
        <v>1208437.4594279076</v>
      </c>
      <c r="R63" s="71">
        <v>1208452.51</v>
      </c>
    </row>
    <row r="64" spans="1:18" x14ac:dyDescent="0.25">
      <c r="A64" s="66" t="s">
        <v>82</v>
      </c>
      <c r="B64" s="107" t="s">
        <v>86</v>
      </c>
      <c r="C64" s="60">
        <v>45699</v>
      </c>
      <c r="D64" s="60">
        <v>45700</v>
      </c>
      <c r="E64" s="44">
        <v>377269</v>
      </c>
      <c r="F64" s="44" t="s">
        <v>83</v>
      </c>
      <c r="G64" s="44" t="s">
        <v>141</v>
      </c>
      <c r="H64" s="44">
        <v>280907</v>
      </c>
      <c r="I64" s="44">
        <v>1</v>
      </c>
      <c r="J64" s="44">
        <v>12.126783720930236</v>
      </c>
      <c r="K64" s="61">
        <v>101.226123</v>
      </c>
      <c r="L64" s="44">
        <v>482</v>
      </c>
      <c r="M64" s="52">
        <v>48790.991409302354</v>
      </c>
      <c r="N64" s="44"/>
      <c r="O64" s="59"/>
      <c r="P64" s="44" t="s">
        <v>81</v>
      </c>
      <c r="Q64" s="52">
        <v>48790.991409302354</v>
      </c>
      <c r="R64" s="71">
        <v>49592.23</v>
      </c>
    </row>
    <row r="65" spans="1:18" x14ac:dyDescent="0.25">
      <c r="A65" s="66" t="s">
        <v>82</v>
      </c>
      <c r="B65" s="107" t="s">
        <v>121</v>
      </c>
      <c r="C65" s="60">
        <v>45699</v>
      </c>
      <c r="D65" s="60">
        <v>45700</v>
      </c>
      <c r="E65" s="44">
        <v>377269</v>
      </c>
      <c r="F65" s="44" t="s">
        <v>83</v>
      </c>
      <c r="G65" s="44" t="s">
        <v>141</v>
      </c>
      <c r="H65" s="44">
        <v>280907</v>
      </c>
      <c r="I65" s="44">
        <v>1</v>
      </c>
      <c r="J65" s="44">
        <v>120.2614651162791</v>
      </c>
      <c r="K65" s="61">
        <v>101.226123</v>
      </c>
      <c r="L65" s="44">
        <v>4780</v>
      </c>
      <c r="M65" s="52">
        <v>483860.86916279088</v>
      </c>
      <c r="N65" s="44"/>
      <c r="O65" s="59"/>
      <c r="P65" s="44" t="s">
        <v>81</v>
      </c>
      <c r="Q65" s="52">
        <v>483860.86916279088</v>
      </c>
      <c r="R65" s="71">
        <v>483905.78</v>
      </c>
    </row>
    <row r="66" spans="1:18" x14ac:dyDescent="0.25">
      <c r="A66" s="66" t="s">
        <v>82</v>
      </c>
      <c r="B66" s="107" t="s">
        <v>85</v>
      </c>
      <c r="C66" s="60">
        <v>45700</v>
      </c>
      <c r="D66" s="60">
        <v>45700</v>
      </c>
      <c r="E66" s="44">
        <v>378963</v>
      </c>
      <c r="F66" s="44" t="s">
        <v>124</v>
      </c>
      <c r="G66" s="44" t="s">
        <v>141</v>
      </c>
      <c r="H66" s="44">
        <v>280907</v>
      </c>
      <c r="I66" s="44">
        <v>1</v>
      </c>
      <c r="J66" s="44">
        <v>8.9499999999999993</v>
      </c>
      <c r="K66" s="61">
        <v>101.22940800000001</v>
      </c>
      <c r="L66" s="44">
        <v>11938</v>
      </c>
      <c r="M66" s="52">
        <v>1208476.6772441408</v>
      </c>
      <c r="N66" s="44"/>
      <c r="O66" s="59"/>
      <c r="P66" s="44" t="s">
        <v>125</v>
      </c>
      <c r="Q66" s="52">
        <v>1208476.6772441408</v>
      </c>
      <c r="R66" s="70">
        <v>-24.17</v>
      </c>
    </row>
    <row r="67" spans="1:18" x14ac:dyDescent="0.25">
      <c r="A67" s="66" t="s">
        <v>82</v>
      </c>
      <c r="B67" s="107" t="s">
        <v>86</v>
      </c>
      <c r="C67" s="60">
        <v>45700</v>
      </c>
      <c r="D67" s="60">
        <v>45700</v>
      </c>
      <c r="E67" s="44">
        <v>378963</v>
      </c>
      <c r="F67" s="44" t="s">
        <v>124</v>
      </c>
      <c r="G67" s="44" t="s">
        <v>141</v>
      </c>
      <c r="H67" s="44">
        <v>280907</v>
      </c>
      <c r="I67" s="44">
        <v>1</v>
      </c>
      <c r="J67" s="44">
        <v>8.9499999999999993</v>
      </c>
      <c r="K67" s="61">
        <v>101.22940800000001</v>
      </c>
      <c r="L67" s="44">
        <v>490</v>
      </c>
      <c r="M67" s="52">
        <v>49602.410106351897</v>
      </c>
      <c r="N67" s="44"/>
      <c r="O67" s="59"/>
      <c r="P67" s="44" t="s">
        <v>125</v>
      </c>
      <c r="Q67" s="52">
        <v>49602.410106351897</v>
      </c>
      <c r="R67" s="70">
        <v>-10.18</v>
      </c>
    </row>
    <row r="68" spans="1:18" x14ac:dyDescent="0.25">
      <c r="A68" s="66" t="s">
        <v>82</v>
      </c>
      <c r="B68" s="107" t="s">
        <v>121</v>
      </c>
      <c r="C68" s="60">
        <v>45700</v>
      </c>
      <c r="D68" s="60">
        <v>45700</v>
      </c>
      <c r="E68" s="44">
        <v>378963</v>
      </c>
      <c r="F68" s="44" t="s">
        <v>124</v>
      </c>
      <c r="G68" s="44" t="s">
        <v>141</v>
      </c>
      <c r="H68" s="44">
        <v>280907</v>
      </c>
      <c r="I68" s="44">
        <v>1</v>
      </c>
      <c r="J68" s="44">
        <v>8.9499999999999993</v>
      </c>
      <c r="K68" s="61">
        <v>101.22940800000001</v>
      </c>
      <c r="L68" s="44">
        <v>4779</v>
      </c>
      <c r="M68" s="52">
        <v>483775.34264950152</v>
      </c>
      <c r="N68" s="44"/>
      <c r="O68" s="59"/>
      <c r="P68" s="44" t="s">
        <v>125</v>
      </c>
      <c r="Q68" s="52">
        <v>483775.34264950152</v>
      </c>
      <c r="R68" s="70">
        <v>130.44</v>
      </c>
    </row>
    <row r="69" spans="1:18" x14ac:dyDescent="0.25">
      <c r="A69" s="66" t="s">
        <v>82</v>
      </c>
      <c r="B69" s="107" t="s">
        <v>85</v>
      </c>
      <c r="C69" s="60">
        <v>45700</v>
      </c>
      <c r="D69" s="60">
        <v>45701</v>
      </c>
      <c r="E69" s="44">
        <v>378963</v>
      </c>
      <c r="F69" s="44" t="s">
        <v>83</v>
      </c>
      <c r="G69" s="44" t="s">
        <v>141</v>
      </c>
      <c r="H69" s="44">
        <v>280907</v>
      </c>
      <c r="I69" s="44">
        <v>1</v>
      </c>
      <c r="J69" s="44">
        <v>300.4377009356661</v>
      </c>
      <c r="K69" s="61">
        <v>101.254575</v>
      </c>
      <c r="L69" s="44">
        <v>11938</v>
      </c>
      <c r="M69" s="52">
        <v>1208777.1149450764</v>
      </c>
      <c r="N69" s="44"/>
      <c r="O69" s="59"/>
      <c r="P69" s="44" t="s">
        <v>81</v>
      </c>
      <c r="Q69" s="52">
        <v>1208777.1149450764</v>
      </c>
      <c r="R69" s="71">
        <v>1208752.94</v>
      </c>
    </row>
    <row r="70" spans="1:18" x14ac:dyDescent="0.25">
      <c r="A70" s="66" t="s">
        <v>82</v>
      </c>
      <c r="B70" s="107" t="s">
        <v>86</v>
      </c>
      <c r="C70" s="60">
        <v>45700</v>
      </c>
      <c r="D70" s="60">
        <v>45701</v>
      </c>
      <c r="E70" s="44">
        <v>378963</v>
      </c>
      <c r="F70" s="44" t="s">
        <v>83</v>
      </c>
      <c r="G70" s="44" t="s">
        <v>141</v>
      </c>
      <c r="H70" s="44">
        <v>280907</v>
      </c>
      <c r="I70" s="44">
        <v>1</v>
      </c>
      <c r="J70" s="44">
        <v>12.33158598244902</v>
      </c>
      <c r="K70" s="61">
        <v>101.254575</v>
      </c>
      <c r="L70" s="44">
        <v>490</v>
      </c>
      <c r="M70" s="52">
        <v>49614.741692334355</v>
      </c>
      <c r="N70" s="44"/>
      <c r="O70" s="59"/>
      <c r="P70" s="44" t="s">
        <v>81</v>
      </c>
      <c r="Q70" s="52">
        <v>49614.741692334355</v>
      </c>
      <c r="R70" s="71">
        <v>49604.56</v>
      </c>
    </row>
    <row r="71" spans="1:18" x14ac:dyDescent="0.25">
      <c r="A71" s="66" t="s">
        <v>82</v>
      </c>
      <c r="B71" s="107" t="s">
        <v>121</v>
      </c>
      <c r="C71" s="60">
        <v>45700</v>
      </c>
      <c r="D71" s="60">
        <v>45701</v>
      </c>
      <c r="E71" s="44">
        <v>378963</v>
      </c>
      <c r="F71" s="44" t="s">
        <v>83</v>
      </c>
      <c r="G71" s="44" t="s">
        <v>141</v>
      </c>
      <c r="H71" s="44">
        <v>280907</v>
      </c>
      <c r="I71" s="44">
        <v>1</v>
      </c>
      <c r="J71" s="44">
        <v>120.27071308188545</v>
      </c>
      <c r="K71" s="61">
        <v>101.254575</v>
      </c>
      <c r="L71" s="44">
        <v>4779</v>
      </c>
      <c r="M71" s="52">
        <v>483895.61336258333</v>
      </c>
      <c r="N71" s="44"/>
      <c r="O71" s="59"/>
      <c r="P71" s="44" t="s">
        <v>81</v>
      </c>
      <c r="Q71" s="52">
        <v>483895.61336258333</v>
      </c>
      <c r="R71" s="71">
        <v>484026.05</v>
      </c>
    </row>
    <row r="72" spans="1:18" x14ac:dyDescent="0.25">
      <c r="A72" s="66" t="s">
        <v>82</v>
      </c>
      <c r="B72" s="107" t="s">
        <v>85</v>
      </c>
      <c r="C72" s="60">
        <v>45701</v>
      </c>
      <c r="D72" s="60">
        <v>45701</v>
      </c>
      <c r="E72" s="44">
        <v>380393</v>
      </c>
      <c r="F72" s="44" t="s">
        <v>124</v>
      </c>
      <c r="G72" s="44" t="s">
        <v>141</v>
      </c>
      <c r="H72" s="44">
        <v>280907</v>
      </c>
      <c r="I72" s="44">
        <v>1</v>
      </c>
      <c r="J72" s="44">
        <v>8.9499999999999993</v>
      </c>
      <c r="K72" s="61">
        <v>101.257853</v>
      </c>
      <c r="L72" s="44">
        <v>12214</v>
      </c>
      <c r="M72" s="52">
        <v>1236763.4168388979</v>
      </c>
      <c r="N72" s="44"/>
      <c r="O72" s="59"/>
      <c r="P72" s="44" t="s">
        <v>125</v>
      </c>
      <c r="Q72" s="52">
        <v>1236763.4168388979</v>
      </c>
      <c r="R72" s="71">
        <v>-28010.48</v>
      </c>
    </row>
    <row r="73" spans="1:18" x14ac:dyDescent="0.25">
      <c r="A73" s="66" t="s">
        <v>82</v>
      </c>
      <c r="B73" s="107" t="s">
        <v>86</v>
      </c>
      <c r="C73" s="60">
        <v>45701</v>
      </c>
      <c r="D73" s="60">
        <v>45701</v>
      </c>
      <c r="E73" s="44">
        <v>380393</v>
      </c>
      <c r="F73" s="44" t="s">
        <v>124</v>
      </c>
      <c r="G73" s="44" t="s">
        <v>141</v>
      </c>
      <c r="H73" s="44">
        <v>280907</v>
      </c>
      <c r="I73" s="44">
        <v>1</v>
      </c>
      <c r="J73" s="44">
        <v>8.9499999999999993</v>
      </c>
      <c r="K73" s="61">
        <v>101.257853</v>
      </c>
      <c r="L73" s="44">
        <v>490</v>
      </c>
      <c r="M73" s="52">
        <v>49616.34798191092</v>
      </c>
      <c r="N73" s="44"/>
      <c r="O73" s="59"/>
      <c r="P73" s="44" t="s">
        <v>125</v>
      </c>
      <c r="Q73" s="52">
        <v>49616.34798191092</v>
      </c>
      <c r="R73" s="71">
        <v>-11.8</v>
      </c>
    </row>
    <row r="74" spans="1:18" x14ac:dyDescent="0.25">
      <c r="A74" s="66" t="s">
        <v>82</v>
      </c>
      <c r="B74" s="107" t="s">
        <v>121</v>
      </c>
      <c r="C74" s="60">
        <v>45701</v>
      </c>
      <c r="D74" s="60">
        <v>45701</v>
      </c>
      <c r="E74" s="44">
        <v>380393</v>
      </c>
      <c r="F74" s="44" t="s">
        <v>124</v>
      </c>
      <c r="G74" s="44" t="s">
        <v>141</v>
      </c>
      <c r="H74" s="44">
        <v>280907</v>
      </c>
      <c r="I74" s="44">
        <v>1</v>
      </c>
      <c r="J74" s="44">
        <v>8.9499999999999993</v>
      </c>
      <c r="K74" s="61">
        <v>101.257853</v>
      </c>
      <c r="L74" s="44">
        <v>4986</v>
      </c>
      <c r="M74" s="52">
        <v>504871.6551791997</v>
      </c>
      <c r="N74" s="44"/>
      <c r="O74" s="59"/>
      <c r="P74" s="44" t="s">
        <v>125</v>
      </c>
      <c r="Q74" s="52">
        <v>504871.6551791997</v>
      </c>
      <c r="R74" s="71">
        <v>-20845.61</v>
      </c>
    </row>
    <row r="75" spans="1:18" x14ac:dyDescent="0.25">
      <c r="A75" s="79" t="s">
        <v>80</v>
      </c>
      <c r="B75" s="77" t="s">
        <v>85</v>
      </c>
      <c r="C75" s="93">
        <v>45701</v>
      </c>
      <c r="D75" s="93">
        <v>45701</v>
      </c>
      <c r="E75" s="77">
        <v>851849</v>
      </c>
      <c r="F75" s="77" t="s">
        <v>150</v>
      </c>
      <c r="G75" s="77" t="s">
        <v>151</v>
      </c>
      <c r="H75" s="77" t="s">
        <v>94</v>
      </c>
      <c r="I75" s="77"/>
      <c r="J75" s="77"/>
      <c r="K75" s="102"/>
      <c r="L75" s="77"/>
      <c r="M75" s="78">
        <v>15233.22</v>
      </c>
      <c r="N75" s="77"/>
      <c r="O75" s="94"/>
      <c r="P75" s="77" t="s">
        <v>81</v>
      </c>
      <c r="Q75" s="78">
        <v>15233.22</v>
      </c>
      <c r="R75" s="97">
        <v>-12777.26</v>
      </c>
    </row>
    <row r="76" spans="1:18" x14ac:dyDescent="0.25">
      <c r="A76" s="79" t="s">
        <v>80</v>
      </c>
      <c r="B76" s="77" t="s">
        <v>121</v>
      </c>
      <c r="C76" s="93">
        <v>45701</v>
      </c>
      <c r="D76" s="93">
        <v>45701</v>
      </c>
      <c r="E76" s="77">
        <v>851849</v>
      </c>
      <c r="F76" s="77" t="s">
        <v>150</v>
      </c>
      <c r="G76" s="77" t="s">
        <v>151</v>
      </c>
      <c r="H76" s="77" t="s">
        <v>94</v>
      </c>
      <c r="I76" s="77"/>
      <c r="J76" s="77"/>
      <c r="K76" s="102"/>
      <c r="L76" s="77"/>
      <c r="M76" s="78">
        <v>18768.47</v>
      </c>
      <c r="N76" s="77"/>
      <c r="O76" s="94"/>
      <c r="P76" s="77" t="s">
        <v>81</v>
      </c>
      <c r="Q76" s="78">
        <v>18768.47</v>
      </c>
      <c r="R76" s="97">
        <v>-2077.14</v>
      </c>
    </row>
    <row r="77" spans="1:18" x14ac:dyDescent="0.25">
      <c r="A77" s="66" t="s">
        <v>80</v>
      </c>
      <c r="B77" s="107" t="s">
        <v>85</v>
      </c>
      <c r="C77" s="60">
        <v>45701</v>
      </c>
      <c r="D77" s="60">
        <v>45701</v>
      </c>
      <c r="E77" s="44">
        <v>851854</v>
      </c>
      <c r="F77" s="44" t="s">
        <v>150</v>
      </c>
      <c r="G77" s="44" t="s">
        <v>132</v>
      </c>
      <c r="H77" s="44" t="s">
        <v>94</v>
      </c>
      <c r="I77" s="44"/>
      <c r="J77" s="44"/>
      <c r="K77" s="44"/>
      <c r="L77" s="44"/>
      <c r="M77" s="52">
        <v>12852.2</v>
      </c>
      <c r="N77" s="44"/>
      <c r="O77" s="44"/>
      <c r="P77" s="44" t="s">
        <v>81</v>
      </c>
      <c r="Q77" s="52">
        <v>12852.2</v>
      </c>
      <c r="R77" s="70">
        <v>74.98</v>
      </c>
    </row>
    <row r="78" spans="1:18" x14ac:dyDescent="0.25">
      <c r="A78" s="66" t="s">
        <v>80</v>
      </c>
      <c r="B78" s="107" t="s">
        <v>121</v>
      </c>
      <c r="C78" s="60">
        <v>45701</v>
      </c>
      <c r="D78" s="60">
        <v>45701</v>
      </c>
      <c r="E78" s="44">
        <v>851854</v>
      </c>
      <c r="F78" s="44" t="s">
        <v>150</v>
      </c>
      <c r="G78" s="44" t="s">
        <v>132</v>
      </c>
      <c r="H78" s="44" t="s">
        <v>94</v>
      </c>
      <c r="I78" s="44"/>
      <c r="J78" s="44"/>
      <c r="K78" s="44"/>
      <c r="L78" s="44"/>
      <c r="M78" s="52">
        <v>2054.33</v>
      </c>
      <c r="N78" s="44"/>
      <c r="O78" s="44"/>
      <c r="P78" s="44" t="s">
        <v>81</v>
      </c>
      <c r="Q78" s="52">
        <v>2054.33</v>
      </c>
      <c r="R78" s="70">
        <v>-22.82</v>
      </c>
    </row>
    <row r="79" spans="1:18" x14ac:dyDescent="0.25">
      <c r="A79" s="66" t="s">
        <v>82</v>
      </c>
      <c r="B79" s="107" t="s">
        <v>85</v>
      </c>
      <c r="C79" s="60">
        <v>45701</v>
      </c>
      <c r="D79" s="60">
        <v>45702</v>
      </c>
      <c r="E79" s="44">
        <v>380393</v>
      </c>
      <c r="F79" s="44" t="s">
        <v>83</v>
      </c>
      <c r="G79" s="44" t="s">
        <v>141</v>
      </c>
      <c r="H79" s="44">
        <v>280907</v>
      </c>
      <c r="I79" s="44">
        <v>1</v>
      </c>
      <c r="J79" s="44">
        <v>307.4696710005652</v>
      </c>
      <c r="K79" s="61">
        <v>101.283027</v>
      </c>
      <c r="L79" s="44">
        <v>12214</v>
      </c>
      <c r="M79" s="52">
        <v>1237070.8865098942</v>
      </c>
      <c r="N79" s="44"/>
      <c r="O79" s="59"/>
      <c r="P79" s="44" t="s">
        <v>81</v>
      </c>
      <c r="Q79" s="52">
        <v>1237070.8865098942</v>
      </c>
      <c r="R79" s="71">
        <v>1237145.8700000001</v>
      </c>
    </row>
    <row r="80" spans="1:18" x14ac:dyDescent="0.25">
      <c r="A80" s="66" t="s">
        <v>82</v>
      </c>
      <c r="B80" s="107" t="s">
        <v>86</v>
      </c>
      <c r="C80" s="60">
        <v>45701</v>
      </c>
      <c r="D80" s="60">
        <v>45702</v>
      </c>
      <c r="E80" s="44">
        <v>380393</v>
      </c>
      <c r="F80" s="44" t="s">
        <v>83</v>
      </c>
      <c r="G80" s="44" t="s">
        <v>141</v>
      </c>
      <c r="H80" s="44">
        <v>280907</v>
      </c>
      <c r="I80" s="44">
        <v>1</v>
      </c>
      <c r="J80" s="44">
        <v>12.335036743923117</v>
      </c>
      <c r="K80" s="61">
        <v>101.283027</v>
      </c>
      <c r="L80" s="44">
        <v>490</v>
      </c>
      <c r="M80" s="52">
        <v>49628.683018654672</v>
      </c>
      <c r="N80" s="44"/>
      <c r="O80" s="59"/>
      <c r="P80" s="44" t="s">
        <v>81</v>
      </c>
      <c r="Q80" s="52">
        <v>49628.683018654672</v>
      </c>
      <c r="R80" s="71">
        <v>49616.88</v>
      </c>
    </row>
    <row r="81" spans="1:18" x14ac:dyDescent="0.25">
      <c r="A81" s="66" t="s">
        <v>82</v>
      </c>
      <c r="B81" s="107" t="s">
        <v>121</v>
      </c>
      <c r="C81" s="60">
        <v>45701</v>
      </c>
      <c r="D81" s="60">
        <v>45702</v>
      </c>
      <c r="E81" s="44">
        <v>380393</v>
      </c>
      <c r="F81" s="44" t="s">
        <v>83</v>
      </c>
      <c r="G81" s="44" t="s">
        <v>141</v>
      </c>
      <c r="H81" s="44">
        <v>280907</v>
      </c>
      <c r="I81" s="44">
        <v>1</v>
      </c>
      <c r="J81" s="44">
        <v>125.51529225551155</v>
      </c>
      <c r="K81" s="61">
        <v>101.283027</v>
      </c>
      <c r="L81" s="44">
        <v>4986</v>
      </c>
      <c r="M81" s="52">
        <v>504997.17047145346</v>
      </c>
      <c r="N81" s="44"/>
      <c r="O81" s="59"/>
      <c r="P81" s="44" t="s">
        <v>81</v>
      </c>
      <c r="Q81" s="52">
        <v>504997.17047145346</v>
      </c>
      <c r="R81" s="71">
        <v>504974.35</v>
      </c>
    </row>
    <row r="82" spans="1:18" x14ac:dyDescent="0.25">
      <c r="A82" s="66" t="s">
        <v>82</v>
      </c>
      <c r="B82" s="107" t="s">
        <v>85</v>
      </c>
      <c r="C82" s="60">
        <v>45702</v>
      </c>
      <c r="D82" s="60">
        <v>45702</v>
      </c>
      <c r="E82" s="44">
        <v>381738</v>
      </c>
      <c r="F82" s="44" t="s">
        <v>124</v>
      </c>
      <c r="G82" s="44" t="s">
        <v>141</v>
      </c>
      <c r="H82" s="44">
        <v>280907</v>
      </c>
      <c r="I82" s="44">
        <v>3</v>
      </c>
      <c r="J82" s="44">
        <v>8.9499999999999993</v>
      </c>
      <c r="K82" s="61">
        <v>101.286297</v>
      </c>
      <c r="L82" s="44">
        <v>12214</v>
      </c>
      <c r="M82" s="52">
        <v>1237110.8331923797</v>
      </c>
      <c r="N82" s="44"/>
      <c r="O82" s="59"/>
      <c r="P82" s="44" t="s">
        <v>125</v>
      </c>
      <c r="Q82" s="52">
        <v>1237110.8331923797</v>
      </c>
      <c r="R82" s="70">
        <v>35.04</v>
      </c>
    </row>
    <row r="83" spans="1:18" x14ac:dyDescent="0.25">
      <c r="A83" s="66" t="s">
        <v>82</v>
      </c>
      <c r="B83" s="107" t="s">
        <v>86</v>
      </c>
      <c r="C83" s="60">
        <v>45702</v>
      </c>
      <c r="D83" s="60">
        <v>45702</v>
      </c>
      <c r="E83" s="44">
        <v>381738</v>
      </c>
      <c r="F83" s="44" t="s">
        <v>124</v>
      </c>
      <c r="G83" s="44" t="s">
        <v>141</v>
      </c>
      <c r="H83" s="44">
        <v>280907</v>
      </c>
      <c r="I83" s="44">
        <v>3</v>
      </c>
      <c r="J83" s="44">
        <v>8.9499999999999993</v>
      </c>
      <c r="K83" s="61">
        <v>101.286297</v>
      </c>
      <c r="L83" s="44">
        <v>490</v>
      </c>
      <c r="M83" s="52">
        <v>49630.285595567882</v>
      </c>
      <c r="N83" s="44"/>
      <c r="O83" s="59"/>
      <c r="P83" s="44" t="s">
        <v>125</v>
      </c>
      <c r="Q83" s="52">
        <v>49630.285595567882</v>
      </c>
      <c r="R83" s="70">
        <v>-13.41</v>
      </c>
    </row>
    <row r="84" spans="1:18" x14ac:dyDescent="0.25">
      <c r="A84" s="66" t="s">
        <v>82</v>
      </c>
      <c r="B84" s="107" t="s">
        <v>121</v>
      </c>
      <c r="C84" s="60">
        <v>45702</v>
      </c>
      <c r="D84" s="60">
        <v>45702</v>
      </c>
      <c r="E84" s="44">
        <v>381738</v>
      </c>
      <c r="F84" s="44" t="s">
        <v>124</v>
      </c>
      <c r="G84" s="44" t="s">
        <v>141</v>
      </c>
      <c r="H84" s="44">
        <v>280907</v>
      </c>
      <c r="I84" s="44">
        <v>3</v>
      </c>
      <c r="J84" s="44">
        <v>8.9499999999999993</v>
      </c>
      <c r="K84" s="61">
        <v>101.286297</v>
      </c>
      <c r="L84" s="44">
        <v>4985</v>
      </c>
      <c r="M84" s="52">
        <v>504912.19121205283</v>
      </c>
      <c r="N84" s="44"/>
      <c r="O84" s="59"/>
      <c r="P84" s="44" t="s">
        <v>125</v>
      </c>
      <c r="Q84" s="52">
        <v>504912.19121205283</v>
      </c>
      <c r="R84" s="70">
        <v>62.16</v>
      </c>
    </row>
    <row r="85" spans="1:18" x14ac:dyDescent="0.25">
      <c r="A85" s="66" t="s">
        <v>82</v>
      </c>
      <c r="B85" s="107" t="s">
        <v>85</v>
      </c>
      <c r="C85" s="60">
        <v>45428</v>
      </c>
      <c r="D85" s="60">
        <v>45705</v>
      </c>
      <c r="E85" s="44">
        <v>105206</v>
      </c>
      <c r="F85" s="44" t="s">
        <v>153</v>
      </c>
      <c r="G85" s="44" t="s">
        <v>149</v>
      </c>
      <c r="H85" s="44">
        <v>24</v>
      </c>
      <c r="I85" s="44">
        <v>277</v>
      </c>
      <c r="J85" s="44"/>
      <c r="K85" s="61">
        <v>65.304064999999994</v>
      </c>
      <c r="L85" s="44"/>
      <c r="M85" s="52">
        <v>32034.15</v>
      </c>
      <c r="N85" s="44"/>
      <c r="O85" s="59"/>
      <c r="P85" s="44" t="s">
        <v>81</v>
      </c>
      <c r="Q85" s="52">
        <v>32034.15</v>
      </c>
      <c r="R85" s="71">
        <v>32069.19</v>
      </c>
    </row>
    <row r="86" spans="1:18" x14ac:dyDescent="0.25">
      <c r="A86" s="66" t="s">
        <v>82</v>
      </c>
      <c r="B86" s="107" t="s">
        <v>121</v>
      </c>
      <c r="C86" s="60">
        <v>45428</v>
      </c>
      <c r="D86" s="60">
        <v>45705</v>
      </c>
      <c r="E86" s="44">
        <v>105206</v>
      </c>
      <c r="F86" s="44" t="s">
        <v>153</v>
      </c>
      <c r="G86" s="44" t="s">
        <v>149</v>
      </c>
      <c r="H86" s="44">
        <v>24</v>
      </c>
      <c r="I86" s="44">
        <v>277</v>
      </c>
      <c r="J86" s="44"/>
      <c r="K86" s="61">
        <v>65.304064999999994</v>
      </c>
      <c r="L86" s="44"/>
      <c r="M86" s="52">
        <v>32034.14</v>
      </c>
      <c r="N86" s="44"/>
      <c r="O86" s="59"/>
      <c r="P86" s="44" t="s">
        <v>81</v>
      </c>
      <c r="Q86" s="52">
        <v>32034.14</v>
      </c>
      <c r="R86" s="71">
        <v>32096.3</v>
      </c>
    </row>
    <row r="87" spans="1:18" x14ac:dyDescent="0.25">
      <c r="A87" s="66" t="s">
        <v>80</v>
      </c>
      <c r="B87" s="107" t="s">
        <v>85</v>
      </c>
      <c r="C87" s="60">
        <v>45428</v>
      </c>
      <c r="D87" s="60">
        <v>45705</v>
      </c>
      <c r="E87" s="44">
        <v>105206</v>
      </c>
      <c r="F87" s="44" t="s">
        <v>154</v>
      </c>
      <c r="G87" s="44" t="s">
        <v>149</v>
      </c>
      <c r="H87" s="44">
        <v>24</v>
      </c>
      <c r="I87" s="44"/>
      <c r="J87" s="44"/>
      <c r="K87" s="61"/>
      <c r="L87" s="44"/>
      <c r="M87" s="52">
        <v>9833.01</v>
      </c>
      <c r="N87" s="44"/>
      <c r="O87" s="59"/>
      <c r="P87" s="44" t="s">
        <v>81</v>
      </c>
      <c r="Q87" s="52">
        <v>9833.01</v>
      </c>
      <c r="R87" s="71">
        <v>41902.199999999997</v>
      </c>
    </row>
    <row r="88" spans="1:18" x14ac:dyDescent="0.25">
      <c r="A88" s="66" t="s">
        <v>80</v>
      </c>
      <c r="B88" s="107" t="s">
        <v>121</v>
      </c>
      <c r="C88" s="60">
        <v>45428</v>
      </c>
      <c r="D88" s="60">
        <v>45705</v>
      </c>
      <c r="E88" s="44">
        <v>105206</v>
      </c>
      <c r="F88" s="44" t="s">
        <v>154</v>
      </c>
      <c r="G88" s="44" t="s">
        <v>149</v>
      </c>
      <c r="H88" s="44">
        <v>24</v>
      </c>
      <c r="I88" s="44"/>
      <c r="J88" s="44"/>
      <c r="K88" s="61"/>
      <c r="L88" s="44"/>
      <c r="M88" s="52">
        <v>9832.9999999999982</v>
      </c>
      <c r="N88" s="44"/>
      <c r="O88" s="59"/>
      <c r="P88" s="44" t="s">
        <v>81</v>
      </c>
      <c r="Q88" s="52">
        <v>9832.9999999999982</v>
      </c>
      <c r="R88" s="71">
        <v>41929.300000000003</v>
      </c>
    </row>
    <row r="89" spans="1:18" x14ac:dyDescent="0.25">
      <c r="A89" s="66" t="s">
        <v>82</v>
      </c>
      <c r="B89" s="107" t="s">
        <v>85</v>
      </c>
      <c r="C89" s="60">
        <v>45428</v>
      </c>
      <c r="D89" s="60">
        <v>45705</v>
      </c>
      <c r="E89" s="44">
        <v>105207</v>
      </c>
      <c r="F89" s="44" t="s">
        <v>153</v>
      </c>
      <c r="G89" s="44" t="s">
        <v>149</v>
      </c>
      <c r="H89" s="44">
        <v>24</v>
      </c>
      <c r="I89" s="44">
        <v>277</v>
      </c>
      <c r="J89" s="44"/>
      <c r="K89" s="61">
        <v>65.304064999999994</v>
      </c>
      <c r="L89" s="44"/>
      <c r="M89" s="52">
        <v>12844.49</v>
      </c>
      <c r="N89" s="44"/>
      <c r="O89" s="59"/>
      <c r="P89" s="44" t="s">
        <v>81</v>
      </c>
      <c r="Q89" s="52">
        <v>12844.49</v>
      </c>
      <c r="R89" s="71">
        <v>54746.69</v>
      </c>
    </row>
    <row r="90" spans="1:18" x14ac:dyDescent="0.25">
      <c r="A90" s="66" t="s">
        <v>82</v>
      </c>
      <c r="B90" s="107" t="s">
        <v>121</v>
      </c>
      <c r="C90" s="60">
        <v>45428</v>
      </c>
      <c r="D90" s="60">
        <v>45705</v>
      </c>
      <c r="E90" s="44">
        <v>105207</v>
      </c>
      <c r="F90" s="44" t="s">
        <v>153</v>
      </c>
      <c r="G90" s="44" t="s">
        <v>149</v>
      </c>
      <c r="H90" s="44">
        <v>24</v>
      </c>
      <c r="I90" s="44">
        <v>277</v>
      </c>
      <c r="J90" s="44"/>
      <c r="K90" s="61">
        <v>65.304064999999994</v>
      </c>
      <c r="L90" s="44"/>
      <c r="M90" s="52">
        <v>12844.480000000001</v>
      </c>
      <c r="N90" s="44"/>
      <c r="O90" s="59"/>
      <c r="P90" s="44" t="s">
        <v>81</v>
      </c>
      <c r="Q90" s="52">
        <v>12844.480000000001</v>
      </c>
      <c r="R90" s="71">
        <v>54773.78</v>
      </c>
    </row>
    <row r="91" spans="1:18" x14ac:dyDescent="0.25">
      <c r="A91" s="66" t="s">
        <v>80</v>
      </c>
      <c r="B91" s="107" t="s">
        <v>85</v>
      </c>
      <c r="C91" s="60">
        <v>45428</v>
      </c>
      <c r="D91" s="60">
        <v>45705</v>
      </c>
      <c r="E91" s="44">
        <v>105207</v>
      </c>
      <c r="F91" s="44" t="s">
        <v>154</v>
      </c>
      <c r="G91" s="44" t="s">
        <v>149</v>
      </c>
      <c r="H91" s="44">
        <v>24</v>
      </c>
      <c r="I91" s="44"/>
      <c r="J91" s="44"/>
      <c r="K91" s="61"/>
      <c r="L91" s="44"/>
      <c r="M91" s="52">
        <v>3942.66</v>
      </c>
      <c r="N91" s="44"/>
      <c r="O91" s="59"/>
      <c r="P91" s="44" t="s">
        <v>81</v>
      </c>
      <c r="Q91" s="52">
        <v>3942.66</v>
      </c>
      <c r="R91" s="71">
        <v>58689.35</v>
      </c>
    </row>
    <row r="92" spans="1:18" x14ac:dyDescent="0.25">
      <c r="A92" s="66" t="s">
        <v>80</v>
      </c>
      <c r="B92" s="107" t="s">
        <v>121</v>
      </c>
      <c r="C92" s="60">
        <v>45428</v>
      </c>
      <c r="D92" s="60">
        <v>45705</v>
      </c>
      <c r="E92" s="44">
        <v>105207</v>
      </c>
      <c r="F92" s="44" t="s">
        <v>154</v>
      </c>
      <c r="G92" s="44" t="s">
        <v>149</v>
      </c>
      <c r="H92" s="44">
        <v>24</v>
      </c>
      <c r="I92" s="44"/>
      <c r="J92" s="44"/>
      <c r="K92" s="61"/>
      <c r="L92" s="44"/>
      <c r="M92" s="52">
        <v>3942.66</v>
      </c>
      <c r="N92" s="44"/>
      <c r="O92" s="59"/>
      <c r="P92" s="44" t="s">
        <v>81</v>
      </c>
      <c r="Q92" s="52">
        <v>3942.66</v>
      </c>
      <c r="R92" s="71">
        <v>58716.44</v>
      </c>
    </row>
    <row r="93" spans="1:18" x14ac:dyDescent="0.25">
      <c r="A93" s="66" t="s">
        <v>82</v>
      </c>
      <c r="B93" s="107" t="s">
        <v>85</v>
      </c>
      <c r="C93" s="60">
        <v>45702</v>
      </c>
      <c r="D93" s="60">
        <v>45705</v>
      </c>
      <c r="E93" s="44">
        <v>381738</v>
      </c>
      <c r="F93" s="44" t="s">
        <v>83</v>
      </c>
      <c r="G93" s="44" t="s">
        <v>141</v>
      </c>
      <c r="H93" s="44">
        <v>280907</v>
      </c>
      <c r="I93" s="44">
        <v>3</v>
      </c>
      <c r="J93" s="52">
        <v>922.67520945220178</v>
      </c>
      <c r="K93" s="61">
        <v>101.36184</v>
      </c>
      <c r="L93" s="44">
        <v>12214</v>
      </c>
      <c r="M93" s="52">
        <v>1238033.5084018281</v>
      </c>
      <c r="N93" s="44"/>
      <c r="O93" s="59"/>
      <c r="P93" s="44" t="s">
        <v>81</v>
      </c>
      <c r="Q93" s="52">
        <v>1238033.5084018281</v>
      </c>
      <c r="R93" s="71">
        <v>1296722.8600000001</v>
      </c>
    </row>
    <row r="94" spans="1:18" x14ac:dyDescent="0.25">
      <c r="A94" s="66" t="s">
        <v>82</v>
      </c>
      <c r="B94" s="107" t="s">
        <v>86</v>
      </c>
      <c r="C94" s="60">
        <v>45702</v>
      </c>
      <c r="D94" s="60">
        <v>45705</v>
      </c>
      <c r="E94" s="44">
        <v>381738</v>
      </c>
      <c r="F94" s="44" t="s">
        <v>83</v>
      </c>
      <c r="G94" s="44" t="s">
        <v>141</v>
      </c>
      <c r="H94" s="44">
        <v>280907</v>
      </c>
      <c r="I94" s="44">
        <v>3</v>
      </c>
      <c r="J94" s="52">
        <v>37.015789473684208</v>
      </c>
      <c r="K94" s="61">
        <v>101.36184</v>
      </c>
      <c r="L94" s="44">
        <v>490</v>
      </c>
      <c r="M94" s="52">
        <v>49667.301385041406</v>
      </c>
      <c r="N94" s="44"/>
      <c r="O94" s="59"/>
      <c r="P94" s="44" t="s">
        <v>81</v>
      </c>
      <c r="Q94" s="52">
        <v>49667.301385041406</v>
      </c>
      <c r="R94" s="71">
        <v>49653.89</v>
      </c>
    </row>
    <row r="95" spans="1:18" x14ac:dyDescent="0.25">
      <c r="A95" s="66" t="s">
        <v>82</v>
      </c>
      <c r="B95" s="107" t="s">
        <v>121</v>
      </c>
      <c r="C95" s="60">
        <v>45702</v>
      </c>
      <c r="D95" s="60">
        <v>45705</v>
      </c>
      <c r="E95" s="44">
        <v>381738</v>
      </c>
      <c r="F95" s="44" t="s">
        <v>83</v>
      </c>
      <c r="G95" s="44" t="s">
        <v>141</v>
      </c>
      <c r="H95" s="44">
        <v>280907</v>
      </c>
      <c r="I95" s="44">
        <v>3</v>
      </c>
      <c r="J95" s="52">
        <v>376.57900107411382</v>
      </c>
      <c r="K95" s="61">
        <v>101.36184</v>
      </c>
      <c r="L95" s="44">
        <v>4985</v>
      </c>
      <c r="M95" s="52">
        <v>505288.77021312539</v>
      </c>
      <c r="N95" s="44"/>
      <c r="O95" s="59"/>
      <c r="P95" s="44" t="s">
        <v>81</v>
      </c>
      <c r="Q95" s="52">
        <v>505288.77021312539</v>
      </c>
      <c r="R95" s="71">
        <v>564005.21</v>
      </c>
    </row>
    <row r="96" spans="1:18" x14ac:dyDescent="0.25">
      <c r="A96" s="66" t="s">
        <v>80</v>
      </c>
      <c r="B96" s="107" t="s">
        <v>85</v>
      </c>
      <c r="C96" s="60">
        <v>45705</v>
      </c>
      <c r="D96" s="60">
        <v>45705</v>
      </c>
      <c r="E96" s="44">
        <v>383044</v>
      </c>
      <c r="F96" s="44" t="s">
        <v>156</v>
      </c>
      <c r="G96" s="44" t="s">
        <v>157</v>
      </c>
      <c r="H96" s="44" t="s">
        <v>157</v>
      </c>
      <c r="I96" s="44"/>
      <c r="J96" s="44"/>
      <c r="K96" s="88"/>
      <c r="L96" s="44"/>
      <c r="M96" s="52">
        <v>23697.4</v>
      </c>
      <c r="N96" s="44"/>
      <c r="O96" s="59">
        <v>3791.58</v>
      </c>
      <c r="P96" s="44" t="s">
        <v>125</v>
      </c>
      <c r="Q96" s="52">
        <v>27488.98</v>
      </c>
      <c r="R96" s="71">
        <v>1269233.8700000001</v>
      </c>
    </row>
    <row r="97" spans="1:18" x14ac:dyDescent="0.25">
      <c r="A97" s="66" t="s">
        <v>80</v>
      </c>
      <c r="B97" s="107" t="s">
        <v>86</v>
      </c>
      <c r="C97" s="60">
        <v>45705</v>
      </c>
      <c r="D97" s="60">
        <v>45705</v>
      </c>
      <c r="E97" s="44">
        <v>383044</v>
      </c>
      <c r="F97" s="44" t="s">
        <v>156</v>
      </c>
      <c r="G97" s="44" t="s">
        <v>157</v>
      </c>
      <c r="H97" s="44" t="s">
        <v>157</v>
      </c>
      <c r="I97" s="44"/>
      <c r="J97" s="44"/>
      <c r="K97" s="88"/>
      <c r="L97" s="44"/>
      <c r="M97" s="52">
        <v>80.53</v>
      </c>
      <c r="N97" s="44"/>
      <c r="O97" s="59">
        <v>12.88</v>
      </c>
      <c r="P97" s="44" t="s">
        <v>125</v>
      </c>
      <c r="Q97" s="52">
        <v>93.41</v>
      </c>
      <c r="R97" s="71">
        <v>49560.480000000003</v>
      </c>
    </row>
    <row r="98" spans="1:18" x14ac:dyDescent="0.25">
      <c r="A98" s="66" t="s">
        <v>80</v>
      </c>
      <c r="B98" s="107" t="s">
        <v>121</v>
      </c>
      <c r="C98" s="60">
        <v>45705</v>
      </c>
      <c r="D98" s="60">
        <v>45705</v>
      </c>
      <c r="E98" s="44">
        <v>383044</v>
      </c>
      <c r="F98" s="44" t="s">
        <v>156</v>
      </c>
      <c r="G98" s="44" t="s">
        <v>157</v>
      </c>
      <c r="H98" s="44" t="s">
        <v>157</v>
      </c>
      <c r="I98" s="44"/>
      <c r="J98" s="44"/>
      <c r="K98" s="88"/>
      <c r="L98" s="44"/>
      <c r="M98" s="52">
        <v>19059.96</v>
      </c>
      <c r="N98" s="44"/>
      <c r="O98" s="59">
        <v>3049.59</v>
      </c>
      <c r="P98" s="44" t="s">
        <v>125</v>
      </c>
      <c r="Q98" s="52">
        <v>22109.55</v>
      </c>
      <c r="R98" s="71">
        <v>541895.66</v>
      </c>
    </row>
    <row r="99" spans="1:18" x14ac:dyDescent="0.25">
      <c r="A99" s="66" t="s">
        <v>82</v>
      </c>
      <c r="B99" s="107" t="s">
        <v>85</v>
      </c>
      <c r="C99" s="60">
        <v>45705</v>
      </c>
      <c r="D99" s="60">
        <v>45705</v>
      </c>
      <c r="E99" s="44">
        <v>383073</v>
      </c>
      <c r="F99" s="44" t="s">
        <v>124</v>
      </c>
      <c r="G99" s="44" t="s">
        <v>141</v>
      </c>
      <c r="H99" s="44">
        <v>280907</v>
      </c>
      <c r="I99" s="44">
        <v>1</v>
      </c>
      <c r="J99" s="44">
        <v>8.9499999999999993</v>
      </c>
      <c r="K99" s="61">
        <v>101.37163099999999</v>
      </c>
      <c r="L99" s="44">
        <v>12521</v>
      </c>
      <c r="M99" s="52">
        <v>1269274.1869724856</v>
      </c>
      <c r="N99" s="44"/>
      <c r="O99" s="59"/>
      <c r="P99" s="44" t="s">
        <v>125</v>
      </c>
      <c r="Q99" s="52">
        <v>1269274.1869724856</v>
      </c>
      <c r="R99" s="70">
        <v>-40.32</v>
      </c>
    </row>
    <row r="100" spans="1:18" x14ac:dyDescent="0.25">
      <c r="A100" s="66" t="s">
        <v>82</v>
      </c>
      <c r="B100" s="107" t="s">
        <v>86</v>
      </c>
      <c r="C100" s="60">
        <v>45705</v>
      </c>
      <c r="D100" s="60">
        <v>45705</v>
      </c>
      <c r="E100" s="44">
        <v>383073</v>
      </c>
      <c r="F100" s="44" t="s">
        <v>124</v>
      </c>
      <c r="G100" s="44" t="s">
        <v>141</v>
      </c>
      <c r="H100" s="44">
        <v>280907</v>
      </c>
      <c r="I100" s="44">
        <v>1</v>
      </c>
      <c r="J100" s="44">
        <v>8.9499999999999993</v>
      </c>
      <c r="K100" s="61">
        <v>101.37163099999999</v>
      </c>
      <c r="L100" s="44">
        <v>489</v>
      </c>
      <c r="M100" s="52">
        <v>49570.727372378038</v>
      </c>
      <c r="N100" s="44"/>
      <c r="O100" s="59"/>
      <c r="P100" s="44" t="s">
        <v>125</v>
      </c>
      <c r="Q100" s="52">
        <v>49570.727372378038</v>
      </c>
      <c r="R100" s="70">
        <v>-10.25</v>
      </c>
    </row>
    <row r="101" spans="1:18" x14ac:dyDescent="0.25">
      <c r="A101" s="66" t="s">
        <v>82</v>
      </c>
      <c r="B101" s="107" t="s">
        <v>121</v>
      </c>
      <c r="C101" s="60">
        <v>45705</v>
      </c>
      <c r="D101" s="60">
        <v>45705</v>
      </c>
      <c r="E101" s="44">
        <v>383073</v>
      </c>
      <c r="F101" s="44" t="s">
        <v>124</v>
      </c>
      <c r="G101" s="44" t="s">
        <v>141</v>
      </c>
      <c r="H101" s="44">
        <v>280907</v>
      </c>
      <c r="I101" s="44">
        <v>1</v>
      </c>
      <c r="J101" s="44">
        <v>8.9499999999999993</v>
      </c>
      <c r="K101" s="61">
        <v>101.37163099999999</v>
      </c>
      <c r="L101" s="44">
        <v>5345</v>
      </c>
      <c r="M101" s="52">
        <v>541831.3656551342</v>
      </c>
      <c r="N101" s="44"/>
      <c r="O101" s="59"/>
      <c r="P101" s="44" t="s">
        <v>125</v>
      </c>
      <c r="Q101" s="52">
        <v>541831.3656551342</v>
      </c>
      <c r="R101" s="70">
        <v>64.290000000000006</v>
      </c>
    </row>
    <row r="102" spans="1:18" x14ac:dyDescent="0.25">
      <c r="A102" s="66" t="s">
        <v>82</v>
      </c>
      <c r="B102" s="107" t="s">
        <v>85</v>
      </c>
      <c r="C102" s="60">
        <v>45705</v>
      </c>
      <c r="D102" s="60">
        <v>45706</v>
      </c>
      <c r="E102" s="44">
        <v>383073</v>
      </c>
      <c r="F102" s="44" t="s">
        <v>83</v>
      </c>
      <c r="G102" s="44" t="s">
        <v>141</v>
      </c>
      <c r="H102" s="44">
        <v>280907</v>
      </c>
      <c r="I102" s="44">
        <v>1</v>
      </c>
      <c r="J102" s="44">
        <v>315.55239335330992</v>
      </c>
      <c r="K102" s="61">
        <v>101.396832</v>
      </c>
      <c r="L102" s="44">
        <v>12521</v>
      </c>
      <c r="M102" s="52">
        <v>1269589.739365835</v>
      </c>
      <c r="N102" s="44"/>
      <c r="O102" s="59"/>
      <c r="P102" s="44" t="s">
        <v>81</v>
      </c>
      <c r="Q102" s="52">
        <v>1269589.739365835</v>
      </c>
      <c r="R102" s="71">
        <v>1269549.42</v>
      </c>
    </row>
    <row r="103" spans="1:18" x14ac:dyDescent="0.25">
      <c r="A103" s="66" t="s">
        <v>82</v>
      </c>
      <c r="B103" s="107" t="s">
        <v>86</v>
      </c>
      <c r="C103" s="60">
        <v>45705</v>
      </c>
      <c r="D103" s="60">
        <v>45706</v>
      </c>
      <c r="E103" s="44">
        <v>383073</v>
      </c>
      <c r="F103" s="44" t="s">
        <v>83</v>
      </c>
      <c r="G103" s="44" t="s">
        <v>141</v>
      </c>
      <c r="H103" s="44">
        <v>280907</v>
      </c>
      <c r="I103" s="44">
        <v>1</v>
      </c>
      <c r="J103" s="44">
        <v>12.32370580223373</v>
      </c>
      <c r="K103" s="61">
        <v>101.396832</v>
      </c>
      <c r="L103" s="44">
        <v>489</v>
      </c>
      <c r="M103" s="52">
        <v>49583.051078180128</v>
      </c>
      <c r="N103" s="44"/>
      <c r="O103" s="59"/>
      <c r="P103" s="44" t="s">
        <v>81</v>
      </c>
      <c r="Q103" s="52">
        <v>49583.051078180128</v>
      </c>
      <c r="R103" s="71">
        <v>49572.800000000003</v>
      </c>
    </row>
    <row r="104" spans="1:18" x14ac:dyDescent="0.25">
      <c r="A104" s="66" t="s">
        <v>82</v>
      </c>
      <c r="B104" s="107" t="s">
        <v>121</v>
      </c>
      <c r="C104" s="60">
        <v>45705</v>
      </c>
      <c r="D104" s="60">
        <v>45706</v>
      </c>
      <c r="E104" s="44">
        <v>383073</v>
      </c>
      <c r="F104" s="44" t="s">
        <v>83</v>
      </c>
      <c r="G104" s="44" t="s">
        <v>141</v>
      </c>
      <c r="H104" s="44">
        <v>280907</v>
      </c>
      <c r="I104" s="44">
        <v>1</v>
      </c>
      <c r="J104" s="44">
        <v>134.70390084445663</v>
      </c>
      <c r="K104" s="61">
        <v>101.396832</v>
      </c>
      <c r="L104" s="44">
        <v>5345</v>
      </c>
      <c r="M104" s="52">
        <v>541966.06955597701</v>
      </c>
      <c r="N104" s="44"/>
      <c r="O104" s="59"/>
      <c r="P104" s="44" t="s">
        <v>81</v>
      </c>
      <c r="Q104" s="52">
        <v>541966.06955597701</v>
      </c>
      <c r="R104" s="71">
        <v>542030.36</v>
      </c>
    </row>
    <row r="105" spans="1:18" x14ac:dyDescent="0.25">
      <c r="A105" s="66" t="s">
        <v>82</v>
      </c>
      <c r="B105" s="107" t="s">
        <v>85</v>
      </c>
      <c r="C105" s="60">
        <v>45706</v>
      </c>
      <c r="D105" s="60">
        <v>45706</v>
      </c>
      <c r="E105" s="44">
        <v>384420</v>
      </c>
      <c r="F105" s="44" t="s">
        <v>124</v>
      </c>
      <c r="G105" s="44" t="s">
        <v>141</v>
      </c>
      <c r="H105" s="44">
        <v>280907</v>
      </c>
      <c r="I105" s="44">
        <v>1</v>
      </c>
      <c r="J105" s="44">
        <v>8.9499999999999993</v>
      </c>
      <c r="K105" s="61">
        <v>101.400075</v>
      </c>
      <c r="L105" s="44">
        <v>12520</v>
      </c>
      <c r="M105" s="52">
        <v>1269528.9413533844</v>
      </c>
      <c r="N105" s="44"/>
      <c r="O105" s="59"/>
      <c r="P105" s="44" t="s">
        <v>125</v>
      </c>
      <c r="Q105" s="52">
        <v>1269528.9413533844</v>
      </c>
      <c r="R105" s="70">
        <v>20.48</v>
      </c>
    </row>
    <row r="106" spans="1:18" x14ac:dyDescent="0.25">
      <c r="A106" s="66" t="s">
        <v>82</v>
      </c>
      <c r="B106" s="107" t="s">
        <v>86</v>
      </c>
      <c r="C106" s="60">
        <v>45706</v>
      </c>
      <c r="D106" s="60">
        <v>45706</v>
      </c>
      <c r="E106" s="44">
        <v>384420</v>
      </c>
      <c r="F106" s="44" t="s">
        <v>124</v>
      </c>
      <c r="G106" s="44" t="s">
        <v>141</v>
      </c>
      <c r="H106" s="44">
        <v>280907</v>
      </c>
      <c r="I106" s="44">
        <v>1</v>
      </c>
      <c r="J106" s="44">
        <v>8.9499999999999993</v>
      </c>
      <c r="K106" s="61">
        <v>101.400075</v>
      </c>
      <c r="L106" s="44">
        <v>489</v>
      </c>
      <c r="M106" s="52">
        <v>49584.636766917327</v>
      </c>
      <c r="N106" s="44"/>
      <c r="O106" s="59"/>
      <c r="P106" s="44" t="s">
        <v>125</v>
      </c>
      <c r="Q106" s="52">
        <v>49584.636766917327</v>
      </c>
      <c r="R106" s="70">
        <v>-11.84</v>
      </c>
    </row>
    <row r="107" spans="1:18" x14ac:dyDescent="0.25">
      <c r="A107" s="66" t="s">
        <v>82</v>
      </c>
      <c r="B107" s="107" t="s">
        <v>121</v>
      </c>
      <c r="C107" s="60">
        <v>45706</v>
      </c>
      <c r="D107" s="60">
        <v>45706</v>
      </c>
      <c r="E107" s="44">
        <v>384420</v>
      </c>
      <c r="F107" s="44" t="s">
        <v>124</v>
      </c>
      <c r="G107" s="44" t="s">
        <v>141</v>
      </c>
      <c r="H107" s="44">
        <v>280907</v>
      </c>
      <c r="I107" s="44">
        <v>1</v>
      </c>
      <c r="J107" s="44">
        <v>8.9499999999999993</v>
      </c>
      <c r="K107" s="61">
        <v>101.400075</v>
      </c>
      <c r="L107" s="44">
        <v>5345</v>
      </c>
      <c r="M107" s="52">
        <v>541983.40187969967</v>
      </c>
      <c r="N107" s="44"/>
      <c r="O107" s="59"/>
      <c r="P107" s="44" t="s">
        <v>125</v>
      </c>
      <c r="Q107" s="52">
        <v>541983.40187969967</v>
      </c>
      <c r="R107" s="70">
        <v>46.96</v>
      </c>
    </row>
    <row r="108" spans="1:18" x14ac:dyDescent="0.25">
      <c r="A108" s="66" t="s">
        <v>82</v>
      </c>
      <c r="B108" s="107" t="s">
        <v>85</v>
      </c>
      <c r="C108" s="60">
        <v>45706</v>
      </c>
      <c r="D108" s="60">
        <v>45707</v>
      </c>
      <c r="E108" s="44">
        <v>384420</v>
      </c>
      <c r="F108" s="44" t="s">
        <v>83</v>
      </c>
      <c r="G108" s="44" t="s">
        <v>141</v>
      </c>
      <c r="H108" s="44">
        <v>280907</v>
      </c>
      <c r="I108" s="44">
        <v>1</v>
      </c>
      <c r="J108" s="44">
        <v>315.61259670916365</v>
      </c>
      <c r="K108" s="61">
        <v>101.425284</v>
      </c>
      <c r="L108" s="44">
        <v>12520</v>
      </c>
      <c r="M108" s="52">
        <v>1269844.5539500867</v>
      </c>
      <c r="N108" s="44"/>
      <c r="O108" s="59"/>
      <c r="P108" s="44" t="s">
        <v>81</v>
      </c>
      <c r="Q108" s="52">
        <v>1269844.5539500867</v>
      </c>
      <c r="R108" s="71">
        <v>1269865.03</v>
      </c>
    </row>
    <row r="109" spans="1:18" x14ac:dyDescent="0.25">
      <c r="A109" s="66" t="s">
        <v>82</v>
      </c>
      <c r="B109" s="107" t="s">
        <v>86</v>
      </c>
      <c r="C109" s="60">
        <v>45706</v>
      </c>
      <c r="D109" s="60">
        <v>45707</v>
      </c>
      <c r="E109" s="44">
        <v>384420</v>
      </c>
      <c r="F109" s="44" t="s">
        <v>83</v>
      </c>
      <c r="G109" s="44" t="s">
        <v>141</v>
      </c>
      <c r="H109" s="44">
        <v>280907</v>
      </c>
      <c r="I109" s="44">
        <v>1</v>
      </c>
      <c r="J109" s="44">
        <v>12.327041516835548</v>
      </c>
      <c r="K109" s="61">
        <v>101.425284</v>
      </c>
      <c r="L109" s="44">
        <v>489</v>
      </c>
      <c r="M109" s="52">
        <v>49596.963808433888</v>
      </c>
      <c r="N109" s="44"/>
      <c r="O109" s="59"/>
      <c r="P109" s="44" t="s">
        <v>81</v>
      </c>
      <c r="Q109" s="52">
        <v>49596.963808433888</v>
      </c>
      <c r="R109" s="71">
        <v>49585.120000000003</v>
      </c>
    </row>
    <row r="110" spans="1:18" x14ac:dyDescent="0.25">
      <c r="A110" s="66" t="s">
        <v>82</v>
      </c>
      <c r="B110" s="107" t="s">
        <v>121</v>
      </c>
      <c r="C110" s="60">
        <v>45706</v>
      </c>
      <c r="D110" s="60">
        <v>45707</v>
      </c>
      <c r="E110" s="44">
        <v>384420</v>
      </c>
      <c r="F110" s="44" t="s">
        <v>83</v>
      </c>
      <c r="G110" s="44" t="s">
        <v>141</v>
      </c>
      <c r="H110" s="44">
        <v>280907</v>
      </c>
      <c r="I110" s="44">
        <v>1</v>
      </c>
      <c r="J110" s="44">
        <v>134.74036177400001</v>
      </c>
      <c r="K110" s="61">
        <v>101.425284</v>
      </c>
      <c r="L110" s="44">
        <v>5345</v>
      </c>
      <c r="M110" s="52">
        <v>542118.14224147063</v>
      </c>
      <c r="N110" s="44"/>
      <c r="O110" s="59"/>
      <c r="P110" s="44" t="s">
        <v>81</v>
      </c>
      <c r="Q110" s="52">
        <v>542118.14224147063</v>
      </c>
      <c r="R110" s="71">
        <v>542165.1</v>
      </c>
    </row>
    <row r="111" spans="1:18" x14ac:dyDescent="0.25">
      <c r="A111" s="66" t="s">
        <v>82</v>
      </c>
      <c r="B111" s="107" t="s">
        <v>85</v>
      </c>
      <c r="C111" s="60">
        <v>45707</v>
      </c>
      <c r="D111" s="60">
        <v>45707</v>
      </c>
      <c r="E111" s="44">
        <v>385778</v>
      </c>
      <c r="F111" s="44" t="s">
        <v>124</v>
      </c>
      <c r="G111" s="44" t="s">
        <v>141</v>
      </c>
      <c r="H111" s="44">
        <v>280511</v>
      </c>
      <c r="I111" s="44">
        <v>1</v>
      </c>
      <c r="J111" s="44">
        <v>8.9499999999999993</v>
      </c>
      <c r="K111" s="61">
        <v>99.593889000000004</v>
      </c>
      <c r="L111" s="44">
        <v>12750</v>
      </c>
      <c r="M111" s="52">
        <v>1269822.0893965336</v>
      </c>
      <c r="N111" s="44"/>
      <c r="O111" s="59"/>
      <c r="P111" s="44" t="s">
        <v>125</v>
      </c>
      <c r="Q111" s="52">
        <v>1269822.0893965336</v>
      </c>
      <c r="R111" s="70">
        <v>42.94</v>
      </c>
    </row>
    <row r="112" spans="1:18" x14ac:dyDescent="0.25">
      <c r="A112" s="66" t="s">
        <v>82</v>
      </c>
      <c r="B112" s="107" t="s">
        <v>86</v>
      </c>
      <c r="C112" s="60">
        <v>45707</v>
      </c>
      <c r="D112" s="60">
        <v>45707</v>
      </c>
      <c r="E112" s="44">
        <v>385778</v>
      </c>
      <c r="F112" s="44" t="s">
        <v>124</v>
      </c>
      <c r="G112" s="44" t="s">
        <v>141</v>
      </c>
      <c r="H112" s="44">
        <v>280511</v>
      </c>
      <c r="I112" s="44">
        <v>1</v>
      </c>
      <c r="J112" s="44">
        <v>8.9499999999999993</v>
      </c>
      <c r="K112" s="61">
        <v>99.593889000000004</v>
      </c>
      <c r="L112" s="44">
        <v>498</v>
      </c>
      <c r="M112" s="52">
        <v>49597.756903488131</v>
      </c>
      <c r="N112" s="44"/>
      <c r="O112" s="59"/>
      <c r="P112" s="44" t="s">
        <v>125</v>
      </c>
      <c r="Q112" s="52">
        <v>49597.756903488131</v>
      </c>
      <c r="R112" s="70">
        <v>-12.64</v>
      </c>
    </row>
    <row r="113" spans="1:18" x14ac:dyDescent="0.25">
      <c r="A113" s="66" t="s">
        <v>82</v>
      </c>
      <c r="B113" s="107" t="s">
        <v>121</v>
      </c>
      <c r="C113" s="60">
        <v>45707</v>
      </c>
      <c r="D113" s="60">
        <v>45707</v>
      </c>
      <c r="E113" s="44">
        <v>385778</v>
      </c>
      <c r="F113" s="44" t="s">
        <v>124</v>
      </c>
      <c r="G113" s="44" t="s">
        <v>141</v>
      </c>
      <c r="H113" s="44">
        <v>280511</v>
      </c>
      <c r="I113" s="44">
        <v>1</v>
      </c>
      <c r="J113" s="44">
        <v>8.9499999999999993</v>
      </c>
      <c r="K113" s="61">
        <v>99.593889000000004</v>
      </c>
      <c r="L113" s="44">
        <v>5444</v>
      </c>
      <c r="M113" s="52">
        <v>542189.1336999787</v>
      </c>
      <c r="N113" s="44"/>
      <c r="O113" s="59"/>
      <c r="P113" s="44" t="s">
        <v>125</v>
      </c>
      <c r="Q113" s="52">
        <v>542189.1336999787</v>
      </c>
      <c r="R113" s="70">
        <v>-24.03</v>
      </c>
    </row>
    <row r="114" spans="1:18" x14ac:dyDescent="0.25">
      <c r="A114" s="66" t="s">
        <v>82</v>
      </c>
      <c r="B114" s="107" t="s">
        <v>85</v>
      </c>
      <c r="C114" s="60">
        <v>45707</v>
      </c>
      <c r="D114" s="60">
        <v>45708</v>
      </c>
      <c r="E114" s="44">
        <v>385778</v>
      </c>
      <c r="F114" s="44" t="s">
        <v>83</v>
      </c>
      <c r="G114" s="44" t="s">
        <v>141</v>
      </c>
      <c r="H114" s="44">
        <v>280511</v>
      </c>
      <c r="I114" s="44">
        <v>1</v>
      </c>
      <c r="J114" s="44">
        <v>315.68732612882468</v>
      </c>
      <c r="K114" s="61">
        <v>99.618649000000005</v>
      </c>
      <c r="L114" s="44">
        <v>12750</v>
      </c>
      <c r="M114" s="52">
        <v>1270137.7767226622</v>
      </c>
      <c r="N114" s="44"/>
      <c r="O114" s="59"/>
      <c r="P114" s="44" t="s">
        <v>81</v>
      </c>
      <c r="Q114" s="52">
        <v>1270137.7767226622</v>
      </c>
      <c r="R114" s="71">
        <v>1270180.72</v>
      </c>
    </row>
    <row r="115" spans="1:18" x14ac:dyDescent="0.25">
      <c r="A115" s="66" t="s">
        <v>82</v>
      </c>
      <c r="B115" s="107" t="s">
        <v>86</v>
      </c>
      <c r="C115" s="60">
        <v>45707</v>
      </c>
      <c r="D115" s="60">
        <v>45708</v>
      </c>
      <c r="E115" s="44">
        <v>385778</v>
      </c>
      <c r="F115" s="44" t="s">
        <v>83</v>
      </c>
      <c r="G115" s="44" t="s">
        <v>141</v>
      </c>
      <c r="H115" s="44">
        <v>280511</v>
      </c>
      <c r="I115" s="44">
        <v>1</v>
      </c>
      <c r="J115" s="44">
        <v>12.330375561737622</v>
      </c>
      <c r="K115" s="61">
        <v>99.618649000000005</v>
      </c>
      <c r="L115" s="44">
        <v>498</v>
      </c>
      <c r="M115" s="52">
        <v>49610.087279049862</v>
      </c>
      <c r="N115" s="44"/>
      <c r="O115" s="59"/>
      <c r="P115" s="44" t="s">
        <v>81</v>
      </c>
      <c r="Q115" s="52">
        <v>49610.087279049862</v>
      </c>
      <c r="R115" s="71">
        <v>49597.45</v>
      </c>
    </row>
    <row r="116" spans="1:18" x14ac:dyDescent="0.25">
      <c r="A116" s="66" t="s">
        <v>82</v>
      </c>
      <c r="B116" s="107" t="s">
        <v>121</v>
      </c>
      <c r="C116" s="60">
        <v>45707</v>
      </c>
      <c r="D116" s="60">
        <v>45708</v>
      </c>
      <c r="E116" s="44">
        <v>385778</v>
      </c>
      <c r="F116" s="44" t="s">
        <v>83</v>
      </c>
      <c r="G116" s="44" t="s">
        <v>141</v>
      </c>
      <c r="H116" s="44">
        <v>280511</v>
      </c>
      <c r="I116" s="44">
        <v>1</v>
      </c>
      <c r="J116" s="44">
        <v>134.79229830943697</v>
      </c>
      <c r="K116" s="61">
        <v>99.618649000000005</v>
      </c>
      <c r="L116" s="44">
        <v>5444</v>
      </c>
      <c r="M116" s="52">
        <v>542323.92599828809</v>
      </c>
      <c r="N116" s="44"/>
      <c r="O116" s="59"/>
      <c r="P116" s="44" t="s">
        <v>81</v>
      </c>
      <c r="Q116" s="52">
        <v>542323.92599828809</v>
      </c>
      <c r="R116" s="71">
        <v>542299.9</v>
      </c>
    </row>
    <row r="117" spans="1:18" x14ac:dyDescent="0.25">
      <c r="A117" s="66" t="s">
        <v>82</v>
      </c>
      <c r="B117" s="107" t="s">
        <v>85</v>
      </c>
      <c r="C117" s="60">
        <v>45708</v>
      </c>
      <c r="D117" s="60">
        <v>45708</v>
      </c>
      <c r="E117" s="44">
        <v>387116</v>
      </c>
      <c r="F117" s="44" t="s">
        <v>124</v>
      </c>
      <c r="G117" s="44" t="s">
        <v>141</v>
      </c>
      <c r="H117" s="44">
        <v>280907</v>
      </c>
      <c r="I117" s="44">
        <v>1</v>
      </c>
      <c r="J117" s="44">
        <v>8.9499999999999993</v>
      </c>
      <c r="K117" s="61">
        <v>101.456964</v>
      </c>
      <c r="L117" s="44">
        <v>12519</v>
      </c>
      <c r="M117" s="52">
        <v>1270139.7321168226</v>
      </c>
      <c r="N117" s="44"/>
      <c r="O117" s="59"/>
      <c r="P117" s="44" t="s">
        <v>125</v>
      </c>
      <c r="Q117" s="52">
        <v>1270139.7321168226</v>
      </c>
      <c r="R117" s="70">
        <v>40.99</v>
      </c>
    </row>
    <row r="118" spans="1:18" x14ac:dyDescent="0.25">
      <c r="A118" s="66" t="s">
        <v>82</v>
      </c>
      <c r="B118" s="107" t="s">
        <v>86</v>
      </c>
      <c r="C118" s="60">
        <v>45708</v>
      </c>
      <c r="D118" s="60">
        <v>45708</v>
      </c>
      <c r="E118" s="44">
        <v>387116</v>
      </c>
      <c r="F118" s="44" t="s">
        <v>124</v>
      </c>
      <c r="G118" s="44" t="s">
        <v>141</v>
      </c>
      <c r="H118" s="44">
        <v>280907</v>
      </c>
      <c r="I118" s="44">
        <v>1</v>
      </c>
      <c r="J118" s="44">
        <v>8.9499999999999993</v>
      </c>
      <c r="K118" s="61">
        <v>101.456964</v>
      </c>
      <c r="L118" s="44">
        <v>489</v>
      </c>
      <c r="M118" s="52">
        <v>49612.455388220013</v>
      </c>
      <c r="N118" s="44"/>
      <c r="O118" s="59"/>
      <c r="P118" s="44" t="s">
        <v>125</v>
      </c>
      <c r="Q118" s="52">
        <v>49612.455388220013</v>
      </c>
      <c r="R118" s="70">
        <v>-15.01</v>
      </c>
    </row>
    <row r="119" spans="1:18" x14ac:dyDescent="0.25">
      <c r="A119" s="66" t="s">
        <v>82</v>
      </c>
      <c r="B119" s="107" t="s">
        <v>121</v>
      </c>
      <c r="C119" s="60">
        <v>45708</v>
      </c>
      <c r="D119" s="60">
        <v>45708</v>
      </c>
      <c r="E119" s="44">
        <v>387116</v>
      </c>
      <c r="F119" s="44" t="s">
        <v>124</v>
      </c>
      <c r="G119" s="44" t="s">
        <v>141</v>
      </c>
      <c r="H119" s="44">
        <v>280907</v>
      </c>
      <c r="I119" s="44">
        <v>1</v>
      </c>
      <c r="J119" s="44">
        <v>8.9499999999999993</v>
      </c>
      <c r="K119" s="61">
        <v>101.456964</v>
      </c>
      <c r="L119" s="44">
        <v>5345</v>
      </c>
      <c r="M119" s="52">
        <v>542287.472494961</v>
      </c>
      <c r="N119" s="44"/>
      <c r="O119" s="59"/>
      <c r="P119" s="44" t="s">
        <v>125</v>
      </c>
      <c r="Q119" s="52">
        <v>542287.472494961</v>
      </c>
      <c r="R119" s="70">
        <v>12.43</v>
      </c>
    </row>
    <row r="120" spans="1:18" x14ac:dyDescent="0.25">
      <c r="A120" s="66" t="s">
        <v>82</v>
      </c>
      <c r="B120" s="107" t="s">
        <v>85</v>
      </c>
      <c r="C120" s="60">
        <v>45708</v>
      </c>
      <c r="D120" s="60">
        <v>45709</v>
      </c>
      <c r="E120" s="44">
        <v>387116</v>
      </c>
      <c r="F120" s="44" t="s">
        <v>83</v>
      </c>
      <c r="G120" s="44" t="s">
        <v>141</v>
      </c>
      <c r="H120" s="44">
        <v>280907</v>
      </c>
      <c r="I120" s="44">
        <v>1</v>
      </c>
      <c r="J120" s="44">
        <v>315.76829292213858</v>
      </c>
      <c r="K120" s="61">
        <v>101.482187</v>
      </c>
      <c r="L120" s="44">
        <v>12519</v>
      </c>
      <c r="M120" s="52">
        <v>1270455.5004097468</v>
      </c>
      <c r="N120" s="44"/>
      <c r="O120" s="59"/>
      <c r="P120" s="44" t="s">
        <v>81</v>
      </c>
      <c r="Q120" s="52">
        <v>1270455.5004097468</v>
      </c>
      <c r="R120" s="71">
        <v>1270496.49</v>
      </c>
    </row>
    <row r="121" spans="1:18" x14ac:dyDescent="0.25">
      <c r="A121" s="66" t="s">
        <v>82</v>
      </c>
      <c r="B121" s="107" t="s">
        <v>86</v>
      </c>
      <c r="C121" s="60">
        <v>45708</v>
      </c>
      <c r="D121" s="60">
        <v>45709</v>
      </c>
      <c r="E121" s="44">
        <v>387116</v>
      </c>
      <c r="F121" s="44" t="s">
        <v>83</v>
      </c>
      <c r="G121" s="44" t="s">
        <v>141</v>
      </c>
      <c r="H121" s="44">
        <v>280907</v>
      </c>
      <c r="I121" s="44">
        <v>1</v>
      </c>
      <c r="J121" s="44">
        <v>12.334107775295612</v>
      </c>
      <c r="K121" s="61">
        <v>101.482187</v>
      </c>
      <c r="L121" s="44">
        <v>489</v>
      </c>
      <c r="M121" s="52">
        <v>49624.789495995377</v>
      </c>
      <c r="N121" s="44"/>
      <c r="O121" s="59"/>
      <c r="P121" s="44" t="s">
        <v>81</v>
      </c>
      <c r="Q121" s="52">
        <v>49624.789495995377</v>
      </c>
      <c r="R121" s="71">
        <v>49609.78</v>
      </c>
    </row>
    <row r="122" spans="1:18" x14ac:dyDescent="0.25">
      <c r="A122" s="66" t="s">
        <v>82</v>
      </c>
      <c r="B122" s="107" t="s">
        <v>121</v>
      </c>
      <c r="C122" s="60">
        <v>45708</v>
      </c>
      <c r="D122" s="60">
        <v>45709</v>
      </c>
      <c r="E122" s="44">
        <v>387116</v>
      </c>
      <c r="F122" s="44" t="s">
        <v>83</v>
      </c>
      <c r="G122" s="44" t="s">
        <v>141</v>
      </c>
      <c r="H122" s="44">
        <v>280907</v>
      </c>
      <c r="I122" s="44">
        <v>1</v>
      </c>
      <c r="J122" s="44">
        <v>134.81759930256655</v>
      </c>
      <c r="K122" s="61">
        <v>101.482187</v>
      </c>
      <c r="L122" s="44">
        <v>5345</v>
      </c>
      <c r="M122" s="52">
        <v>542422.29009426443</v>
      </c>
      <c r="N122" s="44"/>
      <c r="O122" s="59"/>
      <c r="P122" s="44" t="s">
        <v>81</v>
      </c>
      <c r="Q122" s="52">
        <v>542422.29009426443</v>
      </c>
      <c r="R122" s="71">
        <v>542434.72</v>
      </c>
    </row>
    <row r="123" spans="1:18" x14ac:dyDescent="0.25">
      <c r="A123" s="66" t="s">
        <v>82</v>
      </c>
      <c r="B123" s="107" t="s">
        <v>85</v>
      </c>
      <c r="C123" s="60">
        <v>45709</v>
      </c>
      <c r="D123" s="60">
        <v>45709</v>
      </c>
      <c r="E123" s="44">
        <v>388542</v>
      </c>
      <c r="F123" s="44" t="s">
        <v>124</v>
      </c>
      <c r="G123" s="44" t="s">
        <v>141</v>
      </c>
      <c r="H123" s="44">
        <v>280907</v>
      </c>
      <c r="I123" s="44">
        <v>3</v>
      </c>
      <c r="J123" s="44">
        <v>8.9499999999999993</v>
      </c>
      <c r="K123" s="61">
        <v>101.48540800000001</v>
      </c>
      <c r="L123" s="44">
        <v>12519</v>
      </c>
      <c r="M123" s="52">
        <v>1270495.8243782681</v>
      </c>
      <c r="N123" s="44"/>
      <c r="O123" s="59"/>
      <c r="P123" s="44" t="s">
        <v>125</v>
      </c>
      <c r="Q123" s="52">
        <v>1270495.8243782681</v>
      </c>
      <c r="R123" s="70">
        <v>0.67</v>
      </c>
    </row>
    <row r="124" spans="1:18" x14ac:dyDescent="0.25">
      <c r="A124" s="66" t="s">
        <v>82</v>
      </c>
      <c r="B124" s="107" t="s">
        <v>86</v>
      </c>
      <c r="C124" s="60">
        <v>45709</v>
      </c>
      <c r="D124" s="60">
        <v>45709</v>
      </c>
      <c r="E124" s="44">
        <v>388542</v>
      </c>
      <c r="F124" s="44" t="s">
        <v>124</v>
      </c>
      <c r="G124" s="44" t="s">
        <v>141</v>
      </c>
      <c r="H124" s="44">
        <v>280907</v>
      </c>
      <c r="I124" s="44">
        <v>3</v>
      </c>
      <c r="J124" s="44">
        <v>8.9499999999999993</v>
      </c>
      <c r="K124" s="61">
        <v>101.48540800000001</v>
      </c>
      <c r="L124" s="44">
        <v>489</v>
      </c>
      <c r="M124" s="52">
        <v>49626.364575523054</v>
      </c>
      <c r="N124" s="44"/>
      <c r="O124" s="59"/>
      <c r="P124" s="44" t="s">
        <v>125</v>
      </c>
      <c r="Q124" s="52">
        <v>49626.364575523054</v>
      </c>
      <c r="R124" s="70">
        <v>-16.579999999999998</v>
      </c>
    </row>
    <row r="125" spans="1:18" x14ac:dyDescent="0.25">
      <c r="A125" s="66" t="s">
        <v>82</v>
      </c>
      <c r="B125" s="107" t="s">
        <v>121</v>
      </c>
      <c r="C125" s="60">
        <v>45709</v>
      </c>
      <c r="D125" s="60">
        <v>45709</v>
      </c>
      <c r="E125" s="44">
        <v>388542</v>
      </c>
      <c r="F125" s="44" t="s">
        <v>124</v>
      </c>
      <c r="G125" s="44" t="s">
        <v>141</v>
      </c>
      <c r="H125" s="44">
        <v>280907</v>
      </c>
      <c r="I125" s="44">
        <v>3</v>
      </c>
      <c r="J125" s="44">
        <v>8.9499999999999993</v>
      </c>
      <c r="K125" s="61">
        <v>101.48540800000001</v>
      </c>
      <c r="L125" s="44">
        <v>5344</v>
      </c>
      <c r="M125" s="52">
        <v>542338.02104620694</v>
      </c>
      <c r="N125" s="44"/>
      <c r="O125" s="59"/>
      <c r="P125" s="44" t="s">
        <v>125</v>
      </c>
      <c r="Q125" s="52">
        <v>542338.02104620694</v>
      </c>
      <c r="R125" s="70">
        <v>96.7</v>
      </c>
    </row>
    <row r="126" spans="1:18" x14ac:dyDescent="0.25">
      <c r="A126" s="66" t="s">
        <v>82</v>
      </c>
      <c r="B126" s="107" t="s">
        <v>85</v>
      </c>
      <c r="C126" s="60">
        <v>45709</v>
      </c>
      <c r="D126" s="60">
        <v>45712</v>
      </c>
      <c r="E126" s="44">
        <v>388542</v>
      </c>
      <c r="F126" s="44" t="s">
        <v>83</v>
      </c>
      <c r="G126" s="44" t="s">
        <v>141</v>
      </c>
      <c r="H126" s="44">
        <v>280907</v>
      </c>
      <c r="I126" s="44">
        <v>3</v>
      </c>
      <c r="J126" s="52">
        <v>947.57478857890123</v>
      </c>
      <c r="K126" s="61">
        <v>101.561099</v>
      </c>
      <c r="L126" s="44">
        <v>12519</v>
      </c>
      <c r="M126" s="52">
        <v>1271443.3991668427</v>
      </c>
      <c r="N126" s="44"/>
      <c r="O126" s="59"/>
      <c r="P126" s="44" t="s">
        <v>81</v>
      </c>
      <c r="Q126" s="52">
        <v>1271443.3991668427</v>
      </c>
      <c r="R126" s="71">
        <v>1271444.07</v>
      </c>
    </row>
    <row r="127" spans="1:18" x14ac:dyDescent="0.25">
      <c r="A127" s="66" t="s">
        <v>82</v>
      </c>
      <c r="B127" s="107" t="s">
        <v>86</v>
      </c>
      <c r="C127" s="60">
        <v>45709</v>
      </c>
      <c r="D127" s="60">
        <v>45712</v>
      </c>
      <c r="E127" s="44">
        <v>388542</v>
      </c>
      <c r="F127" s="44" t="s">
        <v>83</v>
      </c>
      <c r="G127" s="44" t="s">
        <v>141</v>
      </c>
      <c r="H127" s="44">
        <v>280907</v>
      </c>
      <c r="I127" s="44">
        <v>3</v>
      </c>
      <c r="J127" s="52">
        <v>37.012866172624221</v>
      </c>
      <c r="K127" s="61">
        <v>101.561099</v>
      </c>
      <c r="L127" s="44">
        <v>489</v>
      </c>
      <c r="M127" s="52">
        <v>49663.377441695506</v>
      </c>
      <c r="N127" s="44"/>
      <c r="O127" s="59"/>
      <c r="P127" s="44" t="s">
        <v>81</v>
      </c>
      <c r="Q127" s="52">
        <v>49663.377441695506</v>
      </c>
      <c r="R127" s="71">
        <v>49646.8</v>
      </c>
    </row>
    <row r="128" spans="1:18" x14ac:dyDescent="0.25">
      <c r="A128" s="66" t="s">
        <v>82</v>
      </c>
      <c r="B128" s="107" t="s">
        <v>121</v>
      </c>
      <c r="C128" s="60">
        <v>45709</v>
      </c>
      <c r="D128" s="60">
        <v>45712</v>
      </c>
      <c r="E128" s="44">
        <v>388542</v>
      </c>
      <c r="F128" s="44" t="s">
        <v>83</v>
      </c>
      <c r="G128" s="44" t="s">
        <v>141</v>
      </c>
      <c r="H128" s="44">
        <v>280907</v>
      </c>
      <c r="I128" s="44">
        <v>3</v>
      </c>
      <c r="J128" s="52">
        <v>404.49234524847418</v>
      </c>
      <c r="K128" s="61">
        <v>101.561099</v>
      </c>
      <c r="L128" s="44">
        <v>5344</v>
      </c>
      <c r="M128" s="52">
        <v>542742.51339145354</v>
      </c>
      <c r="N128" s="44"/>
      <c r="O128" s="59"/>
      <c r="P128" s="44" t="s">
        <v>81</v>
      </c>
      <c r="Q128" s="52">
        <v>542742.51339145354</v>
      </c>
      <c r="R128" s="71">
        <v>542839.21</v>
      </c>
    </row>
    <row r="129" spans="1:18" x14ac:dyDescent="0.25">
      <c r="A129" s="66" t="s">
        <v>82</v>
      </c>
      <c r="B129" s="107" t="s">
        <v>85</v>
      </c>
      <c r="C129" s="60">
        <v>45712</v>
      </c>
      <c r="D129" s="60">
        <v>45712</v>
      </c>
      <c r="E129" s="44">
        <v>389922</v>
      </c>
      <c r="F129" s="44" t="s">
        <v>124</v>
      </c>
      <c r="G129" s="44" t="s">
        <v>141</v>
      </c>
      <c r="H129" s="44">
        <v>280907</v>
      </c>
      <c r="I129" s="44">
        <v>1</v>
      </c>
      <c r="J129" s="44">
        <v>8.9499999999999993</v>
      </c>
      <c r="K129" s="61">
        <v>101.570742</v>
      </c>
      <c r="L129" s="44">
        <v>12518</v>
      </c>
      <c r="M129" s="52">
        <v>1271462.5439616311</v>
      </c>
      <c r="N129" s="44"/>
      <c r="O129" s="59"/>
      <c r="P129" s="44" t="s">
        <v>125</v>
      </c>
      <c r="Q129" s="52">
        <v>1271462.5439616311</v>
      </c>
      <c r="R129" s="70">
        <v>-18.47</v>
      </c>
    </row>
    <row r="130" spans="1:18" x14ac:dyDescent="0.25">
      <c r="A130" s="66" t="s">
        <v>82</v>
      </c>
      <c r="B130" s="107" t="s">
        <v>86</v>
      </c>
      <c r="C130" s="60">
        <v>45712</v>
      </c>
      <c r="D130" s="60">
        <v>45712</v>
      </c>
      <c r="E130" s="44">
        <v>389922</v>
      </c>
      <c r="F130" s="44" t="s">
        <v>124</v>
      </c>
      <c r="G130" s="44" t="s">
        <v>141</v>
      </c>
      <c r="H130" s="44">
        <v>280907</v>
      </c>
      <c r="I130" s="44">
        <v>1</v>
      </c>
      <c r="J130" s="44">
        <v>8.9499999999999993</v>
      </c>
      <c r="K130" s="61">
        <v>101.570742</v>
      </c>
      <c r="L130" s="44">
        <v>489</v>
      </c>
      <c r="M130" s="52">
        <v>49668.092666339486</v>
      </c>
      <c r="N130" s="44"/>
      <c r="O130" s="59"/>
      <c r="P130" s="44" t="s">
        <v>125</v>
      </c>
      <c r="Q130" s="52">
        <v>49668.092666339486</v>
      </c>
      <c r="R130" s="70">
        <v>-21.29</v>
      </c>
    </row>
    <row r="131" spans="1:18" x14ac:dyDescent="0.25">
      <c r="A131" s="66" t="s">
        <v>82</v>
      </c>
      <c r="B131" s="107" t="s">
        <v>121</v>
      </c>
      <c r="C131" s="60">
        <v>45712</v>
      </c>
      <c r="D131" s="60">
        <v>45712</v>
      </c>
      <c r="E131" s="44">
        <v>389922</v>
      </c>
      <c r="F131" s="44" t="s">
        <v>124</v>
      </c>
      <c r="G131" s="44" t="s">
        <v>141</v>
      </c>
      <c r="H131" s="44">
        <v>280907</v>
      </c>
      <c r="I131" s="44">
        <v>1</v>
      </c>
      <c r="J131" s="44">
        <v>8.9499999999999993</v>
      </c>
      <c r="K131" s="61">
        <v>101.570742</v>
      </c>
      <c r="L131" s="44">
        <v>5344</v>
      </c>
      <c r="M131" s="52">
        <v>542794.04337202082</v>
      </c>
      <c r="N131" s="44"/>
      <c r="O131" s="59"/>
      <c r="P131" s="44" t="s">
        <v>125</v>
      </c>
      <c r="Q131" s="52">
        <v>542794.04337202082</v>
      </c>
      <c r="R131" s="70">
        <v>45.17</v>
      </c>
    </row>
    <row r="132" spans="1:18" x14ac:dyDescent="0.25">
      <c r="A132" s="66" t="s">
        <v>82</v>
      </c>
      <c r="B132" s="107" t="s">
        <v>85</v>
      </c>
      <c r="C132" s="60">
        <v>45712</v>
      </c>
      <c r="D132" s="60">
        <v>45713</v>
      </c>
      <c r="E132" s="44">
        <v>389922</v>
      </c>
      <c r="F132" s="44" t="s">
        <v>83</v>
      </c>
      <c r="G132" s="44" t="s">
        <v>141</v>
      </c>
      <c r="H132" s="44">
        <v>280907</v>
      </c>
      <c r="I132" s="44">
        <v>1</v>
      </c>
      <c r="J132" s="44">
        <v>316.09808838755362</v>
      </c>
      <c r="K132" s="61">
        <v>101.59599300000001</v>
      </c>
      <c r="L132" s="44">
        <v>12518</v>
      </c>
      <c r="M132" s="52">
        <v>1271778.6420500225</v>
      </c>
      <c r="N132" s="44"/>
      <c r="O132" s="59"/>
      <c r="P132" s="44" t="s">
        <v>81</v>
      </c>
      <c r="Q132" s="52">
        <v>1271778.6420500225</v>
      </c>
      <c r="R132" s="71">
        <v>1271760.17</v>
      </c>
    </row>
    <row r="133" spans="1:18" x14ac:dyDescent="0.25">
      <c r="A133" s="66" t="s">
        <v>82</v>
      </c>
      <c r="B133" s="107" t="s">
        <v>86</v>
      </c>
      <c r="C133" s="60">
        <v>45712</v>
      </c>
      <c r="D133" s="60">
        <v>45713</v>
      </c>
      <c r="E133" s="44">
        <v>389922</v>
      </c>
      <c r="F133" s="44" t="s">
        <v>83</v>
      </c>
      <c r="G133" s="44" t="s">
        <v>141</v>
      </c>
      <c r="H133" s="44">
        <v>280907</v>
      </c>
      <c r="I133" s="44">
        <v>1</v>
      </c>
      <c r="J133" s="44">
        <v>12.347976132090887</v>
      </c>
      <c r="K133" s="61">
        <v>101.59599300000001</v>
      </c>
      <c r="L133" s="44">
        <v>489</v>
      </c>
      <c r="M133" s="52">
        <v>49680.440642471724</v>
      </c>
      <c r="N133" s="44"/>
      <c r="O133" s="59"/>
      <c r="P133" s="44" t="s">
        <v>81</v>
      </c>
      <c r="Q133" s="52">
        <v>49680.440642471724</v>
      </c>
      <c r="R133" s="71">
        <v>49659.15</v>
      </c>
    </row>
    <row r="134" spans="1:18" x14ac:dyDescent="0.25">
      <c r="A134" s="66" t="s">
        <v>82</v>
      </c>
      <c r="B134" s="107" t="s">
        <v>121</v>
      </c>
      <c r="C134" s="60">
        <v>45712</v>
      </c>
      <c r="D134" s="60">
        <v>45713</v>
      </c>
      <c r="E134" s="44">
        <v>389922</v>
      </c>
      <c r="F134" s="44" t="s">
        <v>83</v>
      </c>
      <c r="G134" s="44" t="s">
        <v>141</v>
      </c>
      <c r="H134" s="44">
        <v>280907</v>
      </c>
      <c r="I134" s="44">
        <v>1</v>
      </c>
      <c r="J134" s="44">
        <v>134.94393548035524</v>
      </c>
      <c r="K134" s="61">
        <v>101.59599300000001</v>
      </c>
      <c r="L134" s="44">
        <v>5344</v>
      </c>
      <c r="M134" s="52">
        <v>542928.98730750289</v>
      </c>
      <c r="N134" s="44"/>
      <c r="O134" s="59"/>
      <c r="P134" s="44" t="s">
        <v>81</v>
      </c>
      <c r="Q134" s="52">
        <v>542928.98730750289</v>
      </c>
      <c r="R134" s="71">
        <v>542974.16</v>
      </c>
    </row>
    <row r="135" spans="1:18" x14ac:dyDescent="0.25">
      <c r="A135" s="66" t="s">
        <v>82</v>
      </c>
      <c r="B135" s="107" t="s">
        <v>85</v>
      </c>
      <c r="C135" s="60">
        <v>45713</v>
      </c>
      <c r="D135" s="60">
        <v>45713</v>
      </c>
      <c r="E135" s="44">
        <v>391236</v>
      </c>
      <c r="F135" s="44" t="s">
        <v>124</v>
      </c>
      <c r="G135" s="44" t="s">
        <v>141</v>
      </c>
      <c r="H135" s="44">
        <v>280907</v>
      </c>
      <c r="I135" s="44">
        <v>1</v>
      </c>
      <c r="J135" s="44">
        <v>8.9499999999999993</v>
      </c>
      <c r="K135" s="61">
        <v>101.599186</v>
      </c>
      <c r="L135" s="44">
        <v>12517</v>
      </c>
      <c r="M135" s="52">
        <v>1271717.0090474156</v>
      </c>
      <c r="N135" s="44"/>
      <c r="O135" s="59"/>
      <c r="P135" s="44" t="s">
        <v>125</v>
      </c>
      <c r="Q135" s="52">
        <v>1271717.0090474156</v>
      </c>
      <c r="R135" s="70">
        <v>43.16</v>
      </c>
    </row>
    <row r="136" spans="1:18" x14ac:dyDescent="0.25">
      <c r="A136" s="66" t="s">
        <v>82</v>
      </c>
      <c r="B136" s="107" t="s">
        <v>86</v>
      </c>
      <c r="C136" s="60">
        <v>45713</v>
      </c>
      <c r="D136" s="60">
        <v>45713</v>
      </c>
      <c r="E136" s="44">
        <v>391236</v>
      </c>
      <c r="F136" s="44" t="s">
        <v>124</v>
      </c>
      <c r="G136" s="44" t="s">
        <v>141</v>
      </c>
      <c r="H136" s="44">
        <v>280907</v>
      </c>
      <c r="I136" s="44">
        <v>1</v>
      </c>
      <c r="J136" s="44">
        <v>8.9499999999999993</v>
      </c>
      <c r="K136" s="61">
        <v>101.599186</v>
      </c>
      <c r="L136" s="44">
        <v>489</v>
      </c>
      <c r="M136" s="52">
        <v>49682.00187138981</v>
      </c>
      <c r="N136" s="44"/>
      <c r="O136" s="59"/>
      <c r="P136" s="44" t="s">
        <v>125</v>
      </c>
      <c r="Q136" s="52">
        <v>49682.00187138981</v>
      </c>
      <c r="R136" s="70">
        <v>-22.85</v>
      </c>
    </row>
    <row r="137" spans="1:18" x14ac:dyDescent="0.25">
      <c r="A137" s="66" t="s">
        <v>82</v>
      </c>
      <c r="B137" s="107" t="s">
        <v>121</v>
      </c>
      <c r="C137" s="60">
        <v>45713</v>
      </c>
      <c r="D137" s="60">
        <v>45713</v>
      </c>
      <c r="E137" s="44">
        <v>391236</v>
      </c>
      <c r="F137" s="44" t="s">
        <v>124</v>
      </c>
      <c r="G137" s="44" t="s">
        <v>141</v>
      </c>
      <c r="H137" s="44">
        <v>280907</v>
      </c>
      <c r="I137" s="44">
        <v>1</v>
      </c>
      <c r="J137" s="44">
        <v>8.9499999999999993</v>
      </c>
      <c r="K137" s="61">
        <v>101.599186</v>
      </c>
      <c r="L137" s="44">
        <v>5344</v>
      </c>
      <c r="M137" s="52">
        <v>542946.04908120062</v>
      </c>
      <c r="N137" s="44"/>
      <c r="O137" s="59"/>
      <c r="P137" s="44" t="s">
        <v>125</v>
      </c>
      <c r="Q137" s="52">
        <v>542946.04908120062</v>
      </c>
      <c r="R137" s="70">
        <v>28.11</v>
      </c>
    </row>
    <row r="138" spans="1:18" x14ac:dyDescent="0.25">
      <c r="A138" s="66" t="s">
        <v>82</v>
      </c>
      <c r="B138" s="107" t="s">
        <v>85</v>
      </c>
      <c r="C138" s="60">
        <v>45713</v>
      </c>
      <c r="D138" s="60">
        <v>45714</v>
      </c>
      <c r="E138" s="44">
        <v>391236</v>
      </c>
      <c r="F138" s="44" t="s">
        <v>83</v>
      </c>
      <c r="G138" s="44" t="s">
        <v>141</v>
      </c>
      <c r="H138" s="44">
        <v>280907</v>
      </c>
      <c r="I138" s="44">
        <v>1</v>
      </c>
      <c r="J138" s="44">
        <v>316.1582741144415</v>
      </c>
      <c r="K138" s="61">
        <v>101.624444</v>
      </c>
      <c r="L138" s="44">
        <v>12517</v>
      </c>
      <c r="M138" s="52">
        <v>1272033.1673215211</v>
      </c>
      <c r="N138" s="44"/>
      <c r="O138" s="59"/>
      <c r="P138" s="44" t="s">
        <v>81</v>
      </c>
      <c r="Q138" s="52">
        <v>1272033.1673215211</v>
      </c>
      <c r="R138" s="71">
        <v>1272076.33</v>
      </c>
    </row>
    <row r="139" spans="1:18" x14ac:dyDescent="0.25">
      <c r="A139" s="66" t="s">
        <v>82</v>
      </c>
      <c r="B139" s="107" t="s">
        <v>86</v>
      </c>
      <c r="C139" s="60">
        <v>45713</v>
      </c>
      <c r="D139" s="60">
        <v>45714</v>
      </c>
      <c r="E139" s="44">
        <v>391236</v>
      </c>
      <c r="F139" s="44" t="s">
        <v>83</v>
      </c>
      <c r="G139" s="44" t="s">
        <v>141</v>
      </c>
      <c r="H139" s="44">
        <v>280907</v>
      </c>
      <c r="I139" s="44">
        <v>1</v>
      </c>
      <c r="J139" s="44">
        <v>12.351313896457768</v>
      </c>
      <c r="K139" s="61">
        <v>101.624444</v>
      </c>
      <c r="L139" s="44">
        <v>489</v>
      </c>
      <c r="M139" s="52">
        <v>49694.353185285923</v>
      </c>
      <c r="N139" s="44"/>
      <c r="O139" s="59"/>
      <c r="P139" s="44" t="s">
        <v>81</v>
      </c>
      <c r="Q139" s="52">
        <v>49694.353185285923</v>
      </c>
      <c r="R139" s="71">
        <v>49671.5</v>
      </c>
    </row>
    <row r="140" spans="1:18" x14ac:dyDescent="0.25">
      <c r="A140" s="66" t="s">
        <v>82</v>
      </c>
      <c r="B140" s="107" t="s">
        <v>121</v>
      </c>
      <c r="C140" s="60">
        <v>45713</v>
      </c>
      <c r="D140" s="60">
        <v>45714</v>
      </c>
      <c r="E140" s="44">
        <v>391236</v>
      </c>
      <c r="F140" s="44" t="s">
        <v>83</v>
      </c>
      <c r="G140" s="44" t="s">
        <v>141</v>
      </c>
      <c r="H140" s="44">
        <v>280907</v>
      </c>
      <c r="I140" s="44">
        <v>1</v>
      </c>
      <c r="J140" s="44">
        <v>134.98041198910084</v>
      </c>
      <c r="K140" s="61">
        <v>101.624444</v>
      </c>
      <c r="L140" s="44">
        <v>5344</v>
      </c>
      <c r="M140" s="52">
        <v>543081.02949318604</v>
      </c>
      <c r="N140" s="44"/>
      <c r="O140" s="59"/>
      <c r="P140" s="44" t="s">
        <v>81</v>
      </c>
      <c r="Q140" s="52">
        <v>543081.02949318604</v>
      </c>
      <c r="R140" s="71">
        <v>543109.14</v>
      </c>
    </row>
    <row r="141" spans="1:18" x14ac:dyDescent="0.25">
      <c r="A141" s="66" t="s">
        <v>82</v>
      </c>
      <c r="B141" s="107" t="s">
        <v>85</v>
      </c>
      <c r="C141" s="60">
        <v>45714</v>
      </c>
      <c r="D141" s="60">
        <v>45714</v>
      </c>
      <c r="E141" s="44">
        <v>392551</v>
      </c>
      <c r="F141" s="44" t="s">
        <v>124</v>
      </c>
      <c r="G141" s="44" t="s">
        <v>141</v>
      </c>
      <c r="H141" s="44">
        <v>280907</v>
      </c>
      <c r="I141" s="44">
        <v>1</v>
      </c>
      <c r="J141" s="44">
        <v>8.9499999999999993</v>
      </c>
      <c r="K141" s="61">
        <v>101.62763</v>
      </c>
      <c r="L141" s="44">
        <v>12517</v>
      </c>
      <c r="M141" s="52">
        <v>1272073.0495738185</v>
      </c>
      <c r="N141" s="44"/>
      <c r="O141" s="59"/>
      <c r="P141" s="44" t="s">
        <v>125</v>
      </c>
      <c r="Q141" s="52">
        <v>1272073.0495738185</v>
      </c>
      <c r="R141" s="70">
        <v>3.28</v>
      </c>
    </row>
    <row r="142" spans="1:18" x14ac:dyDescent="0.25">
      <c r="A142" s="66" t="s">
        <v>82</v>
      </c>
      <c r="B142" s="107" t="s">
        <v>86</v>
      </c>
      <c r="C142" s="60">
        <v>45714</v>
      </c>
      <c r="D142" s="60">
        <v>45714</v>
      </c>
      <c r="E142" s="44">
        <v>392551</v>
      </c>
      <c r="F142" s="44" t="s">
        <v>124</v>
      </c>
      <c r="G142" s="44" t="s">
        <v>141</v>
      </c>
      <c r="H142" s="44">
        <v>280907</v>
      </c>
      <c r="I142" s="44">
        <v>1</v>
      </c>
      <c r="J142" s="44">
        <v>8.9499999999999993</v>
      </c>
      <c r="K142" s="61">
        <v>101.62763</v>
      </c>
      <c r="L142" s="44">
        <v>489</v>
      </c>
      <c r="M142" s="52">
        <v>49695.911260014153</v>
      </c>
      <c r="N142" s="44"/>
      <c r="O142" s="59"/>
      <c r="P142" s="44" t="s">
        <v>125</v>
      </c>
      <c r="Q142" s="52">
        <v>49695.911260014153</v>
      </c>
      <c r="R142" s="70">
        <v>-24.41</v>
      </c>
    </row>
    <row r="143" spans="1:18" x14ac:dyDescent="0.25">
      <c r="A143" s="66" t="s">
        <v>82</v>
      </c>
      <c r="B143" s="107" t="s">
        <v>121</v>
      </c>
      <c r="C143" s="60">
        <v>45714</v>
      </c>
      <c r="D143" s="60">
        <v>45714</v>
      </c>
      <c r="E143" s="44">
        <v>392551</v>
      </c>
      <c r="F143" s="44" t="s">
        <v>124</v>
      </c>
      <c r="G143" s="44" t="s">
        <v>141</v>
      </c>
      <c r="H143" s="44">
        <v>280907</v>
      </c>
      <c r="I143" s="44">
        <v>1</v>
      </c>
      <c r="J143" s="44">
        <v>8.9499999999999993</v>
      </c>
      <c r="K143" s="61">
        <v>101.62763</v>
      </c>
      <c r="L143" s="44">
        <v>5343</v>
      </c>
      <c r="M143" s="52">
        <v>542996.42916616693</v>
      </c>
      <c r="N143" s="44"/>
      <c r="O143" s="59"/>
      <c r="P143" s="44" t="s">
        <v>125</v>
      </c>
      <c r="Q143" s="52">
        <v>542996.42916616693</v>
      </c>
      <c r="R143" s="70">
        <v>112.71</v>
      </c>
    </row>
    <row r="144" spans="1:18" x14ac:dyDescent="0.25">
      <c r="A144" s="66" t="s">
        <v>82</v>
      </c>
      <c r="B144" s="107" t="s">
        <v>85</v>
      </c>
      <c r="C144" s="60">
        <v>45714</v>
      </c>
      <c r="D144" s="60">
        <v>45715</v>
      </c>
      <c r="E144" s="44">
        <v>392551</v>
      </c>
      <c r="F144" s="44" t="s">
        <v>83</v>
      </c>
      <c r="G144" s="44" t="s">
        <v>141</v>
      </c>
      <c r="H144" s="44">
        <v>280907</v>
      </c>
      <c r="I144" s="44">
        <v>1</v>
      </c>
      <c r="J144" s="44">
        <v>316.25054226388357</v>
      </c>
      <c r="K144" s="61">
        <v>101.652896</v>
      </c>
      <c r="L144" s="44">
        <v>12517</v>
      </c>
      <c r="M144" s="52">
        <v>1272389.3001160882</v>
      </c>
      <c r="N144" s="44"/>
      <c r="O144" s="59"/>
      <c r="P144" s="44" t="s">
        <v>81</v>
      </c>
      <c r="Q144" s="52">
        <v>1272389.3001160882</v>
      </c>
      <c r="R144" s="71">
        <v>1272392.58</v>
      </c>
    </row>
    <row r="145" spans="1:18" x14ac:dyDescent="0.25">
      <c r="A145" s="66" t="s">
        <v>82</v>
      </c>
      <c r="B145" s="107" t="s">
        <v>86</v>
      </c>
      <c r="C145" s="60">
        <v>45714</v>
      </c>
      <c r="D145" s="60">
        <v>45715</v>
      </c>
      <c r="E145" s="44">
        <v>392551</v>
      </c>
      <c r="F145" s="44" t="s">
        <v>83</v>
      </c>
      <c r="G145" s="44" t="s">
        <v>141</v>
      </c>
      <c r="H145" s="44">
        <v>280907</v>
      </c>
      <c r="I145" s="44">
        <v>1</v>
      </c>
      <c r="J145" s="44">
        <v>12.354918524170253</v>
      </c>
      <c r="K145" s="61">
        <v>101.652896</v>
      </c>
      <c r="L145" s="44">
        <v>489</v>
      </c>
      <c r="M145" s="52">
        <v>49708.266178538557</v>
      </c>
      <c r="N145" s="44"/>
      <c r="O145" s="59"/>
      <c r="P145" s="44" t="s">
        <v>81</v>
      </c>
      <c r="Q145" s="52">
        <v>49708.266178538557</v>
      </c>
      <c r="R145" s="71">
        <v>49683.86</v>
      </c>
    </row>
    <row r="146" spans="1:18" x14ac:dyDescent="0.25">
      <c r="A146" s="66" t="s">
        <v>82</v>
      </c>
      <c r="B146" s="107" t="s">
        <v>121</v>
      </c>
      <c r="C146" s="60">
        <v>45714</v>
      </c>
      <c r="D146" s="60">
        <v>45715</v>
      </c>
      <c r="E146" s="44">
        <v>392551</v>
      </c>
      <c r="F146" s="44" t="s">
        <v>83</v>
      </c>
      <c r="G146" s="44" t="s">
        <v>141</v>
      </c>
      <c r="H146" s="44">
        <v>280907</v>
      </c>
      <c r="I146" s="44">
        <v>1</v>
      </c>
      <c r="J146" s="44">
        <v>134.99453921194615</v>
      </c>
      <c r="K146" s="61">
        <v>101.652896</v>
      </c>
      <c r="L146" s="44">
        <v>5343</v>
      </c>
      <c r="M146" s="52">
        <v>543131.42370538146</v>
      </c>
      <c r="N146" s="44"/>
      <c r="O146" s="59"/>
      <c r="P146" s="44" t="s">
        <v>81</v>
      </c>
      <c r="Q146" s="52">
        <v>543131.42370538146</v>
      </c>
      <c r="R146" s="71">
        <v>543244.13</v>
      </c>
    </row>
    <row r="147" spans="1:18" x14ac:dyDescent="0.25">
      <c r="A147" s="79" t="s">
        <v>82</v>
      </c>
      <c r="B147" s="77" t="s">
        <v>85</v>
      </c>
      <c r="C147" s="93">
        <v>45715</v>
      </c>
      <c r="D147" s="93">
        <v>45715</v>
      </c>
      <c r="E147" s="77">
        <v>393939</v>
      </c>
      <c r="F147" s="77" t="s">
        <v>124</v>
      </c>
      <c r="G147" s="77" t="s">
        <v>141</v>
      </c>
      <c r="H147" s="77">
        <v>280907</v>
      </c>
      <c r="I147" s="77">
        <v>1</v>
      </c>
      <c r="J147" s="77">
        <v>8.9499999999999993</v>
      </c>
      <c r="K147" s="95">
        <v>101.656075</v>
      </c>
      <c r="L147" s="77">
        <v>12517</v>
      </c>
      <c r="M147" s="78">
        <v>1272429.0906556256</v>
      </c>
      <c r="N147" s="77"/>
      <c r="O147" s="94"/>
      <c r="P147" s="77" t="s">
        <v>125</v>
      </c>
      <c r="Q147" s="78">
        <v>1272429.0906556256</v>
      </c>
      <c r="R147" s="103">
        <v>-36.51</v>
      </c>
    </row>
    <row r="148" spans="1:18" x14ac:dyDescent="0.25">
      <c r="A148" s="79" t="s">
        <v>82</v>
      </c>
      <c r="B148" s="77" t="s">
        <v>86</v>
      </c>
      <c r="C148" s="93">
        <v>45715</v>
      </c>
      <c r="D148" s="93">
        <v>45715</v>
      </c>
      <c r="E148" s="77">
        <v>393939</v>
      </c>
      <c r="F148" s="77" t="s">
        <v>124</v>
      </c>
      <c r="G148" s="77" t="s">
        <v>141</v>
      </c>
      <c r="H148" s="77">
        <v>280907</v>
      </c>
      <c r="I148" s="77">
        <v>1</v>
      </c>
      <c r="J148" s="77">
        <v>8.9499999999999993</v>
      </c>
      <c r="K148" s="95">
        <v>101.656075</v>
      </c>
      <c r="L148" s="77">
        <v>489</v>
      </c>
      <c r="M148" s="78">
        <v>49709.820670336405</v>
      </c>
      <c r="N148" s="77"/>
      <c r="O148" s="94"/>
      <c r="P148" s="77" t="s">
        <v>125</v>
      </c>
      <c r="Q148" s="78">
        <v>49709.820670336405</v>
      </c>
      <c r="R148" s="103">
        <v>-25.96</v>
      </c>
    </row>
    <row r="149" spans="1:18" x14ac:dyDescent="0.25">
      <c r="A149" s="79" t="s">
        <v>82</v>
      </c>
      <c r="B149" s="77" t="s">
        <v>121</v>
      </c>
      <c r="C149" s="93">
        <v>45715</v>
      </c>
      <c r="D149" s="93">
        <v>45715</v>
      </c>
      <c r="E149" s="77">
        <v>393939</v>
      </c>
      <c r="F149" s="77" t="s">
        <v>124</v>
      </c>
      <c r="G149" s="77" t="s">
        <v>141</v>
      </c>
      <c r="H149" s="77">
        <v>280907</v>
      </c>
      <c r="I149" s="77">
        <v>1</v>
      </c>
      <c r="J149" s="77">
        <v>8.9499999999999993</v>
      </c>
      <c r="K149" s="95">
        <v>101.656075</v>
      </c>
      <c r="L149" s="77">
        <v>5343</v>
      </c>
      <c r="M149" s="78">
        <v>543148.40867404384</v>
      </c>
      <c r="N149" s="77"/>
      <c r="O149" s="94"/>
      <c r="P149" s="77" t="s">
        <v>125</v>
      </c>
      <c r="Q149" s="78">
        <v>543148.40867404384</v>
      </c>
      <c r="R149" s="103">
        <v>95.72</v>
      </c>
    </row>
    <row r="150" spans="1:18" x14ac:dyDescent="0.25">
      <c r="A150" s="66" t="s">
        <v>82</v>
      </c>
      <c r="B150" s="107" t="s">
        <v>85</v>
      </c>
      <c r="C150" s="60">
        <v>45715</v>
      </c>
      <c r="D150" s="60">
        <v>45716</v>
      </c>
      <c r="E150" s="44">
        <v>393939</v>
      </c>
      <c r="F150" s="44" t="s">
        <v>83</v>
      </c>
      <c r="G150" s="44" t="s">
        <v>141</v>
      </c>
      <c r="H150" s="44">
        <v>280907</v>
      </c>
      <c r="I150" s="44">
        <v>1</v>
      </c>
      <c r="J150" s="44">
        <v>316.33922339092078</v>
      </c>
      <c r="K150" s="44">
        <v>101.68134775999999</v>
      </c>
      <c r="L150" s="44">
        <v>12517</v>
      </c>
      <c r="M150" s="52">
        <v>1272745.4298790128</v>
      </c>
      <c r="N150" s="44"/>
      <c r="O150" s="44"/>
      <c r="P150" s="44" t="s">
        <v>81</v>
      </c>
      <c r="Q150" s="52">
        <v>1272745.4298790128</v>
      </c>
      <c r="R150" s="71">
        <v>1272708.92</v>
      </c>
    </row>
    <row r="151" spans="1:18" x14ac:dyDescent="0.25">
      <c r="A151" s="66" t="s">
        <v>82</v>
      </c>
      <c r="B151" s="107" t="s">
        <v>86</v>
      </c>
      <c r="C151" s="60">
        <v>45715</v>
      </c>
      <c r="D151" s="60">
        <v>45716</v>
      </c>
      <c r="E151" s="44">
        <v>393939</v>
      </c>
      <c r="F151" s="44" t="s">
        <v>83</v>
      </c>
      <c r="G151" s="44" t="s">
        <v>141</v>
      </c>
      <c r="H151" s="44">
        <v>280907</v>
      </c>
      <c r="I151" s="44">
        <v>1</v>
      </c>
      <c r="J151" s="44">
        <v>12.358383018148137</v>
      </c>
      <c r="K151" s="44">
        <v>101.68134775999999</v>
      </c>
      <c r="L151" s="44">
        <v>489</v>
      </c>
      <c r="M151" s="52">
        <v>49722.179053354419</v>
      </c>
      <c r="N151" s="44"/>
      <c r="O151" s="44"/>
      <c r="P151" s="44" t="s">
        <v>81</v>
      </c>
      <c r="Q151" s="52">
        <v>49722.179053354419</v>
      </c>
      <c r="R151" s="71">
        <v>49696.22</v>
      </c>
    </row>
    <row r="152" spans="1:18" x14ac:dyDescent="0.25">
      <c r="A152" s="66" t="s">
        <v>82</v>
      </c>
      <c r="B152" s="107" t="s">
        <v>121</v>
      </c>
      <c r="C152" s="60">
        <v>45715</v>
      </c>
      <c r="D152" s="60">
        <v>45716</v>
      </c>
      <c r="E152" s="44">
        <v>393939</v>
      </c>
      <c r="F152" s="44" t="s">
        <v>83</v>
      </c>
      <c r="G152" s="44" t="s">
        <v>141</v>
      </c>
      <c r="H152" s="44">
        <v>280907</v>
      </c>
      <c r="I152" s="44">
        <v>1</v>
      </c>
      <c r="J152" s="44">
        <v>135.03239359093149</v>
      </c>
      <c r="K152" s="44">
        <v>101.68134775999999</v>
      </c>
      <c r="L152" s="44">
        <v>5343</v>
      </c>
      <c r="M152" s="52">
        <v>543283.44106763334</v>
      </c>
      <c r="N152" s="44"/>
      <c r="O152" s="44"/>
      <c r="P152" s="44" t="s">
        <v>81</v>
      </c>
      <c r="Q152" s="52">
        <v>543283.44106763334</v>
      </c>
      <c r="R152" s="71">
        <v>543379.16</v>
      </c>
    </row>
    <row r="153" spans="1:18" x14ac:dyDescent="0.25">
      <c r="A153" s="66" t="s">
        <v>82</v>
      </c>
      <c r="B153" s="107" t="s">
        <v>85</v>
      </c>
      <c r="C153" s="60">
        <v>45716</v>
      </c>
      <c r="D153" s="60">
        <v>45716</v>
      </c>
      <c r="E153" s="44">
        <v>395529</v>
      </c>
      <c r="F153" s="44" t="s">
        <v>124</v>
      </c>
      <c r="G153" s="44" t="s">
        <v>141</v>
      </c>
      <c r="H153" s="44">
        <v>280511</v>
      </c>
      <c r="I153" s="44">
        <v>3</v>
      </c>
      <c r="J153" s="44">
        <v>8.9499999999999993</v>
      </c>
      <c r="K153" s="61">
        <v>99.831140000000005</v>
      </c>
      <c r="L153" s="44">
        <v>12749</v>
      </c>
      <c r="M153" s="52">
        <v>1272747.2001353733</v>
      </c>
      <c r="N153" s="44"/>
      <c r="O153" s="59"/>
      <c r="P153" s="44" t="s">
        <v>125</v>
      </c>
      <c r="Q153" s="52">
        <v>1272747.2001353733</v>
      </c>
      <c r="R153" s="70">
        <v>-38.270000000000003</v>
      </c>
    </row>
    <row r="154" spans="1:18" x14ac:dyDescent="0.25">
      <c r="A154" s="66" t="s">
        <v>82</v>
      </c>
      <c r="B154" s="107" t="s">
        <v>86</v>
      </c>
      <c r="C154" s="60">
        <v>45716</v>
      </c>
      <c r="D154" s="60">
        <v>45716</v>
      </c>
      <c r="E154" s="44">
        <v>395529</v>
      </c>
      <c r="F154" s="44" t="s">
        <v>124</v>
      </c>
      <c r="G154" s="44" t="s">
        <v>141</v>
      </c>
      <c r="H154" s="44">
        <v>280511</v>
      </c>
      <c r="I154" s="44">
        <v>3</v>
      </c>
      <c r="J154" s="44">
        <v>8.9499999999999993</v>
      </c>
      <c r="K154" s="61">
        <v>99.831140000000005</v>
      </c>
      <c r="L154" s="44">
        <v>498</v>
      </c>
      <c r="M154" s="52">
        <v>49715.907574509052</v>
      </c>
      <c r="N154" s="44"/>
      <c r="O154" s="59"/>
      <c r="P154" s="44" t="s">
        <v>125</v>
      </c>
      <c r="Q154" s="52">
        <v>49715.907574509052</v>
      </c>
      <c r="R154" s="70">
        <v>-19.690000000000001</v>
      </c>
    </row>
    <row r="155" spans="1:18" x14ac:dyDescent="0.25">
      <c r="A155" s="66" t="s">
        <v>82</v>
      </c>
      <c r="B155" s="107" t="s">
        <v>121</v>
      </c>
      <c r="C155" s="60">
        <v>45716</v>
      </c>
      <c r="D155" s="60">
        <v>45716</v>
      </c>
      <c r="E155" s="44">
        <v>395529</v>
      </c>
      <c r="F155" s="44" t="s">
        <v>124</v>
      </c>
      <c r="G155" s="44" t="s">
        <v>141</v>
      </c>
      <c r="H155" s="44">
        <v>280511</v>
      </c>
      <c r="I155" s="44">
        <v>3</v>
      </c>
      <c r="J155" s="44">
        <v>8.9499999999999993</v>
      </c>
      <c r="K155" s="61">
        <v>99.831140000000005</v>
      </c>
      <c r="L155" s="44">
        <v>5442</v>
      </c>
      <c r="M155" s="52">
        <v>543281.06229011703</v>
      </c>
      <c r="N155" s="44"/>
      <c r="O155" s="59"/>
      <c r="P155" s="44" t="s">
        <v>125</v>
      </c>
      <c r="Q155" s="52">
        <v>543281.06229011703</v>
      </c>
      <c r="R155" s="70">
        <v>98.08</v>
      </c>
    </row>
    <row r="156" spans="1:18" x14ac:dyDescent="0.25">
      <c r="A156" s="66" t="s">
        <v>80</v>
      </c>
      <c r="B156" s="107" t="s">
        <v>86</v>
      </c>
      <c r="C156" s="60">
        <v>45716</v>
      </c>
      <c r="D156" s="60">
        <v>45716</v>
      </c>
      <c r="E156" s="44">
        <v>852047</v>
      </c>
      <c r="F156" s="44" t="s">
        <v>150</v>
      </c>
      <c r="G156" s="44" t="s">
        <v>106</v>
      </c>
      <c r="H156" s="44" t="s">
        <v>97</v>
      </c>
      <c r="I156" s="44"/>
      <c r="J156" s="44"/>
      <c r="K156" s="88"/>
      <c r="L156" s="44"/>
      <c r="M156" s="44">
        <v>8.8000000000000007</v>
      </c>
      <c r="N156" s="44"/>
      <c r="O156" s="59"/>
      <c r="P156" s="44" t="s">
        <v>81</v>
      </c>
      <c r="Q156" s="44">
        <v>8.8000000000000007</v>
      </c>
      <c r="R156" s="70">
        <v>-10.89</v>
      </c>
    </row>
    <row r="157" spans="1:18" x14ac:dyDescent="0.25">
      <c r="A157" s="64"/>
      <c r="B157" s="104"/>
      <c r="R157" s="65"/>
    </row>
    <row r="158" spans="1:18" x14ac:dyDescent="0.25">
      <c r="A158" s="64"/>
      <c r="B158" s="104"/>
      <c r="R158" s="65"/>
    </row>
    <row r="159" spans="1:18" x14ac:dyDescent="0.25">
      <c r="A159" s="64"/>
      <c r="B159" s="104"/>
      <c r="R159" s="65"/>
    </row>
    <row r="160" spans="1:18" x14ac:dyDescent="0.25">
      <c r="A160" s="64"/>
      <c r="B160" s="104"/>
      <c r="R160" s="65"/>
    </row>
    <row r="161" spans="1:18" x14ac:dyDescent="0.25">
      <c r="A161" s="64"/>
      <c r="B161" s="104"/>
      <c r="R161" s="65"/>
    </row>
    <row r="162" spans="1:18" x14ac:dyDescent="0.25">
      <c r="A162" s="64"/>
      <c r="B162" s="104"/>
      <c r="R162" s="65"/>
    </row>
    <row r="163" spans="1:18" x14ac:dyDescent="0.25">
      <c r="A163" s="64"/>
      <c r="B163" s="104"/>
      <c r="R163" s="65"/>
    </row>
    <row r="164" spans="1:18" x14ac:dyDescent="0.25">
      <c r="A164" s="64"/>
      <c r="B164" s="104"/>
      <c r="R164" s="65"/>
    </row>
    <row r="165" spans="1:18" x14ac:dyDescent="0.25">
      <c r="A165" s="64"/>
      <c r="B165" s="104"/>
      <c r="R165" s="65"/>
    </row>
    <row r="166" spans="1:18" x14ac:dyDescent="0.25">
      <c r="A166" s="64"/>
      <c r="B166" s="104"/>
      <c r="R166" s="65"/>
    </row>
    <row r="167" spans="1:18" x14ac:dyDescent="0.25">
      <c r="A167" s="64"/>
      <c r="B167" s="104"/>
      <c r="R167" s="65"/>
    </row>
    <row r="168" spans="1:18" x14ac:dyDescent="0.25">
      <c r="A168" s="64"/>
      <c r="B168" s="104"/>
      <c r="R168" s="65"/>
    </row>
    <row r="169" spans="1:18" x14ac:dyDescent="0.25">
      <c r="A169" s="64"/>
      <c r="B169" s="104"/>
      <c r="R169" s="65"/>
    </row>
    <row r="170" spans="1:18" x14ac:dyDescent="0.25">
      <c r="A170" s="64"/>
      <c r="B170" s="104"/>
      <c r="R170" s="65"/>
    </row>
    <row r="171" spans="1:18" x14ac:dyDescent="0.25">
      <c r="A171" s="64"/>
      <c r="B171" s="104"/>
      <c r="R171" s="65"/>
    </row>
    <row r="172" spans="1:18" x14ac:dyDescent="0.25">
      <c r="A172" s="64"/>
      <c r="B172" s="104"/>
      <c r="R172" s="65"/>
    </row>
    <row r="173" spans="1:18" x14ac:dyDescent="0.25">
      <c r="A173" s="64"/>
      <c r="B173" s="104"/>
      <c r="R173" s="65"/>
    </row>
    <row r="174" spans="1:18" x14ac:dyDescent="0.25">
      <c r="A174" s="64"/>
      <c r="B174" s="104"/>
      <c r="R174" s="65"/>
    </row>
    <row r="175" spans="1:18" x14ac:dyDescent="0.25">
      <c r="A175" s="64"/>
      <c r="B175" s="104"/>
      <c r="R175" s="65"/>
    </row>
    <row r="176" spans="1:18" x14ac:dyDescent="0.25">
      <c r="A176" s="64"/>
      <c r="B176" s="104"/>
      <c r="R176" s="65"/>
    </row>
    <row r="177" spans="1:18" x14ac:dyDescent="0.25">
      <c r="A177" s="64"/>
      <c r="B177" s="104"/>
      <c r="R177" s="65"/>
    </row>
    <row r="178" spans="1:18" x14ac:dyDescent="0.25">
      <c r="A178" s="64"/>
      <c r="B178" s="104"/>
      <c r="R178" s="65"/>
    </row>
    <row r="179" spans="1:18" x14ac:dyDescent="0.25">
      <c r="A179" s="98"/>
      <c r="B179" s="99"/>
      <c r="C179" s="99"/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99"/>
      <c r="O179" s="99"/>
      <c r="P179" s="99"/>
      <c r="Q179" s="99"/>
      <c r="R179" s="100"/>
    </row>
    <row r="180" spans="1:18" x14ac:dyDescent="0.25">
      <c r="A180" s="64"/>
      <c r="B180" s="104"/>
      <c r="R180" s="65"/>
    </row>
  </sheetData>
  <pageMargins left="0.25" right="0.25" top="0.75" bottom="0.75" header="0.29999999999861121" footer="0.29999999999861121"/>
  <pageSetup scale="90" orientation="landscape" r:id="rId1"/>
  <headerFooter>
    <oddFooter>&amp;RPágina &amp;P&amp;L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0369" r:id="rId4" name="Button 1">
              <controlPr defaultSize="0" print="0" autoFill="0" autoPict="0" macro="[0]!Corregir">
                <anchor moveWithCells="1" sizeWithCells="1">
                  <from>
                    <xdr:col>17</xdr:col>
                    <xdr:colOff>457200</xdr:colOff>
                    <xdr:row>0</xdr:row>
                    <xdr:rowOff>381000</xdr:rowOff>
                  </from>
                  <to>
                    <xdr:col>19</xdr:col>
                    <xdr:colOff>200025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370" r:id="rId5" name="Button 2">
              <controlPr defaultSize="0" print="0" autoFill="0" autoPict="0" macro="[0]!AcualizarMovimientos">
                <anchor moveWithCells="1" sizeWithCells="1">
                  <from>
                    <xdr:col>19</xdr:col>
                    <xdr:colOff>257175</xdr:colOff>
                    <xdr:row>0</xdr:row>
                    <xdr:rowOff>381000</xdr:rowOff>
                  </from>
                  <to>
                    <xdr:col>20</xdr:col>
                    <xdr:colOff>714375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371" r:id="rId6" name="Button 3">
              <controlPr defaultSize="0" print="0" autoFill="0" autoPict="0" macro="[0]!AgregarMovimentos">
                <anchor moveWithCells="1" sizeWithCells="1">
                  <from>
                    <xdr:col>17</xdr:col>
                    <xdr:colOff>457200</xdr:colOff>
                    <xdr:row>2</xdr:row>
                    <xdr:rowOff>104775</xdr:rowOff>
                  </from>
                  <to>
                    <xdr:col>19</xdr:col>
                    <xdr:colOff>200025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372" r:id="rId7" name="Button 4">
              <controlPr defaultSize="0" print="0" autoFill="0" autoPict="0" macro="[0]!PDFActiveSheet">
                <anchor moveWithCells="1" sizeWithCells="1">
                  <from>
                    <xdr:col>19</xdr:col>
                    <xdr:colOff>257175</xdr:colOff>
                    <xdr:row>2</xdr:row>
                    <xdr:rowOff>104775</xdr:rowOff>
                  </from>
                  <to>
                    <xdr:col>20</xdr:col>
                    <xdr:colOff>714375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0DFBE-EB64-478A-9AF6-83C7A829B2ED}">
  <dimension ref="A1:S80"/>
  <sheetViews>
    <sheetView workbookViewId="0">
      <selection activeCell="A11" sqref="A11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1.85546875" bestFit="1" customWidth="1"/>
    <col min="16" max="16" width="11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08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08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45716</v>
      </c>
      <c r="N4" s="14" t="s">
        <v>24</v>
      </c>
      <c r="O4" s="16">
        <v>45716</v>
      </c>
      <c r="R4" s="65"/>
    </row>
    <row r="5" spans="1:19" x14ac:dyDescent="0.25">
      <c r="A5" s="67" t="s">
        <v>25</v>
      </c>
      <c r="B5" s="108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B6" s="104"/>
      <c r="R6" s="65"/>
    </row>
    <row r="7" spans="1:19" x14ac:dyDescent="0.25">
      <c r="A7" s="17" t="s">
        <v>31</v>
      </c>
      <c r="B7" s="106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131</v>
      </c>
    </row>
    <row r="8" spans="1:19" x14ac:dyDescent="0.25">
      <c r="A8" s="17"/>
      <c r="B8" s="106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107" t="s">
        <v>85</v>
      </c>
      <c r="C9" s="44" t="s">
        <v>134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8333</v>
      </c>
      <c r="J9" s="89">
        <v>11.396630999999999</v>
      </c>
      <c r="K9" s="52">
        <v>94968.13</v>
      </c>
      <c r="L9" s="89">
        <v>11.408529</v>
      </c>
      <c r="M9" s="52">
        <v>95067.27</v>
      </c>
      <c r="N9" s="90">
        <v>13.18</v>
      </c>
      <c r="O9" s="54">
        <v>109714.28</v>
      </c>
      <c r="P9" s="56">
        <v>14647.009999999995</v>
      </c>
      <c r="Q9" s="50">
        <v>0.15406995488562991</v>
      </c>
      <c r="R9" s="68">
        <v>3.5269470413810231E-3</v>
      </c>
      <c r="S9" s="20" t="s">
        <v>138</v>
      </c>
    </row>
    <row r="10" spans="1:19" x14ac:dyDescent="0.25">
      <c r="A10" s="66" t="s">
        <v>82</v>
      </c>
      <c r="B10" s="107" t="s">
        <v>121</v>
      </c>
      <c r="C10" s="44" t="s">
        <v>134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2000</v>
      </c>
      <c r="J10" s="89">
        <v>11.396630999999999</v>
      </c>
      <c r="K10" s="52">
        <v>22793.26</v>
      </c>
      <c r="L10" s="89">
        <v>11.408529</v>
      </c>
      <c r="M10" s="52">
        <v>22817.06</v>
      </c>
      <c r="N10" s="90">
        <v>13.18</v>
      </c>
      <c r="O10" s="54">
        <v>26332.48</v>
      </c>
      <c r="P10" s="56">
        <v>3515.4199999999983</v>
      </c>
      <c r="Q10" s="50">
        <v>0.15406980566295569</v>
      </c>
      <c r="R10" s="68">
        <v>8.4650113392919287E-4</v>
      </c>
      <c r="S10" s="20" t="s">
        <v>138</v>
      </c>
    </row>
    <row r="11" spans="1:19" x14ac:dyDescent="0.25">
      <c r="A11" s="66" t="s">
        <v>82</v>
      </c>
      <c r="B11" s="107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89">
        <v>43.46</v>
      </c>
      <c r="K11" s="52">
        <v>1129.96</v>
      </c>
      <c r="L11" s="89">
        <v>43.505384999999997</v>
      </c>
      <c r="M11" s="52">
        <v>1131.1400000000001</v>
      </c>
      <c r="N11" s="90">
        <v>44.81</v>
      </c>
      <c r="O11" s="54">
        <v>1163.8499999999999</v>
      </c>
      <c r="P11" s="56">
        <v>32.709999999999809</v>
      </c>
      <c r="Q11" s="50">
        <v>2.8917729016743943E-2</v>
      </c>
      <c r="R11" s="68">
        <v>3.7413883717883433E-5</v>
      </c>
      <c r="S11" s="20" t="s">
        <v>128</v>
      </c>
    </row>
    <row r="12" spans="1:19" x14ac:dyDescent="0.25">
      <c r="A12" s="66" t="s">
        <v>82</v>
      </c>
      <c r="B12" s="107" t="s">
        <v>86</v>
      </c>
      <c r="C12" s="44" t="s">
        <v>92</v>
      </c>
      <c r="D12" s="44" t="s">
        <v>97</v>
      </c>
      <c r="E12" s="44">
        <v>63</v>
      </c>
      <c r="F12" s="20">
        <v>0</v>
      </c>
      <c r="G12" s="20">
        <v>0</v>
      </c>
      <c r="H12" s="20">
        <v>0</v>
      </c>
      <c r="I12" s="20">
        <v>12</v>
      </c>
      <c r="J12" s="89">
        <v>19.539574999999999</v>
      </c>
      <c r="K12" s="52">
        <v>234.47</v>
      </c>
      <c r="L12" s="89">
        <v>19.539574999999999</v>
      </c>
      <c r="M12" s="52">
        <v>234.47</v>
      </c>
      <c r="N12" s="90">
        <v>14.61</v>
      </c>
      <c r="O12" s="54">
        <v>175.14</v>
      </c>
      <c r="P12" s="55">
        <v>-59.330000000000013</v>
      </c>
      <c r="Q12" s="49">
        <v>-0.25303876828592153</v>
      </c>
      <c r="R12" s="68">
        <v>5.6301650507798293E-6</v>
      </c>
      <c r="S12" s="20" t="s">
        <v>128</v>
      </c>
    </row>
    <row r="13" spans="1:19" x14ac:dyDescent="0.25">
      <c r="A13" s="66" t="s">
        <v>82</v>
      </c>
      <c r="B13" s="107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75737</v>
      </c>
      <c r="J13" s="89">
        <v>3.4191780000000001</v>
      </c>
      <c r="K13" s="52">
        <v>258958.28</v>
      </c>
      <c r="L13" s="89">
        <v>3.4227479999999999</v>
      </c>
      <c r="M13" s="52">
        <v>259228.67</v>
      </c>
      <c r="N13" s="90">
        <v>3.6</v>
      </c>
      <c r="O13" s="54">
        <v>272368.55</v>
      </c>
      <c r="P13" s="56">
        <v>13139.879999999976</v>
      </c>
      <c r="Q13" s="50">
        <v>5.0688374862240204E-2</v>
      </c>
      <c r="R13" s="68">
        <v>8.7557376449787505E-3</v>
      </c>
      <c r="S13" s="20" t="s">
        <v>128</v>
      </c>
    </row>
    <row r="14" spans="1:19" x14ac:dyDescent="0.25">
      <c r="A14" s="66" t="s">
        <v>82</v>
      </c>
      <c r="B14" s="107" t="s">
        <v>85</v>
      </c>
      <c r="C14" s="44" t="s">
        <v>95</v>
      </c>
      <c r="D14" s="44" t="s">
        <v>94</v>
      </c>
      <c r="E14" s="44">
        <v>0</v>
      </c>
      <c r="F14" s="20">
        <v>0</v>
      </c>
      <c r="G14" s="20">
        <v>0</v>
      </c>
      <c r="H14" s="20">
        <v>0</v>
      </c>
      <c r="I14" s="34">
        <v>13873</v>
      </c>
      <c r="J14" s="89">
        <v>3.4191780000000001</v>
      </c>
      <c r="K14" s="52">
        <v>47434.26</v>
      </c>
      <c r="L14" s="89">
        <v>3.4227479999999999</v>
      </c>
      <c r="M14" s="52">
        <v>47483.78</v>
      </c>
      <c r="N14" s="90">
        <v>3.6</v>
      </c>
      <c r="O14" s="54">
        <v>49890.66</v>
      </c>
      <c r="P14" s="56">
        <v>2406.8800000000047</v>
      </c>
      <c r="Q14" s="50">
        <v>5.0688466672198507E-2</v>
      </c>
      <c r="R14" s="68">
        <v>1.6038178045697112E-3</v>
      </c>
      <c r="S14" s="20" t="s">
        <v>128</v>
      </c>
    </row>
    <row r="15" spans="1:19" x14ac:dyDescent="0.25">
      <c r="A15" s="66" t="s">
        <v>82</v>
      </c>
      <c r="B15" s="107" t="s">
        <v>86</v>
      </c>
      <c r="C15" s="44" t="s">
        <v>96</v>
      </c>
      <c r="D15" s="44" t="s">
        <v>97</v>
      </c>
      <c r="E15" s="44">
        <v>0</v>
      </c>
      <c r="F15" s="20">
        <v>0</v>
      </c>
      <c r="G15" s="20">
        <v>0</v>
      </c>
      <c r="H15" s="20">
        <v>0</v>
      </c>
      <c r="I15" s="20">
        <v>23</v>
      </c>
      <c r="J15" s="89">
        <v>15.37</v>
      </c>
      <c r="K15" s="52">
        <v>353.51</v>
      </c>
      <c r="L15" s="89">
        <v>15.386087</v>
      </c>
      <c r="M15" s="52">
        <v>353.88</v>
      </c>
      <c r="N15" s="90">
        <v>6.3</v>
      </c>
      <c r="O15" s="54">
        <v>144.75</v>
      </c>
      <c r="P15" s="55">
        <v>-209.13</v>
      </c>
      <c r="Q15" s="49">
        <v>-0.59096303831807395</v>
      </c>
      <c r="R15" s="68">
        <v>4.6532282237089202E-6</v>
      </c>
      <c r="S15" s="20" t="s">
        <v>128</v>
      </c>
    </row>
    <row r="16" spans="1:19" x14ac:dyDescent="0.25">
      <c r="A16" s="66" t="s">
        <v>82</v>
      </c>
      <c r="B16" s="107" t="s">
        <v>86</v>
      </c>
      <c r="C16" s="44" t="s">
        <v>98</v>
      </c>
      <c r="D16" s="44" t="s">
        <v>89</v>
      </c>
      <c r="E16" s="44">
        <v>0</v>
      </c>
      <c r="F16" s="20">
        <v>0</v>
      </c>
      <c r="G16" s="20">
        <v>0</v>
      </c>
      <c r="H16" s="20">
        <v>0</v>
      </c>
      <c r="I16" s="34">
        <v>5</v>
      </c>
      <c r="J16" s="89">
        <v>35.516807</v>
      </c>
      <c r="K16" s="52">
        <v>177.58</v>
      </c>
      <c r="L16" s="89">
        <v>35.553887000000003</v>
      </c>
      <c r="M16" s="52">
        <v>177.77</v>
      </c>
      <c r="N16" s="90">
        <v>36.47</v>
      </c>
      <c r="O16" s="54">
        <v>182.16</v>
      </c>
      <c r="P16" s="56">
        <v>4.3899999999999864</v>
      </c>
      <c r="Q16" s="50">
        <v>2.4694830398829914E-2</v>
      </c>
      <c r="R16" s="68">
        <v>5.8558345646343137E-6</v>
      </c>
      <c r="S16" s="20" t="s">
        <v>128</v>
      </c>
    </row>
    <row r="17" spans="1:19" x14ac:dyDescent="0.25">
      <c r="A17" s="66" t="s">
        <v>82</v>
      </c>
      <c r="B17" s="107" t="s">
        <v>85</v>
      </c>
      <c r="C17" s="44" t="s">
        <v>98</v>
      </c>
      <c r="D17" s="44" t="s">
        <v>89</v>
      </c>
      <c r="E17" s="44">
        <v>0</v>
      </c>
      <c r="F17" s="20">
        <v>0</v>
      </c>
      <c r="G17" s="20">
        <v>0</v>
      </c>
      <c r="H17" s="20">
        <v>0</v>
      </c>
      <c r="I17" s="34">
        <v>8250</v>
      </c>
      <c r="J17" s="89">
        <v>35.516807</v>
      </c>
      <c r="K17" s="52">
        <v>293013.65999999997</v>
      </c>
      <c r="L17" s="89">
        <v>35.553887000000003</v>
      </c>
      <c r="M17" s="52">
        <v>293319.57</v>
      </c>
      <c r="N17" s="90">
        <v>36.47</v>
      </c>
      <c r="O17" s="54">
        <v>300563.38</v>
      </c>
      <c r="P17" s="56">
        <v>7243.8099999999977</v>
      </c>
      <c r="Q17" s="50">
        <v>2.4695965564111466E-2</v>
      </c>
      <c r="R17" s="68">
        <v>9.6621071007208931E-3</v>
      </c>
      <c r="S17" s="20" t="s">
        <v>128</v>
      </c>
    </row>
    <row r="18" spans="1:19" x14ac:dyDescent="0.25">
      <c r="A18" s="66" t="s">
        <v>82</v>
      </c>
      <c r="B18" s="107" t="s">
        <v>121</v>
      </c>
      <c r="C18" s="44" t="s">
        <v>98</v>
      </c>
      <c r="D18" s="44" t="s">
        <v>89</v>
      </c>
      <c r="E18" s="44">
        <v>0</v>
      </c>
      <c r="F18" s="20">
        <v>0</v>
      </c>
      <c r="G18" s="20">
        <v>0</v>
      </c>
      <c r="H18" s="20">
        <v>0</v>
      </c>
      <c r="I18" s="34">
        <v>8250</v>
      </c>
      <c r="J18" s="89">
        <v>35.516807</v>
      </c>
      <c r="K18" s="52">
        <v>293013.65999999997</v>
      </c>
      <c r="L18" s="89">
        <v>35.553887000000003</v>
      </c>
      <c r="M18" s="52">
        <v>293319.57</v>
      </c>
      <c r="N18" s="90">
        <v>36.47</v>
      </c>
      <c r="O18" s="54">
        <v>300563.38</v>
      </c>
      <c r="P18" s="56">
        <v>7243.8099999999977</v>
      </c>
      <c r="Q18" s="50">
        <v>2.4695965564111466E-2</v>
      </c>
      <c r="R18" s="68">
        <v>9.6621071007208931E-3</v>
      </c>
      <c r="S18" s="20" t="s">
        <v>128</v>
      </c>
    </row>
    <row r="19" spans="1:19" x14ac:dyDescent="0.25">
      <c r="A19" s="66" t="s">
        <v>82</v>
      </c>
      <c r="B19" s="107" t="s">
        <v>86</v>
      </c>
      <c r="C19" s="44" t="s">
        <v>99</v>
      </c>
      <c r="D19" s="44" t="s">
        <v>100</v>
      </c>
      <c r="E19" s="44">
        <v>0</v>
      </c>
      <c r="F19" s="20">
        <v>0</v>
      </c>
      <c r="G19" s="20">
        <v>0</v>
      </c>
      <c r="H19" s="20">
        <v>0</v>
      </c>
      <c r="I19" s="20">
        <v>46</v>
      </c>
      <c r="J19" s="89">
        <v>8.67</v>
      </c>
      <c r="K19" s="52">
        <v>398.82</v>
      </c>
      <c r="L19" s="89">
        <v>8.6791300000000007</v>
      </c>
      <c r="M19" s="52">
        <v>399.24</v>
      </c>
      <c r="N19" s="90">
        <v>12.63</v>
      </c>
      <c r="O19" s="54">
        <v>580.37</v>
      </c>
      <c r="P19" s="56">
        <v>181.13</v>
      </c>
      <c r="Q19" s="50">
        <v>0.45368700531008921</v>
      </c>
      <c r="R19" s="68">
        <v>1.8656953811357142E-5</v>
      </c>
      <c r="S19" s="20" t="s">
        <v>128</v>
      </c>
    </row>
    <row r="20" spans="1:19" x14ac:dyDescent="0.25">
      <c r="A20" s="66" t="s">
        <v>82</v>
      </c>
      <c r="B20" s="107" t="s">
        <v>85</v>
      </c>
      <c r="C20" s="44" t="s">
        <v>135</v>
      </c>
      <c r="D20" s="44">
        <v>13</v>
      </c>
      <c r="E20" s="44">
        <v>0</v>
      </c>
      <c r="F20" s="20">
        <v>0</v>
      </c>
      <c r="G20" s="20">
        <v>0</v>
      </c>
      <c r="H20" s="20">
        <v>0</v>
      </c>
      <c r="I20" s="34">
        <v>4761</v>
      </c>
      <c r="J20" s="89">
        <v>20.855626999999998</v>
      </c>
      <c r="K20" s="52">
        <v>99293.64</v>
      </c>
      <c r="L20" s="89">
        <v>20.877400999999999</v>
      </c>
      <c r="M20" s="52">
        <v>99397.31</v>
      </c>
      <c r="N20" s="90">
        <v>21.35</v>
      </c>
      <c r="O20" s="54">
        <v>101541.23</v>
      </c>
      <c r="P20" s="56">
        <v>2143.9199999999983</v>
      </c>
      <c r="Q20" s="50">
        <v>2.1569195383657647E-2</v>
      </c>
      <c r="R20" s="68">
        <v>3.2642108276761238E-3</v>
      </c>
      <c r="S20" s="20" t="s">
        <v>138</v>
      </c>
    </row>
    <row r="21" spans="1:19" x14ac:dyDescent="0.25">
      <c r="A21" s="66" t="s">
        <v>82</v>
      </c>
      <c r="B21" s="107" t="s">
        <v>121</v>
      </c>
      <c r="C21" s="44" t="s">
        <v>135</v>
      </c>
      <c r="D21" s="44">
        <v>13</v>
      </c>
      <c r="E21" s="44">
        <v>0</v>
      </c>
      <c r="F21" s="20">
        <v>0</v>
      </c>
      <c r="G21" s="20">
        <v>0</v>
      </c>
      <c r="H21" s="20">
        <v>0</v>
      </c>
      <c r="I21" s="34">
        <v>2000</v>
      </c>
      <c r="J21" s="89">
        <v>20.855626999999998</v>
      </c>
      <c r="K21" s="52">
        <v>41711.25</v>
      </c>
      <c r="L21" s="89">
        <v>20.877400999999999</v>
      </c>
      <c r="M21" s="52">
        <v>41754.800000000003</v>
      </c>
      <c r="N21" s="90">
        <v>21.35</v>
      </c>
      <c r="O21" s="54">
        <v>42655.42</v>
      </c>
      <c r="P21" s="56">
        <v>900.61999999999534</v>
      </c>
      <c r="Q21" s="50">
        <v>2.1569256708210638E-2</v>
      </c>
      <c r="R21" s="68">
        <v>1.3712290448231982E-3</v>
      </c>
      <c r="S21" s="20" t="s">
        <v>138</v>
      </c>
    </row>
    <row r="22" spans="1:19" x14ac:dyDescent="0.25">
      <c r="A22" s="66" t="s">
        <v>82</v>
      </c>
      <c r="B22" s="107" t="s">
        <v>85</v>
      </c>
      <c r="C22" s="44" t="s">
        <v>136</v>
      </c>
      <c r="D22" s="44">
        <v>18</v>
      </c>
      <c r="E22" s="44">
        <v>0</v>
      </c>
      <c r="F22" s="20">
        <v>0</v>
      </c>
      <c r="G22" s="20">
        <v>0</v>
      </c>
      <c r="H22" s="20">
        <v>0</v>
      </c>
      <c r="I22" s="34">
        <v>20847</v>
      </c>
      <c r="J22" s="89">
        <v>26.527425999999998</v>
      </c>
      <c r="K22" s="52">
        <v>553017.25</v>
      </c>
      <c r="L22" s="89">
        <v>26.555122000000001</v>
      </c>
      <c r="M22" s="52">
        <v>553594.63</v>
      </c>
      <c r="N22" s="90">
        <v>24.8</v>
      </c>
      <c r="O22" s="54">
        <v>516465.84</v>
      </c>
      <c r="P22" s="55">
        <v>-37128.789999999979</v>
      </c>
      <c r="Q22" s="49">
        <v>-6.7068551586203062E-2</v>
      </c>
      <c r="R22" s="68">
        <v>1.6602648865419935E-2</v>
      </c>
      <c r="S22" s="20" t="s">
        <v>138</v>
      </c>
    </row>
    <row r="23" spans="1:19" x14ac:dyDescent="0.25">
      <c r="A23" s="66" t="s">
        <v>82</v>
      </c>
      <c r="B23" s="107" t="s">
        <v>121</v>
      </c>
      <c r="C23" s="44" t="s">
        <v>136</v>
      </c>
      <c r="D23" s="44">
        <v>18</v>
      </c>
      <c r="E23" s="44">
        <v>0</v>
      </c>
      <c r="F23" s="20">
        <v>0</v>
      </c>
      <c r="G23" s="20">
        <v>0</v>
      </c>
      <c r="H23" s="20">
        <v>0</v>
      </c>
      <c r="I23" s="34">
        <v>20839</v>
      </c>
      <c r="J23" s="89">
        <v>26.527425999999998</v>
      </c>
      <c r="K23" s="52">
        <v>552805.03</v>
      </c>
      <c r="L23" s="89">
        <v>26.555122000000001</v>
      </c>
      <c r="M23" s="52">
        <v>553382.18999999994</v>
      </c>
      <c r="N23" s="90">
        <v>24.8</v>
      </c>
      <c r="O23" s="54">
        <v>516267.65</v>
      </c>
      <c r="P23" s="55">
        <v>-37114.539999999921</v>
      </c>
      <c r="Q23" s="49">
        <v>-6.7068548049946997E-2</v>
      </c>
      <c r="R23" s="68">
        <v>1.6596277719985345E-2</v>
      </c>
      <c r="S23" s="20" t="s">
        <v>138</v>
      </c>
    </row>
    <row r="24" spans="1:19" x14ac:dyDescent="0.25">
      <c r="A24" s="66" t="s">
        <v>82</v>
      </c>
      <c r="B24" s="107" t="s">
        <v>86</v>
      </c>
      <c r="C24" s="44" t="s">
        <v>101</v>
      </c>
      <c r="D24" s="44" t="s">
        <v>102</v>
      </c>
      <c r="E24" s="44">
        <v>13</v>
      </c>
      <c r="F24" s="20">
        <v>0</v>
      </c>
      <c r="G24" s="20">
        <v>0</v>
      </c>
      <c r="H24" s="20">
        <v>0</v>
      </c>
      <c r="I24" s="34">
        <v>5</v>
      </c>
      <c r="J24" s="89">
        <v>201.06692799999999</v>
      </c>
      <c r="K24" s="52">
        <v>1005.33</v>
      </c>
      <c r="L24" s="89">
        <v>201.27684199999999</v>
      </c>
      <c r="M24" s="52">
        <v>1006.38</v>
      </c>
      <c r="N24" s="90">
        <v>192.99</v>
      </c>
      <c r="O24" s="54">
        <v>963.95</v>
      </c>
      <c r="P24" s="55">
        <v>-42.42999999999995</v>
      </c>
      <c r="Q24" s="49">
        <v>-4.2161012738726855E-2</v>
      </c>
      <c r="R24" s="68">
        <v>3.0987767504277817E-5</v>
      </c>
      <c r="S24" s="20" t="s">
        <v>128</v>
      </c>
    </row>
    <row r="25" spans="1:19" x14ac:dyDescent="0.25">
      <c r="A25" s="66" t="s">
        <v>82</v>
      </c>
      <c r="B25" s="107" t="s">
        <v>121</v>
      </c>
      <c r="C25" s="44" t="s">
        <v>101</v>
      </c>
      <c r="D25" s="44" t="s">
        <v>102</v>
      </c>
      <c r="E25" s="44">
        <v>13</v>
      </c>
      <c r="F25" s="20">
        <v>0</v>
      </c>
      <c r="G25" s="20">
        <v>0</v>
      </c>
      <c r="H25" s="20">
        <v>0</v>
      </c>
      <c r="I25" s="34">
        <v>1575</v>
      </c>
      <c r="J25" s="89">
        <v>201.06692799999999</v>
      </c>
      <c r="K25" s="52">
        <v>316680.40999999997</v>
      </c>
      <c r="L25" s="89">
        <v>201.27684199999999</v>
      </c>
      <c r="M25" s="52">
        <v>317011.03000000003</v>
      </c>
      <c r="N25" s="90">
        <v>192.99</v>
      </c>
      <c r="O25" s="54">
        <v>303641.90999999997</v>
      </c>
      <c r="P25" s="55">
        <v>-13369.120000000054</v>
      </c>
      <c r="Q25" s="49">
        <v>-4.2172412739077458E-2</v>
      </c>
      <c r="R25" s="68">
        <v>9.7610715406762256E-3</v>
      </c>
      <c r="S25" s="20" t="s">
        <v>128</v>
      </c>
    </row>
    <row r="26" spans="1:19" x14ac:dyDescent="0.25">
      <c r="A26" s="66" t="s">
        <v>82</v>
      </c>
      <c r="B26" s="107" t="s">
        <v>85</v>
      </c>
      <c r="C26" s="44" t="s">
        <v>101</v>
      </c>
      <c r="D26" s="44" t="s">
        <v>102</v>
      </c>
      <c r="E26" s="44">
        <v>13</v>
      </c>
      <c r="F26" s="20">
        <v>0</v>
      </c>
      <c r="G26" s="20">
        <v>0</v>
      </c>
      <c r="H26" s="20">
        <v>0</v>
      </c>
      <c r="I26" s="34">
        <v>1275</v>
      </c>
      <c r="J26" s="89">
        <v>201.06692799999999</v>
      </c>
      <c r="K26" s="52">
        <v>256360.33</v>
      </c>
      <c r="L26" s="89">
        <v>201.27684199999999</v>
      </c>
      <c r="M26" s="52">
        <v>256627.97</v>
      </c>
      <c r="N26" s="90">
        <v>192.99</v>
      </c>
      <c r="O26" s="54">
        <v>245805.36</v>
      </c>
      <c r="P26" s="55">
        <v>-10822.610000000015</v>
      </c>
      <c r="Q26" s="49">
        <v>-4.2172371156581345E-2</v>
      </c>
      <c r="R26" s="68">
        <v>7.9018199564140357E-3</v>
      </c>
      <c r="S26" s="20" t="s">
        <v>128</v>
      </c>
    </row>
    <row r="27" spans="1:19" x14ac:dyDescent="0.25">
      <c r="A27" s="66" t="s">
        <v>82</v>
      </c>
      <c r="B27" s="107" t="s">
        <v>86</v>
      </c>
      <c r="C27" s="44" t="s">
        <v>155</v>
      </c>
      <c r="D27" s="44">
        <v>14</v>
      </c>
      <c r="E27" s="44">
        <v>0</v>
      </c>
      <c r="F27" s="20">
        <v>0</v>
      </c>
      <c r="G27" s="20">
        <v>0</v>
      </c>
      <c r="H27" s="20">
        <v>0</v>
      </c>
      <c r="I27" s="20">
        <v>8</v>
      </c>
      <c r="J27" s="89">
        <v>63.51</v>
      </c>
      <c r="K27" s="52">
        <v>508.08</v>
      </c>
      <c r="L27" s="89">
        <v>63.51</v>
      </c>
      <c r="M27" s="52">
        <v>508.08</v>
      </c>
      <c r="N27" s="90">
        <v>65.010000000000005</v>
      </c>
      <c r="O27" s="54">
        <v>519.53</v>
      </c>
      <c r="P27" s="56">
        <v>11.449999999999989</v>
      </c>
      <c r="Q27" s="50">
        <v>2.2535821130530653E-2</v>
      </c>
      <c r="R27" s="68">
        <v>1.6701151357951608E-5</v>
      </c>
      <c r="S27" s="20" t="s">
        <v>130</v>
      </c>
    </row>
    <row r="28" spans="1:19" x14ac:dyDescent="0.25">
      <c r="A28" s="66" t="s">
        <v>82</v>
      </c>
      <c r="B28" s="107" t="s">
        <v>85</v>
      </c>
      <c r="C28" s="44" t="s">
        <v>147</v>
      </c>
      <c r="D28" s="44">
        <v>12</v>
      </c>
      <c r="E28" s="44">
        <v>0</v>
      </c>
      <c r="F28" s="20">
        <v>0</v>
      </c>
      <c r="G28" s="20">
        <v>0</v>
      </c>
      <c r="H28" s="20">
        <v>0</v>
      </c>
      <c r="I28" s="34">
        <v>20700</v>
      </c>
      <c r="J28" s="89">
        <v>9.7175060000000002</v>
      </c>
      <c r="K28" s="52">
        <v>201152.37</v>
      </c>
      <c r="L28" s="89">
        <v>9.7276509999999998</v>
      </c>
      <c r="M28" s="52">
        <v>201362.38</v>
      </c>
      <c r="N28" s="90">
        <v>9.98</v>
      </c>
      <c r="O28" s="54">
        <v>206370.32</v>
      </c>
      <c r="P28" s="56">
        <v>5007.9400000000023</v>
      </c>
      <c r="Q28" s="50">
        <v>2.4870286098128247E-2</v>
      </c>
      <c r="R28" s="68">
        <v>6.6341153544721351E-3</v>
      </c>
      <c r="S28" s="20" t="s">
        <v>138</v>
      </c>
    </row>
    <row r="29" spans="1:19" x14ac:dyDescent="0.25">
      <c r="A29" s="66" t="s">
        <v>82</v>
      </c>
      <c r="B29" s="107" t="s">
        <v>121</v>
      </c>
      <c r="C29" s="44" t="s">
        <v>147</v>
      </c>
      <c r="D29" s="44">
        <v>12</v>
      </c>
      <c r="E29" s="44">
        <v>0</v>
      </c>
      <c r="F29" s="20">
        <v>0</v>
      </c>
      <c r="G29" s="20">
        <v>0</v>
      </c>
      <c r="H29" s="20">
        <v>0</v>
      </c>
      <c r="I29" s="34">
        <v>20700</v>
      </c>
      <c r="J29" s="89">
        <v>9.7175060000000002</v>
      </c>
      <c r="K29" s="52">
        <v>201152.37</v>
      </c>
      <c r="L29" s="89">
        <v>9.7276509999999998</v>
      </c>
      <c r="M29" s="52">
        <v>201362.38</v>
      </c>
      <c r="N29" s="90">
        <v>9.98</v>
      </c>
      <c r="O29" s="54">
        <v>206370.32</v>
      </c>
      <c r="P29" s="56">
        <v>5007.9400000000023</v>
      </c>
      <c r="Q29" s="50">
        <v>2.4870286098128247E-2</v>
      </c>
      <c r="R29" s="68">
        <v>6.6341153544721351E-3</v>
      </c>
      <c r="S29" s="20" t="s">
        <v>138</v>
      </c>
    </row>
    <row r="30" spans="1:19" x14ac:dyDescent="0.25">
      <c r="A30" s="66" t="s">
        <v>82</v>
      </c>
      <c r="B30" s="107" t="s">
        <v>121</v>
      </c>
      <c r="C30" s="44" t="s">
        <v>142</v>
      </c>
      <c r="D30" s="44">
        <v>11</v>
      </c>
      <c r="E30" s="44">
        <v>0</v>
      </c>
      <c r="F30" s="20">
        <v>0</v>
      </c>
      <c r="G30" s="20">
        <v>0</v>
      </c>
      <c r="H30" s="20">
        <v>0</v>
      </c>
      <c r="I30" s="34">
        <v>16338</v>
      </c>
      <c r="J30" s="89">
        <v>26.264251000000002</v>
      </c>
      <c r="K30" s="52">
        <v>429105.33</v>
      </c>
      <c r="L30" s="89">
        <v>26.291671999999998</v>
      </c>
      <c r="M30" s="52">
        <v>429553.34</v>
      </c>
      <c r="N30" s="90">
        <v>22.29</v>
      </c>
      <c r="O30" s="54">
        <v>363793.82</v>
      </c>
      <c r="P30" s="55">
        <v>-65759.520000000019</v>
      </c>
      <c r="Q30" s="49">
        <v>-0.15308813568997048</v>
      </c>
      <c r="R30" s="68">
        <v>1.1694754202658949E-2</v>
      </c>
      <c r="S30" s="20" t="s">
        <v>138</v>
      </c>
    </row>
    <row r="31" spans="1:19" x14ac:dyDescent="0.25">
      <c r="A31" s="66" t="s">
        <v>82</v>
      </c>
      <c r="B31" s="107" t="s">
        <v>85</v>
      </c>
      <c r="C31" s="44" t="s">
        <v>142</v>
      </c>
      <c r="D31" s="44">
        <v>11</v>
      </c>
      <c r="E31" s="44">
        <v>0</v>
      </c>
      <c r="F31" s="20">
        <v>0</v>
      </c>
      <c r="G31" s="20">
        <v>0</v>
      </c>
      <c r="H31" s="20">
        <v>0</v>
      </c>
      <c r="I31" s="34">
        <v>13298</v>
      </c>
      <c r="J31" s="89">
        <v>26.264251000000002</v>
      </c>
      <c r="K31" s="52">
        <v>349262.01</v>
      </c>
      <c r="L31" s="89">
        <v>26.291671999999998</v>
      </c>
      <c r="M31" s="52">
        <v>349626.65</v>
      </c>
      <c r="N31" s="90">
        <v>22.29</v>
      </c>
      <c r="O31" s="54">
        <v>296102.96999999997</v>
      </c>
      <c r="P31" s="55">
        <v>-53523.680000000051</v>
      </c>
      <c r="Q31" s="49">
        <v>-0.15308810126459194</v>
      </c>
      <c r="R31" s="68">
        <v>9.5187198419898825E-3</v>
      </c>
      <c r="S31" s="20" t="s">
        <v>138</v>
      </c>
    </row>
    <row r="32" spans="1:19" x14ac:dyDescent="0.25">
      <c r="A32" s="66" t="s">
        <v>82</v>
      </c>
      <c r="B32" s="107" t="s">
        <v>86</v>
      </c>
      <c r="C32" s="44" t="s">
        <v>103</v>
      </c>
      <c r="D32" s="44" t="s">
        <v>104</v>
      </c>
      <c r="E32" s="44">
        <v>1</v>
      </c>
      <c r="F32" s="20">
        <v>0</v>
      </c>
      <c r="G32" s="20">
        <v>0</v>
      </c>
      <c r="H32" s="20">
        <v>0</v>
      </c>
      <c r="I32" s="34">
        <v>5</v>
      </c>
      <c r="J32" s="89">
        <v>165.54432299999999</v>
      </c>
      <c r="K32" s="52">
        <v>827.72</v>
      </c>
      <c r="L32" s="89">
        <v>165.717151</v>
      </c>
      <c r="M32" s="52">
        <v>828.59</v>
      </c>
      <c r="N32" s="90">
        <v>144.84</v>
      </c>
      <c r="O32" s="54">
        <v>723.44</v>
      </c>
      <c r="P32" s="55">
        <v>-105.14999999999998</v>
      </c>
      <c r="Q32" s="49">
        <v>-0.12690232805126778</v>
      </c>
      <c r="R32" s="68">
        <v>2.3256175655682083E-5</v>
      </c>
      <c r="S32" s="20" t="s">
        <v>128</v>
      </c>
    </row>
    <row r="33" spans="1:19" x14ac:dyDescent="0.25">
      <c r="A33" s="66" t="s">
        <v>82</v>
      </c>
      <c r="B33" s="107" t="s">
        <v>121</v>
      </c>
      <c r="C33" s="44" t="s">
        <v>103</v>
      </c>
      <c r="D33" s="44" t="s">
        <v>104</v>
      </c>
      <c r="E33" s="44">
        <v>1</v>
      </c>
      <c r="F33" s="20">
        <v>0</v>
      </c>
      <c r="G33" s="20">
        <v>0</v>
      </c>
      <c r="H33" s="20">
        <v>0</v>
      </c>
      <c r="I33" s="34">
        <v>520</v>
      </c>
      <c r="J33" s="89">
        <v>165.54432299999999</v>
      </c>
      <c r="K33" s="52">
        <v>86083.05</v>
      </c>
      <c r="L33" s="89">
        <v>165.717151</v>
      </c>
      <c r="M33" s="52">
        <v>86172.92</v>
      </c>
      <c r="N33" s="90">
        <v>144.84</v>
      </c>
      <c r="O33" s="54">
        <v>75238.17</v>
      </c>
      <c r="P33" s="55">
        <v>-10934.75</v>
      </c>
      <c r="Q33" s="49">
        <v>-0.12689311212849697</v>
      </c>
      <c r="R33" s="68">
        <v>2.4186554483192385E-3</v>
      </c>
      <c r="S33" s="20" t="s">
        <v>128</v>
      </c>
    </row>
    <row r="34" spans="1:19" x14ac:dyDescent="0.25">
      <c r="A34" s="66" t="s">
        <v>82</v>
      </c>
      <c r="B34" s="107" t="s">
        <v>85</v>
      </c>
      <c r="C34" s="44" t="s">
        <v>103</v>
      </c>
      <c r="D34" s="44" t="s">
        <v>104</v>
      </c>
      <c r="E34" s="44">
        <v>1</v>
      </c>
      <c r="F34" s="20">
        <v>0</v>
      </c>
      <c r="G34" s="20">
        <v>0</v>
      </c>
      <c r="H34" s="20">
        <v>0</v>
      </c>
      <c r="I34" s="34">
        <v>620</v>
      </c>
      <c r="J34" s="89">
        <v>165.54432299999999</v>
      </c>
      <c r="K34" s="52">
        <v>102637.48</v>
      </c>
      <c r="L34" s="89">
        <v>165.717151</v>
      </c>
      <c r="M34" s="52">
        <v>102744.63</v>
      </c>
      <c r="N34" s="90">
        <v>144.84</v>
      </c>
      <c r="O34" s="54">
        <v>89707.05</v>
      </c>
      <c r="P34" s="55">
        <v>-13037.580000000002</v>
      </c>
      <c r="Q34" s="49">
        <v>-0.12689305514069205</v>
      </c>
      <c r="R34" s="68">
        <v>2.8837815331652318E-3</v>
      </c>
      <c r="S34" s="20" t="s">
        <v>128</v>
      </c>
    </row>
    <row r="35" spans="1:19" x14ac:dyDescent="0.25">
      <c r="A35" s="66" t="s">
        <v>82</v>
      </c>
      <c r="B35" s="107" t="s">
        <v>86</v>
      </c>
      <c r="C35" s="44" t="s">
        <v>105</v>
      </c>
      <c r="D35" s="44" t="s">
        <v>97</v>
      </c>
      <c r="E35" s="44">
        <v>1</v>
      </c>
      <c r="F35" s="20">
        <v>0</v>
      </c>
      <c r="G35" s="20">
        <v>0</v>
      </c>
      <c r="H35" s="20">
        <v>0</v>
      </c>
      <c r="I35" s="20">
        <v>159</v>
      </c>
      <c r="J35" s="89">
        <v>2.84</v>
      </c>
      <c r="K35" s="52">
        <v>451.56</v>
      </c>
      <c r="L35" s="89">
        <v>2.842956</v>
      </c>
      <c r="M35" s="52">
        <v>452.03</v>
      </c>
      <c r="N35" s="90">
        <v>2.33</v>
      </c>
      <c r="O35" s="54">
        <v>370.08</v>
      </c>
      <c r="P35" s="55">
        <v>-81.949999999999989</v>
      </c>
      <c r="Q35" s="49">
        <v>-0.18129327699488973</v>
      </c>
      <c r="R35" s="68">
        <v>1.1896833858585128E-5</v>
      </c>
      <c r="S35" s="20" t="s">
        <v>128</v>
      </c>
    </row>
    <row r="36" spans="1:19" x14ac:dyDescent="0.25">
      <c r="A36" s="66" t="s">
        <v>82</v>
      </c>
      <c r="B36" s="107" t="s">
        <v>86</v>
      </c>
      <c r="C36" s="44" t="s">
        <v>106</v>
      </c>
      <c r="D36" s="44" t="s">
        <v>97</v>
      </c>
      <c r="E36" s="44">
        <v>87</v>
      </c>
      <c r="F36" s="20">
        <v>0</v>
      </c>
      <c r="G36" s="20">
        <v>0</v>
      </c>
      <c r="H36" s="20">
        <v>0</v>
      </c>
      <c r="I36" s="20">
        <v>8</v>
      </c>
      <c r="J36" s="89">
        <v>100.05</v>
      </c>
      <c r="K36" s="52">
        <v>800.4</v>
      </c>
      <c r="L36" s="89">
        <v>100.155</v>
      </c>
      <c r="M36" s="52">
        <v>801.24</v>
      </c>
      <c r="N36" s="90">
        <v>96.63</v>
      </c>
      <c r="O36" s="54">
        <v>772.23</v>
      </c>
      <c r="P36" s="55">
        <v>-29.009999999999991</v>
      </c>
      <c r="Q36" s="49">
        <v>-3.6206380110828218E-2</v>
      </c>
      <c r="R36" s="68">
        <v>2.4824610923625143E-5</v>
      </c>
      <c r="S36" s="20" t="s">
        <v>128</v>
      </c>
    </row>
    <row r="37" spans="1:19" x14ac:dyDescent="0.25">
      <c r="A37" s="66" t="s">
        <v>82</v>
      </c>
      <c r="B37" s="107" t="s">
        <v>86</v>
      </c>
      <c r="C37" s="44" t="s">
        <v>107</v>
      </c>
      <c r="D37" s="44" t="s">
        <v>108</v>
      </c>
      <c r="E37" s="44">
        <v>9</v>
      </c>
      <c r="F37" s="20">
        <v>0</v>
      </c>
      <c r="G37" s="20">
        <v>0</v>
      </c>
      <c r="H37" s="20">
        <v>0</v>
      </c>
      <c r="I37" s="20">
        <v>2</v>
      </c>
      <c r="J37" s="89">
        <v>113.64</v>
      </c>
      <c r="K37" s="52">
        <v>227.28</v>
      </c>
      <c r="L37" s="89">
        <v>113.755</v>
      </c>
      <c r="M37" s="52">
        <v>227.51</v>
      </c>
      <c r="N37" s="90">
        <v>183.01</v>
      </c>
      <c r="O37" s="54">
        <v>365.64</v>
      </c>
      <c r="P37" s="56">
        <v>138.13</v>
      </c>
      <c r="Q37" s="50">
        <v>0.60713814777372432</v>
      </c>
      <c r="R37" s="68">
        <v>1.1754102713070325E-5</v>
      </c>
      <c r="S37" s="20" t="s">
        <v>128</v>
      </c>
    </row>
    <row r="38" spans="1:19" x14ac:dyDescent="0.25">
      <c r="A38" s="66" t="s">
        <v>82</v>
      </c>
      <c r="B38" s="107" t="s">
        <v>86</v>
      </c>
      <c r="C38" s="44" t="s">
        <v>119</v>
      </c>
      <c r="D38" s="44" t="s">
        <v>120</v>
      </c>
      <c r="E38" s="44">
        <v>1</v>
      </c>
      <c r="F38" s="20">
        <v>0</v>
      </c>
      <c r="G38" s="20">
        <v>0</v>
      </c>
      <c r="H38" s="20">
        <v>0</v>
      </c>
      <c r="I38" s="20">
        <v>1</v>
      </c>
      <c r="J38" s="89">
        <v>14.305099</v>
      </c>
      <c r="K38" s="52">
        <v>14.31</v>
      </c>
      <c r="L38" s="89">
        <v>14.305099</v>
      </c>
      <c r="M38" s="52">
        <v>14.31</v>
      </c>
      <c r="N38" s="90">
        <v>3.28</v>
      </c>
      <c r="O38" s="54">
        <v>3.28</v>
      </c>
      <c r="P38" s="55">
        <v>-11.030000000000001</v>
      </c>
      <c r="Q38" s="49">
        <v>-0.77078965758211049</v>
      </c>
      <c r="R38" s="68">
        <v>1.0544102641634029E-7</v>
      </c>
      <c r="S38" s="20" t="s">
        <v>128</v>
      </c>
    </row>
    <row r="39" spans="1:19" x14ac:dyDescent="0.25">
      <c r="A39" s="66" t="s">
        <v>82</v>
      </c>
      <c r="B39" s="107" t="s">
        <v>86</v>
      </c>
      <c r="C39" s="44" t="s">
        <v>109</v>
      </c>
      <c r="D39" s="44" t="s">
        <v>100</v>
      </c>
      <c r="E39" s="44">
        <v>0</v>
      </c>
      <c r="F39" s="20">
        <v>0</v>
      </c>
      <c r="G39" s="20">
        <v>0</v>
      </c>
      <c r="H39" s="20">
        <v>0</v>
      </c>
      <c r="I39" s="20">
        <v>5</v>
      </c>
      <c r="J39" s="89">
        <v>53.62</v>
      </c>
      <c r="K39" s="52">
        <v>268.10000000000002</v>
      </c>
      <c r="L39" s="89">
        <v>53.676000000000002</v>
      </c>
      <c r="M39" s="52">
        <v>268.38</v>
      </c>
      <c r="N39" s="90">
        <v>44.35</v>
      </c>
      <c r="O39" s="54">
        <v>221.52</v>
      </c>
      <c r="P39" s="55">
        <v>-46.859999999999985</v>
      </c>
      <c r="Q39" s="49">
        <v>-0.17460317460317454</v>
      </c>
      <c r="R39" s="68">
        <v>7.1211268816303974E-6</v>
      </c>
      <c r="S39" s="20" t="s">
        <v>128</v>
      </c>
    </row>
    <row r="40" spans="1:19" x14ac:dyDescent="0.25">
      <c r="A40" s="66" t="s">
        <v>82</v>
      </c>
      <c r="B40" s="107" t="s">
        <v>86</v>
      </c>
      <c r="C40" s="44" t="s">
        <v>90</v>
      </c>
      <c r="D40" s="44" t="s">
        <v>89</v>
      </c>
      <c r="E40" s="44">
        <v>19</v>
      </c>
      <c r="F40" s="20">
        <v>0</v>
      </c>
      <c r="G40" s="20">
        <v>0</v>
      </c>
      <c r="H40" s="20">
        <v>0</v>
      </c>
      <c r="I40" s="20">
        <v>195</v>
      </c>
      <c r="J40" s="89">
        <v>4.38</v>
      </c>
      <c r="K40" s="52">
        <v>854.1</v>
      </c>
      <c r="L40" s="89">
        <v>4.3845640000000001</v>
      </c>
      <c r="M40" s="52">
        <v>854.99</v>
      </c>
      <c r="N40" s="90">
        <v>2.7</v>
      </c>
      <c r="O40" s="54">
        <v>525.95000000000005</v>
      </c>
      <c r="P40" s="55">
        <v>-329.03999999999996</v>
      </c>
      <c r="Q40" s="49">
        <v>-0.38484660639305723</v>
      </c>
      <c r="R40" s="68">
        <v>1.6907532879168958E-5</v>
      </c>
      <c r="S40" s="20" t="s">
        <v>128</v>
      </c>
    </row>
    <row r="41" spans="1:19" x14ac:dyDescent="0.25">
      <c r="A41" s="66" t="s">
        <v>82</v>
      </c>
      <c r="B41" s="107" t="s">
        <v>121</v>
      </c>
      <c r="C41" s="44" t="s">
        <v>152</v>
      </c>
      <c r="D41" s="44" t="s">
        <v>94</v>
      </c>
      <c r="E41" s="44">
        <v>41</v>
      </c>
      <c r="F41" s="20">
        <v>0</v>
      </c>
      <c r="G41" s="20">
        <v>0</v>
      </c>
      <c r="H41" s="20">
        <v>0</v>
      </c>
      <c r="I41" s="34">
        <v>1000</v>
      </c>
      <c r="J41" s="89">
        <v>232.99238</v>
      </c>
      <c r="K41" s="52">
        <v>232992.38</v>
      </c>
      <c r="L41" s="89">
        <v>233.235624</v>
      </c>
      <c r="M41" s="52">
        <v>233235.62</v>
      </c>
      <c r="N41" s="90">
        <v>314.45</v>
      </c>
      <c r="O41" s="54">
        <v>314121.71999999997</v>
      </c>
      <c r="P41" s="56">
        <v>80886.099999999977</v>
      </c>
      <c r="Q41" s="50">
        <v>0.3467999441937728</v>
      </c>
      <c r="R41" s="68">
        <v>1.0097962370873856E-2</v>
      </c>
      <c r="S41" s="20" t="s">
        <v>130</v>
      </c>
    </row>
    <row r="42" spans="1:19" x14ac:dyDescent="0.25">
      <c r="A42" s="66" t="s">
        <v>140</v>
      </c>
      <c r="B42" s="107" t="s">
        <v>85</v>
      </c>
      <c r="C42" s="44" t="s">
        <v>145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1250</v>
      </c>
      <c r="J42" s="89">
        <v>451.02480000000003</v>
      </c>
      <c r="K42" s="52">
        <v>563781</v>
      </c>
      <c r="L42" s="89">
        <v>451.49567000000002</v>
      </c>
      <c r="M42" s="52">
        <v>564369.59</v>
      </c>
      <c r="N42" s="90">
        <v>542.02643999999998</v>
      </c>
      <c r="O42" s="54">
        <v>676825.7</v>
      </c>
      <c r="P42" s="56">
        <v>112456.10999999999</v>
      </c>
      <c r="Q42" s="50">
        <v>0.19925969079942818</v>
      </c>
      <c r="R42" s="68">
        <v>2.1757681863706711E-2</v>
      </c>
      <c r="S42" s="20" t="s">
        <v>130</v>
      </c>
    </row>
    <row r="43" spans="1:19" x14ac:dyDescent="0.25">
      <c r="A43" s="66" t="s">
        <v>140</v>
      </c>
      <c r="B43" s="107" t="s">
        <v>121</v>
      </c>
      <c r="C43" s="44" t="s">
        <v>145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1250</v>
      </c>
      <c r="J43" s="89">
        <v>451.02480000000003</v>
      </c>
      <c r="K43" s="52">
        <v>563781</v>
      </c>
      <c r="L43" s="89">
        <v>451.49567000000002</v>
      </c>
      <c r="M43" s="52">
        <v>564369.59</v>
      </c>
      <c r="N43" s="90">
        <v>542.02643999999998</v>
      </c>
      <c r="O43" s="54">
        <v>676825.7</v>
      </c>
      <c r="P43" s="56">
        <v>112456.10999999999</v>
      </c>
      <c r="Q43" s="50">
        <v>0.19925969079942818</v>
      </c>
      <c r="R43" s="68">
        <v>2.1757681863706711E-2</v>
      </c>
      <c r="S43" s="20" t="s">
        <v>130</v>
      </c>
    </row>
    <row r="44" spans="1:19" x14ac:dyDescent="0.25">
      <c r="A44" s="66" t="s">
        <v>82</v>
      </c>
      <c r="B44" s="107" t="s">
        <v>86</v>
      </c>
      <c r="C44" s="44" t="s">
        <v>110</v>
      </c>
      <c r="D44" s="44" t="s">
        <v>94</v>
      </c>
      <c r="E44" s="44">
        <v>15</v>
      </c>
      <c r="F44" s="20">
        <v>0</v>
      </c>
      <c r="G44" s="20">
        <v>0</v>
      </c>
      <c r="H44" s="20">
        <v>0</v>
      </c>
      <c r="I44" s="20">
        <v>2</v>
      </c>
      <c r="J44" s="89">
        <v>142.6</v>
      </c>
      <c r="K44" s="52">
        <v>285.2</v>
      </c>
      <c r="L44" s="89">
        <v>142.75</v>
      </c>
      <c r="M44" s="52">
        <v>285.5</v>
      </c>
      <c r="N44" s="90">
        <v>204.71</v>
      </c>
      <c r="O44" s="54">
        <v>408.99</v>
      </c>
      <c r="P44" s="56">
        <v>123.49000000000001</v>
      </c>
      <c r="Q44" s="50">
        <v>0.432539404553415</v>
      </c>
      <c r="R44" s="68">
        <v>1.3147660181103361E-5</v>
      </c>
      <c r="S44" s="20" t="s">
        <v>128</v>
      </c>
    </row>
    <row r="45" spans="1:19" x14ac:dyDescent="0.25">
      <c r="A45" s="79" t="s">
        <v>82</v>
      </c>
      <c r="B45" s="77" t="s">
        <v>86</v>
      </c>
      <c r="C45" s="77" t="s">
        <v>63</v>
      </c>
      <c r="D45" s="77" t="s">
        <v>89</v>
      </c>
      <c r="E45" s="77">
        <v>7</v>
      </c>
      <c r="F45" s="81">
        <v>0</v>
      </c>
      <c r="G45" s="81">
        <v>0</v>
      </c>
      <c r="H45" s="81">
        <v>0</v>
      </c>
      <c r="I45" s="81">
        <v>7</v>
      </c>
      <c r="J45" s="89">
        <v>115.851428</v>
      </c>
      <c r="K45" s="52">
        <v>810.96</v>
      </c>
      <c r="L45" s="89">
        <v>115.972857</v>
      </c>
      <c r="M45" s="52">
        <v>811.81</v>
      </c>
      <c r="N45" s="90">
        <v>132.66</v>
      </c>
      <c r="O45" s="54">
        <v>927.65</v>
      </c>
      <c r="P45" s="84">
        <v>115.84000000000003</v>
      </c>
      <c r="Q45" s="85">
        <v>0.1426934873923702</v>
      </c>
      <c r="R45" s="83">
        <v>2.982084394973112E-5</v>
      </c>
      <c r="S45" s="20" t="s">
        <v>128</v>
      </c>
    </row>
    <row r="46" spans="1:19" x14ac:dyDescent="0.25">
      <c r="A46" s="44" t="s">
        <v>140</v>
      </c>
      <c r="B46" s="44" t="s">
        <v>85</v>
      </c>
      <c r="C46" s="44" t="s">
        <v>151</v>
      </c>
      <c r="D46" s="44" t="s">
        <v>94</v>
      </c>
      <c r="E46" s="44">
        <v>0</v>
      </c>
      <c r="F46" s="20">
        <v>0</v>
      </c>
      <c r="G46" s="20">
        <v>0</v>
      </c>
      <c r="H46" s="20">
        <v>0</v>
      </c>
      <c r="I46" s="34">
        <v>2650</v>
      </c>
      <c r="J46" s="89">
        <v>2147.2374970000001</v>
      </c>
      <c r="K46" s="52">
        <v>5690179.4100000001</v>
      </c>
      <c r="L46" s="89">
        <v>2149.4792130000001</v>
      </c>
      <c r="M46" s="52">
        <v>5696119.9100000001</v>
      </c>
      <c r="N46" s="90">
        <v>2265.1086</v>
      </c>
      <c r="O46" s="54">
        <v>5996271.1399999997</v>
      </c>
      <c r="P46" s="56">
        <v>300151.22999999952</v>
      </c>
      <c r="Q46" s="50">
        <v>5.2693980243122995E-2</v>
      </c>
      <c r="R46" s="51">
        <v>0.19276005599764601</v>
      </c>
      <c r="S46" s="20" t="s">
        <v>130</v>
      </c>
    </row>
    <row r="47" spans="1:19" x14ac:dyDescent="0.25">
      <c r="A47" s="44" t="s">
        <v>140</v>
      </c>
      <c r="B47" s="44" t="s">
        <v>121</v>
      </c>
      <c r="C47" s="44" t="s">
        <v>151</v>
      </c>
      <c r="D47" s="44" t="s">
        <v>94</v>
      </c>
      <c r="E47" s="44">
        <v>0</v>
      </c>
      <c r="F47" s="20">
        <v>0</v>
      </c>
      <c r="G47" s="20">
        <v>0</v>
      </c>
      <c r="H47" s="20">
        <v>0</v>
      </c>
      <c r="I47" s="34">
        <v>3265</v>
      </c>
      <c r="J47" s="89">
        <v>2147.2374970000001</v>
      </c>
      <c r="K47" s="52">
        <v>7010730.4800000004</v>
      </c>
      <c r="L47" s="89">
        <v>2149.4792130000001</v>
      </c>
      <c r="M47" s="52">
        <v>7018049.6299999999</v>
      </c>
      <c r="N47" s="90">
        <v>2265.1086</v>
      </c>
      <c r="O47" s="54">
        <v>7387858.5899999999</v>
      </c>
      <c r="P47" s="56">
        <v>369808.95999999996</v>
      </c>
      <c r="Q47" s="50">
        <v>5.2693979025052906E-2</v>
      </c>
      <c r="R47" s="51">
        <v>0.23749493681352946</v>
      </c>
      <c r="S47" s="20" t="s">
        <v>130</v>
      </c>
    </row>
    <row r="48" spans="1:19" x14ac:dyDescent="0.25">
      <c r="A48" s="44" t="s">
        <v>140</v>
      </c>
      <c r="B48" s="44" t="s">
        <v>85</v>
      </c>
      <c r="C48" s="44" t="s">
        <v>132</v>
      </c>
      <c r="D48" s="44" t="s">
        <v>94</v>
      </c>
      <c r="E48" s="44">
        <v>0</v>
      </c>
      <c r="F48" s="20">
        <v>0</v>
      </c>
      <c r="G48" s="20">
        <v>0</v>
      </c>
      <c r="H48" s="20">
        <v>0</v>
      </c>
      <c r="I48" s="34">
        <v>3297</v>
      </c>
      <c r="J48" s="89">
        <v>1385.182047</v>
      </c>
      <c r="K48" s="52">
        <v>4566945.24</v>
      </c>
      <c r="L48" s="89">
        <v>1386.6281779999999</v>
      </c>
      <c r="M48" s="52">
        <v>4571713.0999999996</v>
      </c>
      <c r="N48" s="90">
        <v>1694.37096</v>
      </c>
      <c r="O48" s="54">
        <v>5580508.9100000001</v>
      </c>
      <c r="P48" s="56">
        <v>1008795.8100000005</v>
      </c>
      <c r="Q48" s="50">
        <v>0.22066034939944079</v>
      </c>
      <c r="R48" s="51">
        <v>0.1793946912792477</v>
      </c>
      <c r="S48" s="20" t="s">
        <v>143</v>
      </c>
    </row>
    <row r="49" spans="1:19" x14ac:dyDescent="0.25">
      <c r="A49" s="44" t="s">
        <v>140</v>
      </c>
      <c r="B49" s="44" t="s">
        <v>121</v>
      </c>
      <c r="C49" s="44" t="s">
        <v>132</v>
      </c>
      <c r="D49" s="44" t="s">
        <v>94</v>
      </c>
      <c r="E49" s="44">
        <v>0</v>
      </c>
      <c r="F49" s="20">
        <v>0</v>
      </c>
      <c r="G49" s="20">
        <v>0</v>
      </c>
      <c r="H49" s="20">
        <v>0</v>
      </c>
      <c r="I49" s="34">
        <v>527</v>
      </c>
      <c r="J49" s="89">
        <v>1385.182047</v>
      </c>
      <c r="K49" s="52">
        <v>729990.94</v>
      </c>
      <c r="L49" s="89">
        <v>1386.6281779999999</v>
      </c>
      <c r="M49" s="52">
        <v>730753.05</v>
      </c>
      <c r="N49" s="90">
        <v>1694.37096</v>
      </c>
      <c r="O49" s="54">
        <v>892001.28000000003</v>
      </c>
      <c r="P49" s="56">
        <v>161248.22999999998</v>
      </c>
      <c r="Q49" s="50">
        <v>0.22066035851646459</v>
      </c>
      <c r="R49" s="51">
        <v>2.8674856868258953E-2</v>
      </c>
      <c r="S49" s="20" t="s">
        <v>143</v>
      </c>
    </row>
    <row r="50" spans="1:19" x14ac:dyDescent="0.25">
      <c r="A50" s="44" t="s">
        <v>140</v>
      </c>
      <c r="B50" s="44" t="s">
        <v>85</v>
      </c>
      <c r="C50" s="44" t="s">
        <v>148</v>
      </c>
      <c r="D50" s="44" t="s">
        <v>94</v>
      </c>
      <c r="E50" s="44">
        <v>0</v>
      </c>
      <c r="F50" s="20">
        <v>0</v>
      </c>
      <c r="G50" s="20">
        <v>0</v>
      </c>
      <c r="H50" s="20">
        <v>0</v>
      </c>
      <c r="I50" s="20">
        <v>35</v>
      </c>
      <c r="J50" s="89">
        <v>2405</v>
      </c>
      <c r="K50" s="52">
        <v>84175</v>
      </c>
      <c r="L50" s="89">
        <v>2407.51082</v>
      </c>
      <c r="M50" s="52">
        <v>84262.88</v>
      </c>
      <c r="N50" s="90">
        <v>3816.3337200000001</v>
      </c>
      <c r="O50" s="54">
        <v>133432.23000000001</v>
      </c>
      <c r="P50" s="56">
        <v>49169.350000000006</v>
      </c>
      <c r="Q50" s="50">
        <v>0.58352325484246448</v>
      </c>
      <c r="R50" s="51">
        <v>4.2893997829942668E-3</v>
      </c>
      <c r="S50" s="20" t="s">
        <v>130</v>
      </c>
    </row>
    <row r="51" spans="1:19" x14ac:dyDescent="0.25">
      <c r="A51" s="44" t="s">
        <v>140</v>
      </c>
      <c r="B51" s="44" t="s">
        <v>121</v>
      </c>
      <c r="C51" s="44" t="s">
        <v>148</v>
      </c>
      <c r="D51" s="44" t="s">
        <v>94</v>
      </c>
      <c r="E51" s="44">
        <v>0</v>
      </c>
      <c r="F51" s="20">
        <v>0</v>
      </c>
      <c r="G51" s="20">
        <v>0</v>
      </c>
      <c r="H51" s="20">
        <v>0</v>
      </c>
      <c r="I51" s="20">
        <v>35</v>
      </c>
      <c r="J51" s="89">
        <v>2405</v>
      </c>
      <c r="K51" s="52">
        <v>84175</v>
      </c>
      <c r="L51" s="89">
        <v>2407.51082</v>
      </c>
      <c r="M51" s="52">
        <v>84262.88</v>
      </c>
      <c r="N51" s="90">
        <v>3816.3337200000001</v>
      </c>
      <c r="O51" s="54">
        <v>133432.23000000001</v>
      </c>
      <c r="P51" s="56">
        <v>49169.350000000006</v>
      </c>
      <c r="Q51" s="50">
        <v>0.58352325484246448</v>
      </c>
      <c r="R51" s="51">
        <v>4.2893997829942668E-3</v>
      </c>
      <c r="S51" s="20" t="s">
        <v>130</v>
      </c>
    </row>
    <row r="52" spans="1:19" x14ac:dyDescent="0.25">
      <c r="A52" s="44" t="s">
        <v>140</v>
      </c>
      <c r="B52" s="44" t="s">
        <v>85</v>
      </c>
      <c r="C52" s="44" t="s">
        <v>146</v>
      </c>
      <c r="D52" s="44" t="s">
        <v>94</v>
      </c>
      <c r="E52" s="44">
        <v>0</v>
      </c>
      <c r="F52" s="20">
        <v>0</v>
      </c>
      <c r="G52" s="20">
        <v>0</v>
      </c>
      <c r="H52" s="20">
        <v>0</v>
      </c>
      <c r="I52" s="34">
        <v>550</v>
      </c>
      <c r="J52" s="89">
        <v>284.87090899999998</v>
      </c>
      <c r="K52" s="52">
        <v>156679</v>
      </c>
      <c r="L52" s="89">
        <v>285.16831400000001</v>
      </c>
      <c r="M52" s="52">
        <v>156842.57</v>
      </c>
      <c r="N52" s="90">
        <v>562.12428</v>
      </c>
      <c r="O52" s="54">
        <v>308845.58</v>
      </c>
      <c r="P52" s="56">
        <v>152003.01</v>
      </c>
      <c r="Q52" s="50">
        <v>0.96914383639594792</v>
      </c>
      <c r="R52" s="51">
        <v>9.9283521217530309E-3</v>
      </c>
      <c r="S52" s="20" t="s">
        <v>130</v>
      </c>
    </row>
    <row r="53" spans="1:19" x14ac:dyDescent="0.25">
      <c r="A53" s="44" t="s">
        <v>140</v>
      </c>
      <c r="B53" s="44" t="s">
        <v>121</v>
      </c>
      <c r="C53" s="44" t="s">
        <v>146</v>
      </c>
      <c r="D53" s="44" t="s">
        <v>94</v>
      </c>
      <c r="E53" s="44">
        <v>0</v>
      </c>
      <c r="F53" s="20">
        <v>0</v>
      </c>
      <c r="G53" s="20">
        <v>0</v>
      </c>
      <c r="H53" s="20">
        <v>0</v>
      </c>
      <c r="I53" s="34">
        <v>550</v>
      </c>
      <c r="J53" s="89">
        <v>284.87090899999998</v>
      </c>
      <c r="K53" s="52">
        <v>156679</v>
      </c>
      <c r="L53" s="89">
        <v>285.16831400000001</v>
      </c>
      <c r="M53" s="52">
        <v>156842.57</v>
      </c>
      <c r="N53" s="90">
        <v>562.12428</v>
      </c>
      <c r="O53" s="54">
        <v>308845.58</v>
      </c>
      <c r="P53" s="56">
        <v>152003.01</v>
      </c>
      <c r="Q53" s="50">
        <v>0.96914383639594792</v>
      </c>
      <c r="R53" s="51">
        <v>9.9283521217530309E-3</v>
      </c>
      <c r="S53" s="20" t="s">
        <v>130</v>
      </c>
    </row>
    <row r="54" spans="1:19" x14ac:dyDescent="0.25">
      <c r="A54" s="44" t="s">
        <v>82</v>
      </c>
      <c r="B54" s="44" t="s">
        <v>86</v>
      </c>
      <c r="C54" s="44" t="s">
        <v>112</v>
      </c>
      <c r="D54" s="44" t="s">
        <v>100</v>
      </c>
      <c r="E54" s="44">
        <v>0</v>
      </c>
      <c r="F54" s="20">
        <v>0</v>
      </c>
      <c r="G54" s="20">
        <v>0</v>
      </c>
      <c r="H54" s="20">
        <v>0</v>
      </c>
      <c r="I54" s="20">
        <v>10</v>
      </c>
      <c r="J54" s="89">
        <v>36.726467</v>
      </c>
      <c r="K54" s="52">
        <v>367.26</v>
      </c>
      <c r="L54" s="89">
        <v>36.726467</v>
      </c>
      <c r="M54" s="52">
        <v>367.26</v>
      </c>
      <c r="N54" s="90">
        <v>8</v>
      </c>
      <c r="O54" s="54">
        <v>79.92</v>
      </c>
      <c r="P54" s="55">
        <v>-287.33999999999997</v>
      </c>
      <c r="Q54" s="49">
        <v>-0.78238849861133797</v>
      </c>
      <c r="R54" s="51">
        <v>2.5691606192664383E-6</v>
      </c>
      <c r="S54" s="20" t="s">
        <v>128</v>
      </c>
    </row>
    <row r="55" spans="1:19" x14ac:dyDescent="0.25">
      <c r="A55" s="44" t="s">
        <v>82</v>
      </c>
      <c r="B55" s="44" t="s">
        <v>86</v>
      </c>
      <c r="C55" s="44" t="s">
        <v>113</v>
      </c>
      <c r="D55" s="44" t="s">
        <v>89</v>
      </c>
      <c r="E55" s="44">
        <v>1</v>
      </c>
      <c r="F55" s="20">
        <v>0</v>
      </c>
      <c r="G55" s="20">
        <v>0</v>
      </c>
      <c r="H55" s="20">
        <v>0</v>
      </c>
      <c r="I55" s="20">
        <v>6</v>
      </c>
      <c r="J55" s="89">
        <v>30.4</v>
      </c>
      <c r="K55" s="52">
        <v>182.4</v>
      </c>
      <c r="L55" s="89">
        <v>30.431667000000001</v>
      </c>
      <c r="M55" s="52">
        <v>182.59</v>
      </c>
      <c r="N55" s="90">
        <v>17.78</v>
      </c>
      <c r="O55" s="54">
        <v>106.57</v>
      </c>
      <c r="P55" s="55">
        <v>-76.02000000000001</v>
      </c>
      <c r="Q55" s="49">
        <v>-0.41634262555452106</v>
      </c>
      <c r="R55" s="51">
        <v>3.4258689588992029E-6</v>
      </c>
      <c r="S55" s="20" t="s">
        <v>128</v>
      </c>
    </row>
    <row r="56" spans="1:19" x14ac:dyDescent="0.25">
      <c r="A56" s="44" t="s">
        <v>140</v>
      </c>
      <c r="B56" s="44" t="s">
        <v>85</v>
      </c>
      <c r="C56" s="44" t="s">
        <v>137</v>
      </c>
      <c r="D56" s="44" t="s">
        <v>94</v>
      </c>
      <c r="E56" s="44">
        <v>0</v>
      </c>
      <c r="F56" s="20">
        <v>0</v>
      </c>
      <c r="G56" s="20">
        <v>0</v>
      </c>
      <c r="H56" s="20">
        <v>0</v>
      </c>
      <c r="I56" s="20">
        <v>25</v>
      </c>
      <c r="J56" s="89">
        <v>2480.5</v>
      </c>
      <c r="K56" s="52">
        <v>62012.5</v>
      </c>
      <c r="L56" s="89">
        <v>2483.0896419999999</v>
      </c>
      <c r="M56" s="52">
        <v>62077.24</v>
      </c>
      <c r="N56" s="90">
        <v>2441.0672399999999</v>
      </c>
      <c r="O56" s="54">
        <v>60962.97</v>
      </c>
      <c r="P56" s="55">
        <v>-1114.2699999999968</v>
      </c>
      <c r="Q56" s="49">
        <v>-1.7949734878676904E-2</v>
      </c>
      <c r="R56" s="51">
        <v>1.9597555274965127E-3</v>
      </c>
      <c r="S56" s="20" t="s">
        <v>138</v>
      </c>
    </row>
    <row r="57" spans="1:19" x14ac:dyDescent="0.25">
      <c r="A57" s="44" t="s">
        <v>82</v>
      </c>
      <c r="B57" s="44" t="s">
        <v>86</v>
      </c>
      <c r="C57" s="44" t="s">
        <v>114</v>
      </c>
      <c r="D57" s="44" t="s">
        <v>94</v>
      </c>
      <c r="E57" s="44">
        <v>14</v>
      </c>
      <c r="F57" s="20">
        <v>0</v>
      </c>
      <c r="G57" s="20">
        <v>0</v>
      </c>
      <c r="H57" s="20">
        <v>0</v>
      </c>
      <c r="I57" s="20">
        <v>11</v>
      </c>
      <c r="J57" s="89">
        <v>22.8</v>
      </c>
      <c r="K57" s="52">
        <v>250.8</v>
      </c>
      <c r="L57" s="89">
        <v>22.824545000000001</v>
      </c>
      <c r="M57" s="52">
        <v>251.07</v>
      </c>
      <c r="N57" s="90">
        <v>0.42</v>
      </c>
      <c r="O57" s="54">
        <v>4.62</v>
      </c>
      <c r="P57" s="55">
        <v>-246.45</v>
      </c>
      <c r="Q57" s="49">
        <v>-0.98159875731867607</v>
      </c>
      <c r="R57" s="51">
        <v>1.4851754330594273E-7</v>
      </c>
      <c r="S57" s="20" t="s">
        <v>128</v>
      </c>
    </row>
    <row r="58" spans="1:19" x14ac:dyDescent="0.25">
      <c r="A58" s="44" t="s">
        <v>82</v>
      </c>
      <c r="B58" s="44" t="s">
        <v>86</v>
      </c>
      <c r="C58" s="44" t="s">
        <v>115</v>
      </c>
      <c r="D58" s="44" t="s">
        <v>94</v>
      </c>
      <c r="E58" s="44">
        <v>0</v>
      </c>
      <c r="F58" s="20">
        <v>0</v>
      </c>
      <c r="G58" s="20">
        <v>0</v>
      </c>
      <c r="H58" s="20">
        <v>0</v>
      </c>
      <c r="I58" s="34">
        <v>17</v>
      </c>
      <c r="J58" s="89">
        <v>54.067891000000003</v>
      </c>
      <c r="K58" s="52">
        <v>919.15</v>
      </c>
      <c r="L58" s="89">
        <v>54.124338000000002</v>
      </c>
      <c r="M58" s="52">
        <v>920.11</v>
      </c>
      <c r="N58" s="90">
        <v>48.11</v>
      </c>
      <c r="O58" s="54">
        <v>817.01</v>
      </c>
      <c r="P58" s="55">
        <v>-103.10000000000002</v>
      </c>
      <c r="Q58" s="49">
        <v>-0.11205181989110002</v>
      </c>
      <c r="R58" s="51">
        <v>2.626413810744335E-5</v>
      </c>
      <c r="S58" s="20" t="s">
        <v>128</v>
      </c>
    </row>
    <row r="59" spans="1:19" x14ac:dyDescent="0.25">
      <c r="A59" s="44" t="s">
        <v>82</v>
      </c>
      <c r="B59" s="44" t="s">
        <v>121</v>
      </c>
      <c r="C59" s="44" t="s">
        <v>115</v>
      </c>
      <c r="D59" s="44" t="s">
        <v>94</v>
      </c>
      <c r="E59" s="44">
        <v>0</v>
      </c>
      <c r="F59" s="20">
        <v>0</v>
      </c>
      <c r="G59" s="20">
        <v>0</v>
      </c>
      <c r="H59" s="20">
        <v>0</v>
      </c>
      <c r="I59" s="34">
        <v>7400</v>
      </c>
      <c r="J59" s="89">
        <v>54.067891000000003</v>
      </c>
      <c r="K59" s="52">
        <v>400102.39</v>
      </c>
      <c r="L59" s="89">
        <v>54.124338000000002</v>
      </c>
      <c r="M59" s="52">
        <v>400520.1</v>
      </c>
      <c r="N59" s="90">
        <v>48.11</v>
      </c>
      <c r="O59" s="54">
        <v>355642.33</v>
      </c>
      <c r="P59" s="55">
        <v>-44877.76999999996</v>
      </c>
      <c r="Q59" s="49">
        <v>-0.11204873363409218</v>
      </c>
      <c r="R59" s="51">
        <v>1.1432711070822809E-2</v>
      </c>
      <c r="S59" s="20" t="s">
        <v>128</v>
      </c>
    </row>
    <row r="60" spans="1:19" x14ac:dyDescent="0.25">
      <c r="A60" s="44" t="s">
        <v>82</v>
      </c>
      <c r="B60" s="44" t="s">
        <v>85</v>
      </c>
      <c r="C60" s="44" t="s">
        <v>115</v>
      </c>
      <c r="D60" s="44" t="s">
        <v>94</v>
      </c>
      <c r="E60" s="44">
        <v>0</v>
      </c>
      <c r="F60" s="20">
        <v>0</v>
      </c>
      <c r="G60" s="20">
        <v>0</v>
      </c>
      <c r="H60" s="20">
        <v>0</v>
      </c>
      <c r="I60" s="34">
        <v>1600</v>
      </c>
      <c r="J60" s="89">
        <v>54.067891000000003</v>
      </c>
      <c r="K60" s="52">
        <v>86508.63</v>
      </c>
      <c r="L60" s="89">
        <v>54.124338000000002</v>
      </c>
      <c r="M60" s="52">
        <v>86598.94</v>
      </c>
      <c r="N60" s="90">
        <v>48.11</v>
      </c>
      <c r="O60" s="54">
        <v>76895.64</v>
      </c>
      <c r="P60" s="55">
        <v>-9703.3000000000029</v>
      </c>
      <c r="Q60" s="49">
        <v>-0.11204871560783547</v>
      </c>
      <c r="R60" s="51">
        <v>2.4719375635796933E-3</v>
      </c>
      <c r="S60" s="20" t="s">
        <v>128</v>
      </c>
    </row>
    <row r="61" spans="1:19" x14ac:dyDescent="0.25">
      <c r="A61" s="24"/>
      <c r="B61" s="24"/>
      <c r="C61" s="24" t="s">
        <v>116</v>
      </c>
      <c r="D61" s="24" t="s">
        <v>50</v>
      </c>
      <c r="E61" s="24"/>
      <c r="F61" s="25"/>
      <c r="G61" s="25"/>
      <c r="H61" s="25"/>
      <c r="I61" s="25"/>
      <c r="J61" s="24"/>
      <c r="K61" s="39">
        <v>24598240.77</v>
      </c>
      <c r="L61" s="24"/>
      <c r="M61" s="39">
        <v>24623920.18</v>
      </c>
      <c r="N61" s="24"/>
      <c r="O61" s="39">
        <v>26934919.07</v>
      </c>
      <c r="P61" s="91">
        <v>2310998.8900000006</v>
      </c>
      <c r="Q61" s="92">
        <v>9.3851786113124058E-2</v>
      </c>
      <c r="R61" s="53">
        <v>0.86586753450666409</v>
      </c>
      <c r="S61" s="74"/>
    </row>
    <row r="62" spans="1:19" x14ac:dyDescent="0.25">
      <c r="R62" s="87"/>
      <c r="S62" s="72"/>
    </row>
    <row r="63" spans="1:19" x14ac:dyDescent="0.25">
      <c r="A63" s="44" t="s">
        <v>117</v>
      </c>
      <c r="B63" s="44" t="s">
        <v>85</v>
      </c>
      <c r="C63" s="44" t="s">
        <v>149</v>
      </c>
      <c r="D63" s="44">
        <v>24</v>
      </c>
      <c r="E63" s="44" t="s">
        <v>21</v>
      </c>
      <c r="F63" s="20">
        <v>1826</v>
      </c>
      <c r="G63" s="20">
        <v>0</v>
      </c>
      <c r="H63" s="20">
        <v>1538</v>
      </c>
      <c r="I63" s="34">
        <v>17470</v>
      </c>
      <c r="J63" s="63">
        <v>65.304064999999994</v>
      </c>
      <c r="K63" s="52">
        <v>1140862.02</v>
      </c>
      <c r="L63" s="63">
        <v>65.564864</v>
      </c>
      <c r="M63" s="52">
        <v>1145418.17</v>
      </c>
      <c r="N63" s="63">
        <v>66.019576999999998</v>
      </c>
      <c r="O63" s="54">
        <v>1153362.01</v>
      </c>
      <c r="P63" s="56">
        <v>7943.8400000000838</v>
      </c>
      <c r="Q63" s="50">
        <v>6.9353186530995981E-3</v>
      </c>
      <c r="R63" s="51">
        <v>3.7076729928052853E-2</v>
      </c>
      <c r="S63" s="20" t="s">
        <v>130</v>
      </c>
    </row>
    <row r="64" spans="1:19" x14ac:dyDescent="0.25">
      <c r="A64" s="44" t="s">
        <v>117</v>
      </c>
      <c r="B64" s="44" t="s">
        <v>121</v>
      </c>
      <c r="C64" s="44" t="s">
        <v>149</v>
      </c>
      <c r="D64" s="44">
        <v>24</v>
      </c>
      <c r="E64" s="44" t="s">
        <v>21</v>
      </c>
      <c r="F64" s="20">
        <v>1826</v>
      </c>
      <c r="G64" s="20">
        <v>0</v>
      </c>
      <c r="H64" s="20">
        <v>1538</v>
      </c>
      <c r="I64" s="34">
        <v>17470</v>
      </c>
      <c r="J64" s="63">
        <v>65.304064999999994</v>
      </c>
      <c r="K64" s="52">
        <v>1140862.02</v>
      </c>
      <c r="L64" s="63">
        <v>65.564864</v>
      </c>
      <c r="M64" s="52">
        <v>1145418.17</v>
      </c>
      <c r="N64" s="63">
        <v>66.019576999999998</v>
      </c>
      <c r="O64" s="54">
        <v>1153362.01</v>
      </c>
      <c r="P64" s="56">
        <v>7943.8400000000838</v>
      </c>
      <c r="Q64" s="50">
        <v>6.9353186530995981E-3</v>
      </c>
      <c r="R64" s="51">
        <v>3.7076729928052853E-2</v>
      </c>
      <c r="S64" s="20" t="s">
        <v>130</v>
      </c>
    </row>
    <row r="65" spans="1:19" x14ac:dyDescent="0.25">
      <c r="A65" s="44" t="s">
        <v>63</v>
      </c>
      <c r="B65" s="44" t="s">
        <v>85</v>
      </c>
      <c r="C65" s="44" t="s">
        <v>141</v>
      </c>
      <c r="D65" s="44">
        <v>280511</v>
      </c>
      <c r="E65" s="44" t="s">
        <v>21</v>
      </c>
      <c r="F65" s="20">
        <v>3</v>
      </c>
      <c r="G65" s="20">
        <v>8.9499999999999993</v>
      </c>
      <c r="H65" s="20">
        <v>3</v>
      </c>
      <c r="I65" s="34">
        <v>12749</v>
      </c>
      <c r="J65" s="63">
        <v>99.831138999999993</v>
      </c>
      <c r="K65" s="52">
        <v>1272747.19</v>
      </c>
      <c r="L65" s="63">
        <v>99.831140000000005</v>
      </c>
      <c r="M65" s="52">
        <v>1272747.2</v>
      </c>
      <c r="N65" s="63">
        <v>99.831140000000005</v>
      </c>
      <c r="O65" s="54">
        <v>1272747.2</v>
      </c>
      <c r="P65" s="56">
        <v>0</v>
      </c>
      <c r="Q65" s="35"/>
      <c r="R65" s="51">
        <v>4.09145643708912E-2</v>
      </c>
      <c r="S65" s="20" t="s">
        <v>130</v>
      </c>
    </row>
    <row r="66" spans="1:19" x14ac:dyDescent="0.25">
      <c r="A66" s="44" t="s">
        <v>63</v>
      </c>
      <c r="B66" s="44" t="s">
        <v>86</v>
      </c>
      <c r="C66" s="44" t="s">
        <v>141</v>
      </c>
      <c r="D66" s="44">
        <v>280511</v>
      </c>
      <c r="E66" s="44" t="s">
        <v>21</v>
      </c>
      <c r="F66" s="20">
        <v>3</v>
      </c>
      <c r="G66" s="20">
        <v>8.9499999999999993</v>
      </c>
      <c r="H66" s="20">
        <v>3</v>
      </c>
      <c r="I66" s="34">
        <v>498</v>
      </c>
      <c r="J66" s="63">
        <v>99.831138999999993</v>
      </c>
      <c r="K66" s="52">
        <v>49715.91</v>
      </c>
      <c r="L66" s="63">
        <v>99.831140000000005</v>
      </c>
      <c r="M66" s="52">
        <v>49715.91</v>
      </c>
      <c r="N66" s="63">
        <v>99.831140000000005</v>
      </c>
      <c r="O66" s="54">
        <v>49715.91</v>
      </c>
      <c r="P66" s="56">
        <v>0</v>
      </c>
      <c r="Q66" s="35"/>
      <c r="R66" s="51">
        <v>1.5982001767141456E-3</v>
      </c>
      <c r="S66" s="20" t="s">
        <v>130</v>
      </c>
    </row>
    <row r="67" spans="1:19" x14ac:dyDescent="0.25">
      <c r="A67" s="44" t="s">
        <v>63</v>
      </c>
      <c r="B67" s="44" t="s">
        <v>121</v>
      </c>
      <c r="C67" s="44" t="s">
        <v>141</v>
      </c>
      <c r="D67" s="44">
        <v>280511</v>
      </c>
      <c r="E67" s="44" t="s">
        <v>21</v>
      </c>
      <c r="F67" s="20">
        <v>3</v>
      </c>
      <c r="G67" s="20">
        <v>8.9499999999999993</v>
      </c>
      <c r="H67" s="20">
        <v>3</v>
      </c>
      <c r="I67" s="34">
        <v>5442</v>
      </c>
      <c r="J67" s="63">
        <v>99.831138999999993</v>
      </c>
      <c r="K67" s="52">
        <v>543281.06000000006</v>
      </c>
      <c r="L67" s="63">
        <v>99.831140000000005</v>
      </c>
      <c r="M67" s="52">
        <v>543281.06000000006</v>
      </c>
      <c r="N67" s="63">
        <v>99.831140000000005</v>
      </c>
      <c r="O67" s="54">
        <v>543281.06000000006</v>
      </c>
      <c r="P67" s="56">
        <v>0</v>
      </c>
      <c r="Q67" s="35"/>
      <c r="R67" s="51">
        <v>1.7464668475291881E-2</v>
      </c>
      <c r="S67" s="20" t="s">
        <v>130</v>
      </c>
    </row>
    <row r="68" spans="1:19" x14ac:dyDescent="0.25">
      <c r="A68" s="24"/>
      <c r="B68" s="24"/>
      <c r="C68" s="24" t="s">
        <v>49</v>
      </c>
      <c r="D68" s="24" t="s">
        <v>50</v>
      </c>
      <c r="E68" s="24"/>
      <c r="F68" s="25"/>
      <c r="G68" s="25"/>
      <c r="H68" s="25"/>
      <c r="I68" s="25"/>
      <c r="J68" s="24"/>
      <c r="K68" s="39">
        <v>4147468.2</v>
      </c>
      <c r="L68" s="24"/>
      <c r="M68" s="39">
        <v>4156580.52</v>
      </c>
      <c r="N68" s="24"/>
      <c r="O68" s="39">
        <v>4172468.19</v>
      </c>
      <c r="P68" s="91">
        <v>15887.67</v>
      </c>
      <c r="Q68" s="92">
        <v>3.8222933306726325E-3</v>
      </c>
      <c r="R68" s="53">
        <v>0.13413089287900293</v>
      </c>
      <c r="S68" s="74"/>
    </row>
    <row r="70" spans="1:19" x14ac:dyDescent="0.25">
      <c r="A70" s="21"/>
      <c r="B70" s="21" t="s">
        <v>85</v>
      </c>
      <c r="C70" s="21" t="s">
        <v>51</v>
      </c>
      <c r="D70" s="21" t="s">
        <v>50</v>
      </c>
      <c r="E70" s="21"/>
      <c r="F70" s="22"/>
      <c r="G70" s="22"/>
      <c r="H70" s="22"/>
      <c r="I70" s="22"/>
      <c r="J70" s="21"/>
      <c r="K70" s="21"/>
      <c r="L70" s="21"/>
      <c r="M70" s="21"/>
      <c r="N70" s="21"/>
      <c r="O70" s="40">
        <v>-38.270000000000003</v>
      </c>
      <c r="P70" s="23"/>
      <c r="Q70" s="23"/>
      <c r="R70" s="22"/>
    </row>
    <row r="71" spans="1:19" x14ac:dyDescent="0.25">
      <c r="A71" s="21"/>
      <c r="B71" s="21" t="s">
        <v>86</v>
      </c>
      <c r="C71" s="21" t="s">
        <v>51</v>
      </c>
      <c r="D71" s="21" t="s">
        <v>50</v>
      </c>
      <c r="E71" s="21"/>
      <c r="F71" s="22"/>
      <c r="G71" s="22"/>
      <c r="H71" s="22"/>
      <c r="I71" s="22"/>
      <c r="J71" s="21"/>
      <c r="K71" s="21"/>
      <c r="L71" s="21"/>
      <c r="M71" s="21"/>
      <c r="N71" s="21"/>
      <c r="O71" s="40">
        <v>-10.89</v>
      </c>
      <c r="P71" s="23"/>
      <c r="Q71" s="23"/>
      <c r="R71" s="22"/>
    </row>
    <row r="72" spans="1:19" x14ac:dyDescent="0.25">
      <c r="A72" s="21"/>
      <c r="B72" s="21" t="s">
        <v>121</v>
      </c>
      <c r="C72" s="21" t="s">
        <v>51</v>
      </c>
      <c r="D72" s="21" t="s">
        <v>50</v>
      </c>
      <c r="E72" s="21"/>
      <c r="F72" s="22"/>
      <c r="G72" s="22"/>
      <c r="H72" s="22"/>
      <c r="I72" s="22"/>
      <c r="J72" s="21"/>
      <c r="K72" s="21"/>
      <c r="L72" s="21"/>
      <c r="M72" s="21"/>
      <c r="N72" s="21"/>
      <c r="O72" s="40">
        <v>98.08</v>
      </c>
      <c r="P72" s="23"/>
      <c r="Q72" s="23"/>
      <c r="R72" s="22"/>
    </row>
    <row r="74" spans="1:19" x14ac:dyDescent="0.25">
      <c r="A74" s="24"/>
      <c r="B74" s="24"/>
      <c r="C74" s="24" t="s">
        <v>52</v>
      </c>
      <c r="D74" s="24" t="s">
        <v>50</v>
      </c>
      <c r="E74" s="24"/>
      <c r="F74" s="25"/>
      <c r="G74" s="25"/>
      <c r="H74" s="25"/>
      <c r="I74" s="25"/>
      <c r="J74" s="24"/>
      <c r="K74" s="24"/>
      <c r="L74" s="24"/>
      <c r="M74" s="24"/>
      <c r="N74" s="24"/>
      <c r="O74" s="39">
        <v>0</v>
      </c>
      <c r="P74" s="26"/>
      <c r="Q74" s="26"/>
      <c r="R74" s="25"/>
    </row>
    <row r="76" spans="1:19" x14ac:dyDescent="0.25">
      <c r="A76" s="27"/>
      <c r="B76" s="27"/>
      <c r="C76" s="27" t="s">
        <v>53</v>
      </c>
      <c r="D76" s="27"/>
      <c r="E76" s="27"/>
      <c r="F76" s="28"/>
      <c r="G76" s="28"/>
      <c r="H76" s="28"/>
      <c r="I76" s="28"/>
      <c r="J76" s="27"/>
      <c r="K76" s="27"/>
      <c r="L76" s="27"/>
      <c r="M76" s="27"/>
      <c r="N76" s="27"/>
      <c r="O76" s="41">
        <v>31107436.18</v>
      </c>
      <c r="P76" s="29"/>
      <c r="Q76" s="29"/>
      <c r="R76" s="28"/>
    </row>
    <row r="78" spans="1:19" x14ac:dyDescent="0.25">
      <c r="A78" s="21"/>
      <c r="B78" s="21"/>
      <c r="C78" s="21"/>
      <c r="D78" s="21"/>
      <c r="E78" s="21"/>
      <c r="F78" s="22"/>
      <c r="G78" s="22"/>
      <c r="H78" s="22"/>
      <c r="I78" s="22"/>
      <c r="J78" s="21"/>
      <c r="K78" s="21"/>
      <c r="L78" s="21"/>
      <c r="M78" s="21"/>
      <c r="N78" s="21"/>
      <c r="O78" s="40"/>
      <c r="P78" s="23"/>
      <c r="Q78" s="23"/>
      <c r="R78" s="22"/>
    </row>
    <row r="79" spans="1:19" x14ac:dyDescent="0.25">
      <c r="A79" s="21"/>
      <c r="B79" s="21"/>
      <c r="C79" s="21"/>
      <c r="D79" s="21"/>
      <c r="E79" s="21"/>
      <c r="F79" s="22"/>
      <c r="G79" s="22"/>
      <c r="H79" s="22"/>
      <c r="I79" s="22"/>
      <c r="J79" s="21"/>
      <c r="K79" s="21"/>
      <c r="L79" s="21"/>
      <c r="M79" s="21"/>
      <c r="N79" s="21"/>
      <c r="O79" s="40"/>
      <c r="P79" s="23"/>
      <c r="Q79" s="23"/>
      <c r="R79" s="22"/>
    </row>
    <row r="80" spans="1:19" x14ac:dyDescent="0.25">
      <c r="A80" s="21"/>
      <c r="B80" s="21"/>
      <c r="C80" s="21"/>
      <c r="D80" s="21"/>
      <c r="E80" s="21"/>
      <c r="F80" s="22"/>
      <c r="G80" s="22"/>
      <c r="H80" s="22"/>
      <c r="I80" s="22"/>
      <c r="J80" s="21"/>
      <c r="K80" s="21"/>
      <c r="L80" s="21"/>
      <c r="M80" s="21"/>
      <c r="N80" s="21"/>
      <c r="O80" s="40"/>
      <c r="P80" s="23"/>
      <c r="Q80" s="23"/>
      <c r="R80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393" r:id="rId4" name="Button 1">
              <controlPr defaultSize="0" print="0" autoFill="0" autoPict="0" macro="[0]!ActualizarPosicion">
                <anchor moveWithCells="1" sizeWithCells="1">
                  <from>
                    <xdr:col>18</xdr:col>
                    <xdr:colOff>619125</xdr:colOff>
                    <xdr:row>0</xdr:row>
                    <xdr:rowOff>123825</xdr:rowOff>
                  </from>
                  <to>
                    <xdr:col>20</xdr:col>
                    <xdr:colOff>361950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394" r:id="rId5" name="Button 2">
              <controlPr defaultSize="0" print="0" autoFill="0" autoPict="0" macro="[0]!PDF">
                <anchor moveWithCells="1" sizeWithCells="1">
                  <from>
                    <xdr:col>18</xdr:col>
                    <xdr:colOff>619125</xdr:colOff>
                    <xdr:row>1</xdr:row>
                    <xdr:rowOff>38100</xdr:rowOff>
                  </from>
                  <to>
                    <xdr:col>20</xdr:col>
                    <xdr:colOff>361950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395" r:id="rId6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619125</xdr:colOff>
                    <xdr:row>3</xdr:row>
                    <xdr:rowOff>171450</xdr:rowOff>
                  </from>
                  <to>
                    <xdr:col>20</xdr:col>
                    <xdr:colOff>361950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29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19" t="s">
        <v>126</v>
      </c>
      <c r="B1" s="19" t="s">
        <v>129</v>
      </c>
      <c r="C1" s="19" t="s">
        <v>127</v>
      </c>
    </row>
    <row r="2" spans="1:3" x14ac:dyDescent="0.25">
      <c r="A2" s="44" t="s">
        <v>93</v>
      </c>
      <c r="B2" s="44" t="s">
        <v>94</v>
      </c>
      <c r="C2" s="44" t="s">
        <v>128</v>
      </c>
    </row>
    <row r="3" spans="1:3" x14ac:dyDescent="0.25">
      <c r="A3" s="44" t="s">
        <v>92</v>
      </c>
      <c r="B3" s="44" t="s">
        <v>97</v>
      </c>
      <c r="C3" s="44" t="s">
        <v>128</v>
      </c>
    </row>
    <row r="4" spans="1:3" x14ac:dyDescent="0.25">
      <c r="A4" s="44" t="s">
        <v>95</v>
      </c>
      <c r="B4" s="44" t="s">
        <v>94</v>
      </c>
      <c r="C4" s="44" t="s">
        <v>128</v>
      </c>
    </row>
    <row r="5" spans="1:3" x14ac:dyDescent="0.25">
      <c r="A5" s="44" t="s">
        <v>96</v>
      </c>
      <c r="B5" s="44" t="s">
        <v>97</v>
      </c>
      <c r="C5" s="44" t="s">
        <v>128</v>
      </c>
    </row>
    <row r="6" spans="1:3" x14ac:dyDescent="0.25">
      <c r="A6" s="44" t="s">
        <v>98</v>
      </c>
      <c r="B6" s="44" t="s">
        <v>89</v>
      </c>
      <c r="C6" s="44" t="s">
        <v>128</v>
      </c>
    </row>
    <row r="7" spans="1:3" x14ac:dyDescent="0.25">
      <c r="A7" s="44" t="s">
        <v>99</v>
      </c>
      <c r="B7" s="44" t="s">
        <v>100</v>
      </c>
      <c r="C7" s="44" t="s">
        <v>128</v>
      </c>
    </row>
    <row r="8" spans="1:3" x14ac:dyDescent="0.25">
      <c r="A8" s="44" t="s">
        <v>101</v>
      </c>
      <c r="B8" s="44" t="s">
        <v>102</v>
      </c>
      <c r="C8" s="44" t="s">
        <v>128</v>
      </c>
    </row>
    <row r="9" spans="1:3" x14ac:dyDescent="0.25">
      <c r="A9" s="44" t="s">
        <v>103</v>
      </c>
      <c r="B9" s="44" t="s">
        <v>104</v>
      </c>
      <c r="C9" s="44" t="s">
        <v>128</v>
      </c>
    </row>
    <row r="10" spans="1:3" x14ac:dyDescent="0.25">
      <c r="A10" s="44" t="s">
        <v>105</v>
      </c>
      <c r="B10" s="44" t="s">
        <v>97</v>
      </c>
      <c r="C10" s="44" t="s">
        <v>128</v>
      </c>
    </row>
    <row r="11" spans="1:3" x14ac:dyDescent="0.25">
      <c r="A11" s="44" t="s">
        <v>106</v>
      </c>
      <c r="B11" s="44" t="s">
        <v>97</v>
      </c>
      <c r="C11" s="44" t="s">
        <v>128</v>
      </c>
    </row>
    <row r="12" spans="1:3" x14ac:dyDescent="0.25">
      <c r="A12" s="44" t="s">
        <v>107</v>
      </c>
      <c r="B12" s="44" t="s">
        <v>108</v>
      </c>
      <c r="C12" s="44" t="s">
        <v>128</v>
      </c>
    </row>
    <row r="13" spans="1:3" x14ac:dyDescent="0.25">
      <c r="A13" s="44" t="s">
        <v>119</v>
      </c>
      <c r="B13" s="44" t="s">
        <v>120</v>
      </c>
      <c r="C13" s="44" t="s">
        <v>128</v>
      </c>
    </row>
    <row r="14" spans="1:3" x14ac:dyDescent="0.25">
      <c r="A14" s="44" t="s">
        <v>109</v>
      </c>
      <c r="B14" s="44" t="s">
        <v>100</v>
      </c>
      <c r="C14" s="44" t="s">
        <v>128</v>
      </c>
    </row>
    <row r="15" spans="1:3" x14ac:dyDescent="0.25">
      <c r="A15" s="44" t="s">
        <v>90</v>
      </c>
      <c r="B15" s="44" t="s">
        <v>89</v>
      </c>
      <c r="C15" s="44" t="s">
        <v>128</v>
      </c>
    </row>
    <row r="16" spans="1:3" x14ac:dyDescent="0.25">
      <c r="A16" s="44" t="s">
        <v>110</v>
      </c>
      <c r="B16" s="44" t="s">
        <v>94</v>
      </c>
      <c r="C16" s="44" t="s">
        <v>128</v>
      </c>
    </row>
    <row r="17" spans="1:3" x14ac:dyDescent="0.25">
      <c r="A17" s="44" t="s">
        <v>63</v>
      </c>
      <c r="B17" s="44" t="s">
        <v>89</v>
      </c>
      <c r="C17" s="44" t="s">
        <v>128</v>
      </c>
    </row>
    <row r="18" spans="1:3" x14ac:dyDescent="0.25">
      <c r="A18" s="44" t="s">
        <v>111</v>
      </c>
      <c r="B18" s="44">
        <v>13</v>
      </c>
      <c r="C18" s="44" t="s">
        <v>128</v>
      </c>
    </row>
    <row r="19" spans="1:3" x14ac:dyDescent="0.25">
      <c r="A19" s="44" t="s">
        <v>112</v>
      </c>
      <c r="B19" s="44" t="s">
        <v>100</v>
      </c>
      <c r="C19" s="44" t="s">
        <v>128</v>
      </c>
    </row>
    <row r="20" spans="1:3" x14ac:dyDescent="0.25">
      <c r="A20" s="44" t="s">
        <v>113</v>
      </c>
      <c r="B20" s="44" t="s">
        <v>89</v>
      </c>
      <c r="C20" s="44" t="s">
        <v>128</v>
      </c>
    </row>
    <row r="21" spans="1:3" x14ac:dyDescent="0.25">
      <c r="A21" s="44" t="s">
        <v>114</v>
      </c>
      <c r="B21" s="44" t="s">
        <v>94</v>
      </c>
      <c r="C21" s="44" t="s">
        <v>128</v>
      </c>
    </row>
    <row r="22" spans="1:3" x14ac:dyDescent="0.25">
      <c r="A22" s="44" t="s">
        <v>115</v>
      </c>
      <c r="B22" s="44" t="s">
        <v>94</v>
      </c>
      <c r="C22" s="44" t="s">
        <v>128</v>
      </c>
    </row>
    <row r="23" spans="1:3" x14ac:dyDescent="0.25">
      <c r="A23" s="44" t="s">
        <v>134</v>
      </c>
      <c r="B23" s="44" t="s">
        <v>89</v>
      </c>
      <c r="C23" s="44" t="s">
        <v>138</v>
      </c>
    </row>
    <row r="24" spans="1:3" x14ac:dyDescent="0.25">
      <c r="A24" s="44" t="s">
        <v>135</v>
      </c>
      <c r="B24" s="44">
        <v>13</v>
      </c>
      <c r="C24" s="44" t="s">
        <v>138</v>
      </c>
    </row>
    <row r="25" spans="1:3" x14ac:dyDescent="0.25">
      <c r="A25" s="44" t="s">
        <v>136</v>
      </c>
      <c r="B25" s="44">
        <v>18</v>
      </c>
      <c r="C25" s="44" t="s">
        <v>138</v>
      </c>
    </row>
    <row r="26" spans="1:3" x14ac:dyDescent="0.25">
      <c r="A26" s="77" t="s">
        <v>137</v>
      </c>
      <c r="B26" s="77" t="s">
        <v>94</v>
      </c>
      <c r="C26" s="44" t="s">
        <v>138</v>
      </c>
    </row>
    <row r="27" spans="1:3" x14ac:dyDescent="0.25">
      <c r="A27" s="44" t="s">
        <v>142</v>
      </c>
      <c r="B27" s="44">
        <v>11</v>
      </c>
      <c r="C27" s="44" t="s">
        <v>138</v>
      </c>
    </row>
    <row r="28" spans="1:3" x14ac:dyDescent="0.25">
      <c r="A28" s="44" t="s">
        <v>132</v>
      </c>
      <c r="B28" s="77" t="s">
        <v>94</v>
      </c>
      <c r="C28" s="44" t="s">
        <v>143</v>
      </c>
    </row>
    <row r="29" spans="1:3" x14ac:dyDescent="0.25">
      <c r="A29" s="44" t="s">
        <v>147</v>
      </c>
      <c r="B29" s="77">
        <v>12</v>
      </c>
      <c r="C29" s="44" t="s">
        <v>138</v>
      </c>
    </row>
  </sheetData>
  <pageMargins left="0.7" right="0.7" top="0.75" bottom="0.75" header="0.3" footer="0.3"/>
  <pageSetup orientation="portrait" verticalDpi="597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e35fb821-df92-4cd4-98e1-e2abc4ef8ea7</TitusGUID>
  <TitusMetadata xmlns="">eyJucyI6Imh0dHA6XC9cL3d3dy50aXR1cy5jb21cL25zXC9FbGVrdHJhIiwicHJvcHMiOlt7Im4iOiJDbGFzaWZpY2FjaW9uIiwidmFscyI6W3sidmFsdWUiOiJTSU5DLUxBU0kifV19XX0=</TitusMetadata>
</titus>
</file>

<file path=customXml/itemProps1.xml><?xml version="1.0" encoding="utf-8"?>
<ds:datastoreItem xmlns:ds="http://schemas.openxmlformats.org/officeDocument/2006/customXml" ds:itemID="{03476D9E-5A45-499A-9A1E-19F136FEA7DC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Lay Out</vt:lpstr>
      <vt:lpstr>Subcuentas</vt:lpstr>
      <vt:lpstr>Hoja1</vt:lpstr>
      <vt:lpstr>Posición del mes anterior</vt:lpstr>
      <vt:lpstr>Movimientos</vt:lpstr>
      <vt:lpstr>Posición</vt:lpstr>
      <vt:lpstr>Estrategias</vt:lpstr>
      <vt:lpstr>Hoja1!Área_de_impresión</vt:lpstr>
      <vt:lpstr>Movimientos!Área_de_impresión</vt:lpstr>
      <vt:lpstr>Posición!Área_de_impresión</vt:lpstr>
      <vt:lpstr>'Posición del mes anterior'!Área_de_impresión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didiazl</dc:creator>
  <cp:lastModifiedBy>Miguel Angel Tebar Pedroza</cp:lastModifiedBy>
  <cp:lastPrinted>2024-07-04T16:53:03Z</cp:lastPrinted>
  <dcterms:created xsi:type="dcterms:W3CDTF">2022-02-25T18:22:20Z</dcterms:created>
  <dcterms:modified xsi:type="dcterms:W3CDTF">2025-03-07T20:35:13Z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3a633-3d5f-462b-ba19-31157bb9a57b_Enabled">
    <vt:lpwstr>true</vt:lpwstr>
  </property>
  <property fmtid="{D5CDD505-2E9C-101B-9397-08002B2CF9AE}" pid="3" name="MSIP_Label_8ae3a633-3d5f-462b-ba19-31157bb9a57b_SetDate">
    <vt:lpwstr>2023-09-18T20:42:13Z</vt:lpwstr>
  </property>
  <property fmtid="{D5CDD505-2E9C-101B-9397-08002B2CF9AE}" pid="4" name="MSIP_Label_8ae3a633-3d5f-462b-ba19-31157bb9a57b_Method">
    <vt:lpwstr>Standard</vt:lpwstr>
  </property>
  <property fmtid="{D5CDD505-2E9C-101B-9397-08002B2CF9AE}" pid="5" name="MSIP_Label_8ae3a633-3d5f-462b-ba19-31157bb9a57b_Name">
    <vt:lpwstr>Uso interno</vt:lpwstr>
  </property>
  <property fmtid="{D5CDD505-2E9C-101B-9397-08002B2CF9AE}" pid="6" name="MSIP_Label_8ae3a633-3d5f-462b-ba19-31157bb9a57b_SiteId">
    <vt:lpwstr>5448d52d-fbb8-4285-8d6f-aa67453bc50c</vt:lpwstr>
  </property>
  <property fmtid="{D5CDD505-2E9C-101B-9397-08002B2CF9AE}" pid="7" name="MSIP_Label_8ae3a633-3d5f-462b-ba19-31157bb9a57b_ActionId">
    <vt:lpwstr>56995ccf-2dd2-40d7-a7fa-8d1f15707e7b</vt:lpwstr>
  </property>
  <property fmtid="{D5CDD505-2E9C-101B-9397-08002B2CF9AE}" pid="8" name="MSIP_Label_8ae3a633-3d5f-462b-ba19-31157bb9a57b_ContentBits">
    <vt:lpwstr>0</vt:lpwstr>
  </property>
  <property fmtid="{D5CDD505-2E9C-101B-9397-08002B2CF9AE}" pid="9" name="TitusGUID">
    <vt:lpwstr>e35fb821-df92-4cd4-98e1-e2abc4ef8ea7</vt:lpwstr>
  </property>
  <property fmtid="{D5CDD505-2E9C-101B-9397-08002B2CF9AE}" pid="10" name="dlp-metadata">
    <vt:lpwstr>SINC-LASI</vt:lpwstr>
  </property>
  <property fmtid="{D5CDD505-2E9C-101B-9397-08002B2CF9AE}" pid="11" name="Clasificacion">
    <vt:lpwstr>SINC-LASI</vt:lpwstr>
  </property>
</Properties>
</file>