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1059258\OneDrive - Onuris Tenant\Documentos\Clientes\SAZ BIPA\2025\"/>
    </mc:Choice>
  </mc:AlternateContent>
  <xr:revisionPtr revIDLastSave="0" documentId="13_ncr:1_{B79E8688-D521-4C42-A4D0-BCF788A24497}" xr6:coauthVersionLast="47" xr6:coauthVersionMax="47" xr10:uidLastSave="{00000000-0000-0000-0000-000000000000}"/>
  <bookViews>
    <workbookView xWindow="19080" yWindow="1770" windowWidth="21840" windowHeight="13020" firstSheet="15" activeTab="23" xr2:uid="{39CFDB89-375C-4E50-AAC5-3DCEB94EDBE6}"/>
  </bookViews>
  <sheets>
    <sheet name="ENE24" sheetId="1" r:id="rId1"/>
    <sheet name="FEB24" sheetId="2" r:id="rId2"/>
    <sheet name="MAR24" sheetId="3" r:id="rId3"/>
    <sheet name="ABR24" sheetId="4" r:id="rId4"/>
    <sheet name="MAY24" sheetId="5" r:id="rId5"/>
    <sheet name="JUN24" sheetId="6" r:id="rId6"/>
    <sheet name="JUL24" sheetId="7" r:id="rId7"/>
    <sheet name="AGO24" sheetId="8" r:id="rId8"/>
    <sheet name="SEP24" sheetId="9" r:id="rId9"/>
    <sheet name="OCT24" sheetId="10" r:id="rId10"/>
    <sheet name="NOV24" sheetId="11" r:id="rId11"/>
    <sheet name="DIC24" sheetId="12" r:id="rId12"/>
    <sheet name="ENE25" sheetId="13" r:id="rId13"/>
    <sheet name="FEB25" sheetId="14" r:id="rId14"/>
    <sheet name="MAR25" sheetId="15" r:id="rId15"/>
    <sheet name="ABR25" sheetId="16" r:id="rId16"/>
    <sheet name="MAY25" sheetId="17" r:id="rId17"/>
    <sheet name="JUN25" sheetId="18" r:id="rId18"/>
    <sheet name="JUL25" sheetId="19" r:id="rId19"/>
    <sheet name="AGO25" sheetId="20" r:id="rId20"/>
    <sheet name="SEP25" sheetId="21" r:id="rId21"/>
    <sheet name="OCT25" sheetId="22" r:id="rId22"/>
    <sheet name="NOV25" sheetId="23" r:id="rId23"/>
    <sheet name="DIC25" sheetId="24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24" l="1"/>
  <c r="K41" i="24"/>
  <c r="J41" i="24"/>
  <c r="C41" i="24"/>
  <c r="B41" i="24"/>
  <c r="B43" i="24" s="1"/>
  <c r="M38" i="24"/>
  <c r="N38" i="24" s="1"/>
  <c r="M36" i="24"/>
  <c r="N36" i="24" s="1"/>
  <c r="M35" i="24"/>
  <c r="N35" i="24" s="1"/>
  <c r="M34" i="24"/>
  <c r="N34" i="24" s="1"/>
  <c r="M33" i="24"/>
  <c r="N33" i="24" s="1"/>
  <c r="M32" i="24"/>
  <c r="N32" i="24" s="1"/>
  <c r="M31" i="24"/>
  <c r="N31" i="24" s="1"/>
  <c r="M30" i="24"/>
  <c r="N30" i="24" s="1"/>
  <c r="M29" i="24"/>
  <c r="N29" i="24" s="1"/>
  <c r="M28" i="24"/>
  <c r="N28" i="24" s="1"/>
  <c r="M27" i="24"/>
  <c r="N27" i="24" s="1"/>
  <c r="M26" i="24"/>
  <c r="N26" i="24" s="1"/>
  <c r="M25" i="24"/>
  <c r="N25" i="24" s="1"/>
  <c r="M24" i="24"/>
  <c r="N24" i="24" s="1"/>
  <c r="M23" i="24"/>
  <c r="N23" i="24" s="1"/>
  <c r="M22" i="24"/>
  <c r="N22" i="24" s="1"/>
  <c r="M21" i="24"/>
  <c r="N21" i="24" s="1"/>
  <c r="M20" i="24"/>
  <c r="N20" i="24" s="1"/>
  <c r="M19" i="24"/>
  <c r="N19" i="24" s="1"/>
  <c r="M18" i="24"/>
  <c r="N18" i="24" s="1"/>
  <c r="M17" i="24"/>
  <c r="N17" i="24" s="1"/>
  <c r="M16" i="24"/>
  <c r="N16" i="24" s="1"/>
  <c r="M15" i="24"/>
  <c r="N15" i="24" s="1"/>
  <c r="M14" i="24"/>
  <c r="N14" i="24" s="1"/>
  <c r="M13" i="24"/>
  <c r="N13" i="24" s="1"/>
  <c r="M12" i="24"/>
  <c r="N12" i="24" s="1"/>
  <c r="M11" i="24"/>
  <c r="N11" i="24" s="1"/>
  <c r="M10" i="24"/>
  <c r="N10" i="24" s="1"/>
  <c r="M9" i="24"/>
  <c r="N9" i="24" s="1"/>
  <c r="M8" i="24"/>
  <c r="N8" i="24" s="1"/>
  <c r="E5" i="24"/>
  <c r="E4" i="24"/>
  <c r="I2" i="24"/>
  <c r="H5" i="24" s="1"/>
  <c r="I1" i="24"/>
  <c r="H4" i="24" s="1"/>
  <c r="H6" i="24" s="1"/>
  <c r="C42" i="24" l="1"/>
  <c r="J42" i="24"/>
  <c r="K42" i="24"/>
  <c r="L42" i="24"/>
  <c r="F4" i="24"/>
  <c r="G4" i="24"/>
  <c r="F5" i="24"/>
  <c r="M41" i="24"/>
  <c r="N41" i="24" s="1"/>
  <c r="G5" i="24"/>
  <c r="I5" i="24" l="1"/>
  <c r="G6" i="24"/>
  <c r="F6" i="24"/>
  <c r="I4" i="24"/>
  <c r="M42" i="24"/>
  <c r="M43" i="24" s="1"/>
  <c r="D42" i="24"/>
  <c r="D43" i="24" s="1"/>
  <c r="I1" i="23"/>
  <c r="N42" i="24" l="1"/>
  <c r="N37" i="22"/>
  <c r="M37" i="22"/>
  <c r="L40" i="23"/>
  <c r="K40" i="23"/>
  <c r="J40" i="23"/>
  <c r="C40" i="23"/>
  <c r="B40" i="23"/>
  <c r="B42" i="23" s="1"/>
  <c r="M37" i="23"/>
  <c r="N37" i="23" s="1"/>
  <c r="M36" i="23"/>
  <c r="N36" i="23" s="1"/>
  <c r="M35" i="23"/>
  <c r="N35" i="23" s="1"/>
  <c r="M34" i="23"/>
  <c r="N34" i="23" s="1"/>
  <c r="M33" i="23"/>
  <c r="N33" i="23" s="1"/>
  <c r="M32" i="23"/>
  <c r="N32" i="23" s="1"/>
  <c r="M31" i="23"/>
  <c r="N31" i="23" s="1"/>
  <c r="M30" i="23"/>
  <c r="N30" i="23" s="1"/>
  <c r="M29" i="23"/>
  <c r="N29" i="23" s="1"/>
  <c r="M28" i="23"/>
  <c r="N28" i="23" s="1"/>
  <c r="M27" i="23"/>
  <c r="N27" i="23" s="1"/>
  <c r="M26" i="23"/>
  <c r="N26" i="23" s="1"/>
  <c r="M25" i="23"/>
  <c r="N25" i="23" s="1"/>
  <c r="M24" i="23"/>
  <c r="N24" i="23" s="1"/>
  <c r="M23" i="23"/>
  <c r="N23" i="23" s="1"/>
  <c r="M22" i="23"/>
  <c r="N22" i="23" s="1"/>
  <c r="M21" i="23"/>
  <c r="N21" i="23" s="1"/>
  <c r="M20" i="23"/>
  <c r="N20" i="23" s="1"/>
  <c r="M19" i="23"/>
  <c r="N19" i="23" s="1"/>
  <c r="M18" i="23"/>
  <c r="N18" i="23" s="1"/>
  <c r="M17" i="23"/>
  <c r="N17" i="23" s="1"/>
  <c r="M16" i="23"/>
  <c r="N16" i="23" s="1"/>
  <c r="M15" i="23"/>
  <c r="N15" i="23" s="1"/>
  <c r="M14" i="23"/>
  <c r="N14" i="23" s="1"/>
  <c r="M13" i="23"/>
  <c r="N13" i="23" s="1"/>
  <c r="M12" i="23"/>
  <c r="N12" i="23" s="1"/>
  <c r="M11" i="23"/>
  <c r="N11" i="23" s="1"/>
  <c r="M10" i="23"/>
  <c r="N10" i="23" s="1"/>
  <c r="M9" i="23"/>
  <c r="N9" i="23" s="1"/>
  <c r="M8" i="23"/>
  <c r="N8" i="23" s="1"/>
  <c r="E5" i="23"/>
  <c r="E4" i="23"/>
  <c r="I2" i="23"/>
  <c r="G5" i="23" s="1"/>
  <c r="H4" i="23"/>
  <c r="I1" i="22"/>
  <c r="L41" i="22"/>
  <c r="K41" i="22"/>
  <c r="J41" i="22"/>
  <c r="C41" i="22"/>
  <c r="B41" i="22"/>
  <c r="B43" i="22" s="1"/>
  <c r="M38" i="22"/>
  <c r="N38" i="22" s="1"/>
  <c r="M36" i="22"/>
  <c r="N36" i="22" s="1"/>
  <c r="M35" i="22"/>
  <c r="N35" i="22" s="1"/>
  <c r="M34" i="22"/>
  <c r="N34" i="22" s="1"/>
  <c r="M33" i="22"/>
  <c r="N33" i="22" s="1"/>
  <c r="M32" i="22"/>
  <c r="N32" i="22" s="1"/>
  <c r="M31" i="22"/>
  <c r="N31" i="22" s="1"/>
  <c r="M30" i="22"/>
  <c r="N30" i="22" s="1"/>
  <c r="M29" i="22"/>
  <c r="N29" i="22" s="1"/>
  <c r="M28" i="22"/>
  <c r="N28" i="22" s="1"/>
  <c r="M27" i="22"/>
  <c r="N27" i="22" s="1"/>
  <c r="M26" i="22"/>
  <c r="N26" i="22" s="1"/>
  <c r="M25" i="22"/>
  <c r="N25" i="22" s="1"/>
  <c r="M24" i="22"/>
  <c r="N24" i="22" s="1"/>
  <c r="M23" i="22"/>
  <c r="N23" i="22" s="1"/>
  <c r="M22" i="22"/>
  <c r="N22" i="22" s="1"/>
  <c r="M21" i="22"/>
  <c r="N21" i="22" s="1"/>
  <c r="M20" i="22"/>
  <c r="N20" i="22" s="1"/>
  <c r="M19" i="22"/>
  <c r="N19" i="22" s="1"/>
  <c r="M18" i="22"/>
  <c r="N18" i="22" s="1"/>
  <c r="M17" i="22"/>
  <c r="N17" i="22" s="1"/>
  <c r="M16" i="22"/>
  <c r="N16" i="22" s="1"/>
  <c r="M15" i="22"/>
  <c r="N15" i="22" s="1"/>
  <c r="M14" i="22"/>
  <c r="N14" i="22" s="1"/>
  <c r="M13" i="22"/>
  <c r="N13" i="22" s="1"/>
  <c r="M12" i="22"/>
  <c r="N12" i="22" s="1"/>
  <c r="M11" i="22"/>
  <c r="N11" i="22" s="1"/>
  <c r="M10" i="22"/>
  <c r="N10" i="22" s="1"/>
  <c r="M9" i="22"/>
  <c r="N9" i="22" s="1"/>
  <c r="M8" i="22"/>
  <c r="N8" i="22" s="1"/>
  <c r="E5" i="22"/>
  <c r="E4" i="22"/>
  <c r="I2" i="22"/>
  <c r="H5" i="22" s="1"/>
  <c r="H4" i="22"/>
  <c r="H6" i="22" s="1"/>
  <c r="M37" i="21"/>
  <c r="N37" i="21" s="1"/>
  <c r="L39" i="21"/>
  <c r="K39" i="21"/>
  <c r="J39" i="21"/>
  <c r="C39" i="21"/>
  <c r="B39" i="21"/>
  <c r="B41" i="21" s="1"/>
  <c r="M36" i="21"/>
  <c r="N36" i="21" s="1"/>
  <c r="M35" i="21"/>
  <c r="N35" i="21" s="1"/>
  <c r="M34" i="21"/>
  <c r="N34" i="21" s="1"/>
  <c r="M33" i="21"/>
  <c r="N33" i="21" s="1"/>
  <c r="M32" i="21"/>
  <c r="N32" i="21" s="1"/>
  <c r="M31" i="21"/>
  <c r="N31" i="21" s="1"/>
  <c r="M30" i="21"/>
  <c r="N30" i="21" s="1"/>
  <c r="M29" i="21"/>
  <c r="N29" i="21" s="1"/>
  <c r="M28" i="21"/>
  <c r="N28" i="21" s="1"/>
  <c r="M27" i="21"/>
  <c r="N27" i="21" s="1"/>
  <c r="M26" i="21"/>
  <c r="N26" i="21" s="1"/>
  <c r="M25" i="21"/>
  <c r="N25" i="21" s="1"/>
  <c r="M24" i="21"/>
  <c r="N24" i="21" s="1"/>
  <c r="M23" i="21"/>
  <c r="N23" i="21" s="1"/>
  <c r="M22" i="21"/>
  <c r="N22" i="21" s="1"/>
  <c r="M21" i="21"/>
  <c r="N21" i="21" s="1"/>
  <c r="M20" i="21"/>
  <c r="N20" i="21" s="1"/>
  <c r="M19" i="21"/>
  <c r="N19" i="21" s="1"/>
  <c r="M18" i="21"/>
  <c r="N18" i="21" s="1"/>
  <c r="M17" i="21"/>
  <c r="N17" i="21" s="1"/>
  <c r="M16" i="21"/>
  <c r="N16" i="21" s="1"/>
  <c r="M15" i="21"/>
  <c r="N15" i="21" s="1"/>
  <c r="M14" i="21"/>
  <c r="N14" i="21" s="1"/>
  <c r="M13" i="21"/>
  <c r="N13" i="21" s="1"/>
  <c r="M12" i="21"/>
  <c r="N12" i="21" s="1"/>
  <c r="M11" i="21"/>
  <c r="N11" i="21" s="1"/>
  <c r="M10" i="21"/>
  <c r="N10" i="21" s="1"/>
  <c r="M9" i="21"/>
  <c r="N9" i="21" s="1"/>
  <c r="M8" i="21"/>
  <c r="N8" i="21" s="1"/>
  <c r="E5" i="21"/>
  <c r="E4" i="21"/>
  <c r="I2" i="21"/>
  <c r="H5" i="21" s="1"/>
  <c r="I1" i="21"/>
  <c r="H4" i="21" s="1"/>
  <c r="H6" i="21" s="1"/>
  <c r="K42" i="22" l="1"/>
  <c r="F5" i="23"/>
  <c r="H5" i="23"/>
  <c r="H6" i="23" s="1"/>
  <c r="C41" i="23"/>
  <c r="J41" i="23"/>
  <c r="K41" i="23"/>
  <c r="L41" i="23"/>
  <c r="F4" i="23"/>
  <c r="G4" i="23"/>
  <c r="G6" i="23" s="1"/>
  <c r="M40" i="23"/>
  <c r="N40" i="23" s="1"/>
  <c r="J42" i="22"/>
  <c r="C42" i="22"/>
  <c r="L42" i="22"/>
  <c r="M41" i="22"/>
  <c r="N41" i="22" s="1"/>
  <c r="F4" i="22"/>
  <c r="G4" i="22"/>
  <c r="F5" i="22"/>
  <c r="G5" i="22"/>
  <c r="F4" i="21"/>
  <c r="G4" i="21"/>
  <c r="K40" i="21"/>
  <c r="C40" i="21"/>
  <c r="J40" i="21"/>
  <c r="L40" i="21"/>
  <c r="I4" i="21"/>
  <c r="F5" i="21"/>
  <c r="G5" i="21"/>
  <c r="G6" i="21" s="1"/>
  <c r="M39" i="21"/>
  <c r="N39" i="21" s="1"/>
  <c r="L40" i="20"/>
  <c r="K40" i="20"/>
  <c r="J40" i="20"/>
  <c r="M40" i="20" s="1"/>
  <c r="C40" i="20"/>
  <c r="B40" i="20"/>
  <c r="B42" i="20" s="1"/>
  <c r="M38" i="20"/>
  <c r="N38" i="20" s="1"/>
  <c r="M37" i="20"/>
  <c r="N37" i="20" s="1"/>
  <c r="M36" i="20"/>
  <c r="N36" i="20" s="1"/>
  <c r="M35" i="20"/>
  <c r="N35" i="20" s="1"/>
  <c r="M34" i="20"/>
  <c r="N34" i="20" s="1"/>
  <c r="M33" i="20"/>
  <c r="N33" i="20" s="1"/>
  <c r="M32" i="20"/>
  <c r="N32" i="20" s="1"/>
  <c r="M31" i="20"/>
  <c r="N31" i="20" s="1"/>
  <c r="M30" i="20"/>
  <c r="N30" i="20" s="1"/>
  <c r="M29" i="20"/>
  <c r="N29" i="20" s="1"/>
  <c r="M28" i="20"/>
  <c r="N28" i="20" s="1"/>
  <c r="M27" i="20"/>
  <c r="N27" i="20" s="1"/>
  <c r="M26" i="20"/>
  <c r="N26" i="20" s="1"/>
  <c r="M25" i="20"/>
  <c r="N25" i="20" s="1"/>
  <c r="M24" i="20"/>
  <c r="N24" i="20" s="1"/>
  <c r="M23" i="20"/>
  <c r="N23" i="20" s="1"/>
  <c r="M22" i="20"/>
  <c r="N22" i="20" s="1"/>
  <c r="M21" i="20"/>
  <c r="N21" i="20" s="1"/>
  <c r="M20" i="20"/>
  <c r="N20" i="20" s="1"/>
  <c r="M19" i="20"/>
  <c r="N19" i="20" s="1"/>
  <c r="M18" i="20"/>
  <c r="N18" i="20" s="1"/>
  <c r="M17" i="20"/>
  <c r="N17" i="20" s="1"/>
  <c r="M16" i="20"/>
  <c r="N16" i="20" s="1"/>
  <c r="M15" i="20"/>
  <c r="N15" i="20" s="1"/>
  <c r="M14" i="20"/>
  <c r="N14" i="20" s="1"/>
  <c r="M13" i="20"/>
  <c r="N13" i="20" s="1"/>
  <c r="M12" i="20"/>
  <c r="N12" i="20" s="1"/>
  <c r="M11" i="20"/>
  <c r="N11" i="20" s="1"/>
  <c r="M10" i="20"/>
  <c r="N10" i="20" s="1"/>
  <c r="M9" i="20"/>
  <c r="N9" i="20" s="1"/>
  <c r="M8" i="20"/>
  <c r="N8" i="20" s="1"/>
  <c r="E5" i="20"/>
  <c r="E4" i="20"/>
  <c r="I2" i="20"/>
  <c r="H5" i="20" s="1"/>
  <c r="I1" i="20"/>
  <c r="H4" i="20" s="1"/>
  <c r="M37" i="19"/>
  <c r="N37" i="19" s="1"/>
  <c r="I1" i="19"/>
  <c r="H4" i="19" s="1"/>
  <c r="L40" i="19"/>
  <c r="K40" i="19"/>
  <c r="J40" i="19"/>
  <c r="C40" i="19"/>
  <c r="B40" i="19"/>
  <c r="B42" i="19" s="1"/>
  <c r="M38" i="19"/>
  <c r="N38" i="19" s="1"/>
  <c r="M36" i="19"/>
  <c r="N36" i="19" s="1"/>
  <c r="M35" i="19"/>
  <c r="N35" i="19" s="1"/>
  <c r="M34" i="19"/>
  <c r="N34" i="19" s="1"/>
  <c r="M33" i="19"/>
  <c r="N33" i="19" s="1"/>
  <c r="M32" i="19"/>
  <c r="N32" i="19" s="1"/>
  <c r="M31" i="19"/>
  <c r="N31" i="19" s="1"/>
  <c r="M30" i="19"/>
  <c r="N30" i="19" s="1"/>
  <c r="M29" i="19"/>
  <c r="N29" i="19" s="1"/>
  <c r="M28" i="19"/>
  <c r="N28" i="19" s="1"/>
  <c r="M27" i="19"/>
  <c r="N27" i="19" s="1"/>
  <c r="M26" i="19"/>
  <c r="N26" i="19" s="1"/>
  <c r="M25" i="19"/>
  <c r="N25" i="19" s="1"/>
  <c r="M24" i="19"/>
  <c r="N24" i="19" s="1"/>
  <c r="M23" i="19"/>
  <c r="N23" i="19" s="1"/>
  <c r="M22" i="19"/>
  <c r="N22" i="19" s="1"/>
  <c r="M21" i="19"/>
  <c r="N21" i="19" s="1"/>
  <c r="M20" i="19"/>
  <c r="N20" i="19" s="1"/>
  <c r="M19" i="19"/>
  <c r="N19" i="19" s="1"/>
  <c r="M18" i="19"/>
  <c r="N18" i="19" s="1"/>
  <c r="M17" i="19"/>
  <c r="N17" i="19" s="1"/>
  <c r="M16" i="19"/>
  <c r="N16" i="19" s="1"/>
  <c r="M15" i="19"/>
  <c r="N15" i="19" s="1"/>
  <c r="M14" i="19"/>
  <c r="N14" i="19" s="1"/>
  <c r="M13" i="19"/>
  <c r="N13" i="19" s="1"/>
  <c r="M12" i="19"/>
  <c r="N12" i="19" s="1"/>
  <c r="M11" i="19"/>
  <c r="N11" i="19" s="1"/>
  <c r="M10" i="19"/>
  <c r="N10" i="19" s="1"/>
  <c r="M9" i="19"/>
  <c r="N9" i="19" s="1"/>
  <c r="M8" i="19"/>
  <c r="N8" i="19" s="1"/>
  <c r="E5" i="19"/>
  <c r="E4" i="19"/>
  <c r="I2" i="19"/>
  <c r="H5" i="19" s="1"/>
  <c r="I1" i="18"/>
  <c r="L39" i="18"/>
  <c r="K39" i="18"/>
  <c r="J39" i="18"/>
  <c r="C39" i="18"/>
  <c r="B39" i="18"/>
  <c r="B41" i="18" s="1"/>
  <c r="M37" i="18"/>
  <c r="N37" i="18" s="1"/>
  <c r="M36" i="18"/>
  <c r="N36" i="18" s="1"/>
  <c r="M35" i="18"/>
  <c r="N35" i="18" s="1"/>
  <c r="M34" i="18"/>
  <c r="N34" i="18" s="1"/>
  <c r="M33" i="18"/>
  <c r="N33" i="18" s="1"/>
  <c r="M32" i="18"/>
  <c r="N32" i="18" s="1"/>
  <c r="M31" i="18"/>
  <c r="N31" i="18" s="1"/>
  <c r="M30" i="18"/>
  <c r="N30" i="18" s="1"/>
  <c r="M29" i="18"/>
  <c r="N29" i="18" s="1"/>
  <c r="M28" i="18"/>
  <c r="N28" i="18" s="1"/>
  <c r="M27" i="18"/>
  <c r="N27" i="18" s="1"/>
  <c r="M26" i="18"/>
  <c r="N26" i="18" s="1"/>
  <c r="M25" i="18"/>
  <c r="N25" i="18" s="1"/>
  <c r="M24" i="18"/>
  <c r="N24" i="18" s="1"/>
  <c r="M23" i="18"/>
  <c r="N23" i="18" s="1"/>
  <c r="M22" i="18"/>
  <c r="N22" i="18" s="1"/>
  <c r="M21" i="18"/>
  <c r="N21" i="18" s="1"/>
  <c r="M20" i="18"/>
  <c r="N20" i="18" s="1"/>
  <c r="M19" i="18"/>
  <c r="N19" i="18" s="1"/>
  <c r="M18" i="18"/>
  <c r="N18" i="18" s="1"/>
  <c r="M17" i="18"/>
  <c r="N17" i="18" s="1"/>
  <c r="M16" i="18"/>
  <c r="N16" i="18" s="1"/>
  <c r="M15" i="18"/>
  <c r="N15" i="18" s="1"/>
  <c r="M14" i="18"/>
  <c r="N14" i="18" s="1"/>
  <c r="M13" i="18"/>
  <c r="N13" i="18" s="1"/>
  <c r="M12" i="18"/>
  <c r="N12" i="18" s="1"/>
  <c r="M11" i="18"/>
  <c r="N11" i="18" s="1"/>
  <c r="M10" i="18"/>
  <c r="N10" i="18" s="1"/>
  <c r="M9" i="18"/>
  <c r="N9" i="18" s="1"/>
  <c r="M8" i="18"/>
  <c r="N8" i="18" s="1"/>
  <c r="E5" i="18"/>
  <c r="H4" i="18"/>
  <c r="G4" i="18"/>
  <c r="F4" i="18"/>
  <c r="E4" i="18"/>
  <c r="I2" i="18"/>
  <c r="H5" i="18" s="1"/>
  <c r="L40" i="17"/>
  <c r="K40" i="17"/>
  <c r="J40" i="17"/>
  <c r="M40" i="17" s="1"/>
  <c r="C40" i="17"/>
  <c r="B40" i="17"/>
  <c r="B42" i="17" s="1"/>
  <c r="M38" i="17"/>
  <c r="N38" i="17" s="1"/>
  <c r="M37" i="17"/>
  <c r="N37" i="17" s="1"/>
  <c r="M36" i="17"/>
  <c r="N36" i="17" s="1"/>
  <c r="M35" i="17"/>
  <c r="N35" i="17" s="1"/>
  <c r="M34" i="17"/>
  <c r="N34" i="17" s="1"/>
  <c r="M33" i="17"/>
  <c r="N33" i="17" s="1"/>
  <c r="M32" i="17"/>
  <c r="N32" i="17" s="1"/>
  <c r="M31" i="17"/>
  <c r="N31" i="17" s="1"/>
  <c r="M30" i="17"/>
  <c r="N30" i="17" s="1"/>
  <c r="M29" i="17"/>
  <c r="N29" i="17" s="1"/>
  <c r="M28" i="17"/>
  <c r="N28" i="17" s="1"/>
  <c r="M27" i="17"/>
  <c r="N27" i="17" s="1"/>
  <c r="M26" i="17"/>
  <c r="N26" i="17" s="1"/>
  <c r="M25" i="17"/>
  <c r="N25" i="17" s="1"/>
  <c r="M24" i="17"/>
  <c r="N24" i="17" s="1"/>
  <c r="M23" i="17"/>
  <c r="N23" i="17" s="1"/>
  <c r="M22" i="17"/>
  <c r="N22" i="17" s="1"/>
  <c r="M21" i="17"/>
  <c r="N21" i="17" s="1"/>
  <c r="M20" i="17"/>
  <c r="N20" i="17" s="1"/>
  <c r="M19" i="17"/>
  <c r="N19" i="17" s="1"/>
  <c r="M18" i="17"/>
  <c r="N18" i="17" s="1"/>
  <c r="M17" i="17"/>
  <c r="N17" i="17" s="1"/>
  <c r="M16" i="17"/>
  <c r="N16" i="17" s="1"/>
  <c r="M15" i="17"/>
  <c r="N15" i="17" s="1"/>
  <c r="M14" i="17"/>
  <c r="N14" i="17" s="1"/>
  <c r="M13" i="17"/>
  <c r="N13" i="17" s="1"/>
  <c r="M12" i="17"/>
  <c r="N12" i="17" s="1"/>
  <c r="M11" i="17"/>
  <c r="N11" i="17" s="1"/>
  <c r="M10" i="17"/>
  <c r="N10" i="17" s="1"/>
  <c r="M9" i="17"/>
  <c r="N9" i="17" s="1"/>
  <c r="M8" i="17"/>
  <c r="N8" i="17" s="1"/>
  <c r="E5" i="17"/>
  <c r="E4" i="17"/>
  <c r="I2" i="17"/>
  <c r="H5" i="17" s="1"/>
  <c r="I1" i="17"/>
  <c r="H4" i="17" s="1"/>
  <c r="I1" i="16"/>
  <c r="L40" i="16"/>
  <c r="K40" i="16"/>
  <c r="J40" i="16"/>
  <c r="C40" i="16"/>
  <c r="B40" i="16"/>
  <c r="B42" i="16" s="1"/>
  <c r="M38" i="16"/>
  <c r="N38" i="16" s="1"/>
  <c r="M37" i="16"/>
  <c r="N37" i="16" s="1"/>
  <c r="M36" i="16"/>
  <c r="N36" i="16" s="1"/>
  <c r="M35" i="16"/>
  <c r="N35" i="16" s="1"/>
  <c r="M34" i="16"/>
  <c r="N34" i="16" s="1"/>
  <c r="M33" i="16"/>
  <c r="N33" i="16" s="1"/>
  <c r="M32" i="16"/>
  <c r="N32" i="16" s="1"/>
  <c r="M31" i="16"/>
  <c r="N31" i="16" s="1"/>
  <c r="M30" i="16"/>
  <c r="N30" i="16" s="1"/>
  <c r="M29" i="16"/>
  <c r="N29" i="16" s="1"/>
  <c r="M28" i="16"/>
  <c r="N28" i="16" s="1"/>
  <c r="M27" i="16"/>
  <c r="N27" i="16" s="1"/>
  <c r="M26" i="16"/>
  <c r="N26" i="16" s="1"/>
  <c r="M25" i="16"/>
  <c r="N25" i="16" s="1"/>
  <c r="M24" i="16"/>
  <c r="N24" i="16" s="1"/>
  <c r="M23" i="16"/>
  <c r="N23" i="16" s="1"/>
  <c r="M22" i="16"/>
  <c r="N22" i="16" s="1"/>
  <c r="M21" i="16"/>
  <c r="N21" i="16" s="1"/>
  <c r="M20" i="16"/>
  <c r="N20" i="16" s="1"/>
  <c r="M19" i="16"/>
  <c r="N19" i="16" s="1"/>
  <c r="M18" i="16"/>
  <c r="N18" i="16" s="1"/>
  <c r="M17" i="16"/>
  <c r="N17" i="16" s="1"/>
  <c r="M16" i="16"/>
  <c r="N16" i="16" s="1"/>
  <c r="M15" i="16"/>
  <c r="N15" i="16" s="1"/>
  <c r="M14" i="16"/>
  <c r="N14" i="16" s="1"/>
  <c r="M13" i="16"/>
  <c r="N13" i="16" s="1"/>
  <c r="M12" i="16"/>
  <c r="N12" i="16" s="1"/>
  <c r="M11" i="16"/>
  <c r="N11" i="16" s="1"/>
  <c r="M10" i="16"/>
  <c r="N10" i="16" s="1"/>
  <c r="M9" i="16"/>
  <c r="N9" i="16" s="1"/>
  <c r="M8" i="16"/>
  <c r="N8" i="16" s="1"/>
  <c r="H5" i="16"/>
  <c r="G5" i="16"/>
  <c r="F5" i="16"/>
  <c r="E5" i="16"/>
  <c r="H4" i="16"/>
  <c r="G4" i="16"/>
  <c r="E4" i="16"/>
  <c r="I2" i="16"/>
  <c r="F4" i="16"/>
  <c r="M38" i="15"/>
  <c r="N38" i="15" s="1"/>
  <c r="M37" i="15"/>
  <c r="N37" i="15" s="1"/>
  <c r="M36" i="15"/>
  <c r="N36" i="15" s="1"/>
  <c r="M35" i="15"/>
  <c r="N35" i="15" s="1"/>
  <c r="M34" i="15"/>
  <c r="N34" i="15" s="1"/>
  <c r="M33" i="15"/>
  <c r="N33" i="15" s="1"/>
  <c r="M32" i="15"/>
  <c r="N32" i="15" s="1"/>
  <c r="M31" i="15"/>
  <c r="N31" i="15" s="1"/>
  <c r="M30" i="15"/>
  <c r="N30" i="15" s="1"/>
  <c r="M29" i="15"/>
  <c r="N29" i="15" s="1"/>
  <c r="M28" i="15"/>
  <c r="N28" i="15" s="1"/>
  <c r="M27" i="15"/>
  <c r="N27" i="15" s="1"/>
  <c r="M26" i="15"/>
  <c r="N26" i="15" s="1"/>
  <c r="M25" i="15"/>
  <c r="N25" i="15" s="1"/>
  <c r="M24" i="15"/>
  <c r="N24" i="15" s="1"/>
  <c r="M23" i="15"/>
  <c r="N23" i="15" s="1"/>
  <c r="M22" i="15"/>
  <c r="N22" i="15" s="1"/>
  <c r="M21" i="15"/>
  <c r="N21" i="15" s="1"/>
  <c r="M20" i="15"/>
  <c r="N20" i="15" s="1"/>
  <c r="M19" i="15"/>
  <c r="N19" i="15" s="1"/>
  <c r="M18" i="15"/>
  <c r="N18" i="15" s="1"/>
  <c r="M17" i="15"/>
  <c r="N17" i="15" s="1"/>
  <c r="M16" i="15"/>
  <c r="N16" i="15" s="1"/>
  <c r="M15" i="15"/>
  <c r="N15" i="15" s="1"/>
  <c r="M14" i="15"/>
  <c r="N14" i="15" s="1"/>
  <c r="M13" i="15"/>
  <c r="N13" i="15" s="1"/>
  <c r="M12" i="15"/>
  <c r="N12" i="15" s="1"/>
  <c r="M11" i="15"/>
  <c r="N11" i="15" s="1"/>
  <c r="I1" i="15"/>
  <c r="H4" i="15"/>
  <c r="H6" i="15" s="1"/>
  <c r="L40" i="15"/>
  <c r="K40" i="15"/>
  <c r="J40" i="15"/>
  <c r="C40" i="15"/>
  <c r="B40" i="15"/>
  <c r="B42" i="15" s="1"/>
  <c r="M10" i="15"/>
  <c r="N10" i="15" s="1"/>
  <c r="M9" i="15"/>
  <c r="N9" i="15" s="1"/>
  <c r="M8" i="15"/>
  <c r="N8" i="15" s="1"/>
  <c r="E5" i="15"/>
  <c r="E4" i="15"/>
  <c r="I2" i="15"/>
  <c r="H5" i="15" s="1"/>
  <c r="L37" i="14"/>
  <c r="K37" i="14"/>
  <c r="J37" i="14"/>
  <c r="C37" i="14"/>
  <c r="B37" i="14"/>
  <c r="B39" i="14" s="1"/>
  <c r="M35" i="14"/>
  <c r="N35" i="14" s="1"/>
  <c r="M34" i="14"/>
  <c r="N34" i="14" s="1"/>
  <c r="M33" i="14"/>
  <c r="N33" i="14" s="1"/>
  <c r="M32" i="14"/>
  <c r="N32" i="14" s="1"/>
  <c r="M31" i="14"/>
  <c r="N31" i="14" s="1"/>
  <c r="M30" i="14"/>
  <c r="N30" i="14" s="1"/>
  <c r="M29" i="14"/>
  <c r="N29" i="14" s="1"/>
  <c r="M28" i="14"/>
  <c r="N28" i="14" s="1"/>
  <c r="M27" i="14"/>
  <c r="N27" i="14" s="1"/>
  <c r="M26" i="14"/>
  <c r="N26" i="14" s="1"/>
  <c r="M25" i="14"/>
  <c r="N25" i="14" s="1"/>
  <c r="M24" i="14"/>
  <c r="N24" i="14" s="1"/>
  <c r="M23" i="14"/>
  <c r="N23" i="14" s="1"/>
  <c r="M22" i="14"/>
  <c r="N22" i="14" s="1"/>
  <c r="M21" i="14"/>
  <c r="N21" i="14" s="1"/>
  <c r="M20" i="14"/>
  <c r="N20" i="14" s="1"/>
  <c r="M19" i="14"/>
  <c r="N19" i="14" s="1"/>
  <c r="M18" i="14"/>
  <c r="N18" i="14" s="1"/>
  <c r="M17" i="14"/>
  <c r="N17" i="14" s="1"/>
  <c r="M16" i="14"/>
  <c r="N16" i="14" s="1"/>
  <c r="M15" i="14"/>
  <c r="N15" i="14" s="1"/>
  <c r="M14" i="14"/>
  <c r="N14" i="14" s="1"/>
  <c r="M13" i="14"/>
  <c r="N13" i="14" s="1"/>
  <c r="M12" i="14"/>
  <c r="N12" i="14" s="1"/>
  <c r="M11" i="14"/>
  <c r="N11" i="14" s="1"/>
  <c r="M10" i="14"/>
  <c r="N10" i="14" s="1"/>
  <c r="M9" i="14"/>
  <c r="N9" i="14" s="1"/>
  <c r="M8" i="14"/>
  <c r="N8" i="14" s="1"/>
  <c r="E5" i="14"/>
  <c r="E4" i="14"/>
  <c r="I2" i="14"/>
  <c r="H5" i="14" s="1"/>
  <c r="I1" i="14"/>
  <c r="H4" i="14" s="1"/>
  <c r="C46" i="6"/>
  <c r="I1" i="13"/>
  <c r="H4" i="13" s="1"/>
  <c r="L40" i="13"/>
  <c r="K40" i="13"/>
  <c r="J40" i="13"/>
  <c r="M40" i="13" s="1"/>
  <c r="C40" i="13"/>
  <c r="B40" i="13"/>
  <c r="B42" i="13" s="1"/>
  <c r="M38" i="13"/>
  <c r="N38" i="13" s="1"/>
  <c r="M37" i="13"/>
  <c r="N37" i="13" s="1"/>
  <c r="M36" i="13"/>
  <c r="M35" i="13"/>
  <c r="N35" i="13" s="1"/>
  <c r="M34" i="13"/>
  <c r="N34" i="13" s="1"/>
  <c r="M33" i="13"/>
  <c r="N33" i="13" s="1"/>
  <c r="M32" i="13"/>
  <c r="N32" i="13" s="1"/>
  <c r="M31" i="13"/>
  <c r="N31" i="13" s="1"/>
  <c r="M30" i="13"/>
  <c r="N30" i="13" s="1"/>
  <c r="M29" i="13"/>
  <c r="N29" i="13" s="1"/>
  <c r="M28" i="13"/>
  <c r="N28" i="13" s="1"/>
  <c r="M27" i="13"/>
  <c r="N27" i="13" s="1"/>
  <c r="M26" i="13"/>
  <c r="N26" i="13" s="1"/>
  <c r="M25" i="13"/>
  <c r="N25" i="13" s="1"/>
  <c r="M24" i="13"/>
  <c r="N24" i="13" s="1"/>
  <c r="M23" i="13"/>
  <c r="N23" i="13" s="1"/>
  <c r="M22" i="13"/>
  <c r="N22" i="13" s="1"/>
  <c r="M21" i="13"/>
  <c r="N21" i="13" s="1"/>
  <c r="M20" i="13"/>
  <c r="N20" i="13" s="1"/>
  <c r="M19" i="13"/>
  <c r="N19" i="13" s="1"/>
  <c r="M18" i="13"/>
  <c r="N18" i="13" s="1"/>
  <c r="M17" i="13"/>
  <c r="N17" i="13" s="1"/>
  <c r="M16" i="13"/>
  <c r="N16" i="13" s="1"/>
  <c r="M15" i="13"/>
  <c r="N15" i="13" s="1"/>
  <c r="M14" i="13"/>
  <c r="N14" i="13" s="1"/>
  <c r="M13" i="13"/>
  <c r="N13" i="13" s="1"/>
  <c r="M12" i="13"/>
  <c r="N12" i="13" s="1"/>
  <c r="M11" i="13"/>
  <c r="N11" i="13" s="1"/>
  <c r="M10" i="13"/>
  <c r="N10" i="13" s="1"/>
  <c r="M9" i="13"/>
  <c r="N9" i="13" s="1"/>
  <c r="M8" i="13"/>
  <c r="N8" i="13" s="1"/>
  <c r="E5" i="13"/>
  <c r="E4" i="13"/>
  <c r="I2" i="13"/>
  <c r="G5" i="13" s="1"/>
  <c r="I1" i="11"/>
  <c r="I2" i="11"/>
  <c r="M41" i="23" l="1"/>
  <c r="I5" i="23"/>
  <c r="F6" i="23"/>
  <c r="I4" i="23"/>
  <c r="D41" i="23"/>
  <c r="D42" i="23" s="1"/>
  <c r="M42" i="23"/>
  <c r="N41" i="23"/>
  <c r="I5" i="22"/>
  <c r="F6" i="22"/>
  <c r="I4" i="22"/>
  <c r="D42" i="22"/>
  <c r="D43" i="22" s="1"/>
  <c r="G6" i="22"/>
  <c r="M42" i="22"/>
  <c r="M43" i="22" s="1"/>
  <c r="L41" i="20"/>
  <c r="H6" i="20"/>
  <c r="I5" i="21"/>
  <c r="M40" i="21"/>
  <c r="D40" i="21"/>
  <c r="D41" i="21" s="1"/>
  <c r="F6" i="21"/>
  <c r="N40" i="20"/>
  <c r="K41" i="20"/>
  <c r="C41" i="20"/>
  <c r="J41" i="20"/>
  <c r="F4" i="20"/>
  <c r="G4" i="20"/>
  <c r="F5" i="20"/>
  <c r="G5" i="20"/>
  <c r="H6" i="19"/>
  <c r="J41" i="19"/>
  <c r="C41" i="19"/>
  <c r="K41" i="19"/>
  <c r="L41" i="19"/>
  <c r="F4" i="19"/>
  <c r="G4" i="19"/>
  <c r="F5" i="19"/>
  <c r="M40" i="19"/>
  <c r="N40" i="19" s="1"/>
  <c r="G5" i="19"/>
  <c r="M39" i="18"/>
  <c r="N39" i="18" s="1"/>
  <c r="J40" i="18"/>
  <c r="K40" i="18"/>
  <c r="H6" i="18"/>
  <c r="F5" i="18"/>
  <c r="F6" i="18" s="1"/>
  <c r="G5" i="18"/>
  <c r="C40" i="18"/>
  <c r="I4" i="18"/>
  <c r="L40" i="18"/>
  <c r="N40" i="17"/>
  <c r="C41" i="17"/>
  <c r="J41" i="17"/>
  <c r="H6" i="17"/>
  <c r="K41" i="17"/>
  <c r="L41" i="17"/>
  <c r="F5" i="17"/>
  <c r="G5" i="17"/>
  <c r="G4" i="17"/>
  <c r="G6" i="17" s="1"/>
  <c r="F4" i="17"/>
  <c r="M40" i="16"/>
  <c r="N40" i="16"/>
  <c r="G6" i="16"/>
  <c r="I5" i="16"/>
  <c r="H6" i="16"/>
  <c r="C41" i="16"/>
  <c r="J41" i="16"/>
  <c r="F6" i="16"/>
  <c r="I4" i="16"/>
  <c r="L41" i="16"/>
  <c r="K41" i="16"/>
  <c r="C41" i="15"/>
  <c r="J41" i="15"/>
  <c r="K41" i="15"/>
  <c r="L41" i="15"/>
  <c r="M40" i="15"/>
  <c r="N40" i="15" s="1"/>
  <c r="F4" i="15"/>
  <c r="G4" i="15"/>
  <c r="F5" i="15"/>
  <c r="G5" i="15"/>
  <c r="H6" i="14"/>
  <c r="C38" i="14"/>
  <c r="J38" i="14"/>
  <c r="K38" i="14"/>
  <c r="L38" i="14"/>
  <c r="F5" i="14"/>
  <c r="G5" i="14"/>
  <c r="F4" i="14"/>
  <c r="G4" i="14"/>
  <c r="G6" i="14" s="1"/>
  <c r="M37" i="14"/>
  <c r="N37" i="14" s="1"/>
  <c r="H5" i="13"/>
  <c r="J41" i="13"/>
  <c r="K41" i="13"/>
  <c r="L41" i="13"/>
  <c r="H6" i="13"/>
  <c r="C41" i="13"/>
  <c r="F5" i="13"/>
  <c r="I5" i="13" s="1"/>
  <c r="F4" i="13"/>
  <c r="G4" i="13"/>
  <c r="G6" i="13" s="1"/>
  <c r="N40" i="13"/>
  <c r="L40" i="12"/>
  <c r="L41" i="12" s="1"/>
  <c r="K40" i="12"/>
  <c r="J40" i="12"/>
  <c r="M40" i="12" s="1"/>
  <c r="N40" i="12" s="1"/>
  <c r="C40" i="12"/>
  <c r="B40" i="12"/>
  <c r="B42" i="12" s="1"/>
  <c r="M38" i="12"/>
  <c r="N38" i="12" s="1"/>
  <c r="M37" i="12"/>
  <c r="N37" i="12" s="1"/>
  <c r="M36" i="12"/>
  <c r="M35" i="12"/>
  <c r="N35" i="12" s="1"/>
  <c r="M34" i="12"/>
  <c r="N34" i="12" s="1"/>
  <c r="M33" i="12"/>
  <c r="N33" i="12" s="1"/>
  <c r="M32" i="12"/>
  <c r="N32" i="12" s="1"/>
  <c r="M31" i="12"/>
  <c r="N31" i="12" s="1"/>
  <c r="M30" i="12"/>
  <c r="N30" i="12" s="1"/>
  <c r="M29" i="12"/>
  <c r="N29" i="12" s="1"/>
  <c r="M28" i="12"/>
  <c r="N28" i="12" s="1"/>
  <c r="M27" i="12"/>
  <c r="N27" i="12" s="1"/>
  <c r="M26" i="12"/>
  <c r="N26" i="12" s="1"/>
  <c r="M25" i="12"/>
  <c r="N25" i="12" s="1"/>
  <c r="M24" i="12"/>
  <c r="N24" i="12" s="1"/>
  <c r="M23" i="12"/>
  <c r="N23" i="12" s="1"/>
  <c r="M22" i="12"/>
  <c r="N22" i="12" s="1"/>
  <c r="M21" i="12"/>
  <c r="N21" i="12" s="1"/>
  <c r="M20" i="12"/>
  <c r="N20" i="12" s="1"/>
  <c r="M19" i="12"/>
  <c r="N19" i="12" s="1"/>
  <c r="M18" i="12"/>
  <c r="N18" i="12" s="1"/>
  <c r="M17" i="12"/>
  <c r="N17" i="12" s="1"/>
  <c r="M16" i="12"/>
  <c r="N16" i="12" s="1"/>
  <c r="M15" i="12"/>
  <c r="N15" i="12" s="1"/>
  <c r="M14" i="12"/>
  <c r="N14" i="12" s="1"/>
  <c r="M13" i="12"/>
  <c r="N13" i="12" s="1"/>
  <c r="M12" i="12"/>
  <c r="N12" i="12" s="1"/>
  <c r="M11" i="12"/>
  <c r="N11" i="12" s="1"/>
  <c r="M10" i="12"/>
  <c r="N10" i="12" s="1"/>
  <c r="M9" i="12"/>
  <c r="N9" i="12" s="1"/>
  <c r="M8" i="12"/>
  <c r="N8" i="12" s="1"/>
  <c r="E5" i="12"/>
  <c r="E4" i="12"/>
  <c r="I2" i="12"/>
  <c r="H5" i="12" s="1"/>
  <c r="I1" i="12"/>
  <c r="H4" i="12" s="1"/>
  <c r="H6" i="12" s="1"/>
  <c r="N42" i="22" l="1"/>
  <c r="N40" i="21"/>
  <c r="I5" i="20"/>
  <c r="M41" i="21"/>
  <c r="M41" i="20"/>
  <c r="M46" i="20" s="1"/>
  <c r="D41" i="20"/>
  <c r="D42" i="20" s="1"/>
  <c r="G6" i="20"/>
  <c r="F6" i="20"/>
  <c r="I4" i="20"/>
  <c r="G6" i="19"/>
  <c r="D41" i="19"/>
  <c r="D42" i="19" s="1"/>
  <c r="I5" i="19"/>
  <c r="F6" i="19"/>
  <c r="I4" i="19"/>
  <c r="M41" i="19"/>
  <c r="M46" i="19" s="1"/>
  <c r="M40" i="18"/>
  <c r="M45" i="18" s="1"/>
  <c r="I5" i="18"/>
  <c r="G6" i="18"/>
  <c r="D40" i="18"/>
  <c r="D41" i="18" s="1"/>
  <c r="F6" i="17"/>
  <c r="I4" i="17"/>
  <c r="I5" i="17"/>
  <c r="M41" i="17"/>
  <c r="M46" i="17" s="1"/>
  <c r="D41" i="17"/>
  <c r="D42" i="17" s="1"/>
  <c r="M41" i="16"/>
  <c r="M46" i="16" s="1"/>
  <c r="D41" i="16"/>
  <c r="D42" i="16" s="1"/>
  <c r="G6" i="15"/>
  <c r="M41" i="15"/>
  <c r="M46" i="15" s="1"/>
  <c r="I5" i="15"/>
  <c r="F6" i="15"/>
  <c r="I4" i="15"/>
  <c r="D41" i="15"/>
  <c r="D42" i="15" s="1"/>
  <c r="F6" i="14"/>
  <c r="I4" i="14"/>
  <c r="I5" i="14"/>
  <c r="D38" i="14"/>
  <c r="D39" i="14" s="1"/>
  <c r="M38" i="14"/>
  <c r="M43" i="14" s="1"/>
  <c r="M41" i="13"/>
  <c r="M46" i="13" s="1"/>
  <c r="D41" i="13"/>
  <c r="D42" i="13" s="1"/>
  <c r="I4" i="13"/>
  <c r="F6" i="13"/>
  <c r="K41" i="12"/>
  <c r="C41" i="12"/>
  <c r="J41" i="12"/>
  <c r="M41" i="12" s="1"/>
  <c r="M46" i="12" s="1"/>
  <c r="F4" i="12"/>
  <c r="G4" i="12"/>
  <c r="G6" i="12" s="1"/>
  <c r="F5" i="12"/>
  <c r="G5" i="12"/>
  <c r="N41" i="20" l="1"/>
  <c r="M42" i="20"/>
  <c r="N41" i="19"/>
  <c r="M42" i="19"/>
  <c r="N40" i="18"/>
  <c r="M41" i="18"/>
  <c r="M42" i="17"/>
  <c r="N41" i="17"/>
  <c r="N41" i="16"/>
  <c r="M42" i="16"/>
  <c r="N41" i="15"/>
  <c r="M42" i="15"/>
  <c r="N38" i="14"/>
  <c r="M39" i="14"/>
  <c r="N41" i="13"/>
  <c r="M42" i="13"/>
  <c r="I5" i="12"/>
  <c r="F6" i="12"/>
  <c r="I4" i="12"/>
  <c r="M42" i="12"/>
  <c r="N41" i="12"/>
  <c r="D41" i="12"/>
  <c r="D42" i="12" s="1"/>
  <c r="H4" i="11"/>
  <c r="L40" i="11"/>
  <c r="K40" i="11"/>
  <c r="J40" i="11"/>
  <c r="C40" i="11"/>
  <c r="B40" i="11"/>
  <c r="B42" i="11" s="1"/>
  <c r="N38" i="11"/>
  <c r="M37" i="11"/>
  <c r="N37" i="11" s="1"/>
  <c r="M36" i="11"/>
  <c r="N36" i="11" s="1"/>
  <c r="M35" i="11"/>
  <c r="N35" i="11" s="1"/>
  <c r="M34" i="11"/>
  <c r="N34" i="11" s="1"/>
  <c r="M33" i="11"/>
  <c r="N33" i="11" s="1"/>
  <c r="M32" i="11"/>
  <c r="N32" i="11" s="1"/>
  <c r="M31" i="11"/>
  <c r="N31" i="11" s="1"/>
  <c r="M30" i="11"/>
  <c r="N30" i="11" s="1"/>
  <c r="M29" i="11"/>
  <c r="N29" i="11" s="1"/>
  <c r="M28" i="11"/>
  <c r="N28" i="11" s="1"/>
  <c r="M27" i="11"/>
  <c r="N27" i="11" s="1"/>
  <c r="M26" i="11"/>
  <c r="N26" i="11" s="1"/>
  <c r="M25" i="11"/>
  <c r="N25" i="11" s="1"/>
  <c r="M24" i="11"/>
  <c r="N24" i="11" s="1"/>
  <c r="M23" i="11"/>
  <c r="N23" i="11" s="1"/>
  <c r="M22" i="11"/>
  <c r="N22" i="11" s="1"/>
  <c r="M21" i="11"/>
  <c r="N21" i="11" s="1"/>
  <c r="M20" i="11"/>
  <c r="N20" i="11" s="1"/>
  <c r="M19" i="11"/>
  <c r="N19" i="11" s="1"/>
  <c r="M18" i="11"/>
  <c r="N18" i="11" s="1"/>
  <c r="M17" i="11"/>
  <c r="N17" i="11" s="1"/>
  <c r="M16" i="11"/>
  <c r="N16" i="11" s="1"/>
  <c r="M15" i="11"/>
  <c r="N15" i="11" s="1"/>
  <c r="M14" i="11"/>
  <c r="N14" i="11" s="1"/>
  <c r="M13" i="11"/>
  <c r="N13" i="11" s="1"/>
  <c r="M12" i="11"/>
  <c r="N12" i="11" s="1"/>
  <c r="M11" i="11"/>
  <c r="N11" i="11" s="1"/>
  <c r="M10" i="11"/>
  <c r="N10" i="11" s="1"/>
  <c r="M9" i="11"/>
  <c r="N9" i="11" s="1"/>
  <c r="M8" i="11"/>
  <c r="N8" i="11" s="1"/>
  <c r="E5" i="11"/>
  <c r="F4" i="11"/>
  <c r="E4" i="11"/>
  <c r="G5" i="11"/>
  <c r="M36" i="10"/>
  <c r="I1" i="10"/>
  <c r="L40" i="10"/>
  <c r="K40" i="10"/>
  <c r="J40" i="10"/>
  <c r="C40" i="10"/>
  <c r="B40" i="10"/>
  <c r="B42" i="10" s="1"/>
  <c r="M38" i="10"/>
  <c r="N38" i="10" s="1"/>
  <c r="M37" i="10"/>
  <c r="N37" i="10" s="1"/>
  <c r="M35" i="10"/>
  <c r="N35" i="10" s="1"/>
  <c r="M34" i="10"/>
  <c r="N34" i="10" s="1"/>
  <c r="M33" i="10"/>
  <c r="N33" i="10" s="1"/>
  <c r="M32" i="10"/>
  <c r="N32" i="10" s="1"/>
  <c r="M31" i="10"/>
  <c r="N31" i="10" s="1"/>
  <c r="M30" i="10"/>
  <c r="N30" i="10" s="1"/>
  <c r="M29" i="10"/>
  <c r="N29" i="10" s="1"/>
  <c r="M28" i="10"/>
  <c r="N28" i="10" s="1"/>
  <c r="M27" i="10"/>
  <c r="N27" i="10" s="1"/>
  <c r="M26" i="10"/>
  <c r="N26" i="10" s="1"/>
  <c r="M25" i="10"/>
  <c r="N25" i="10" s="1"/>
  <c r="M24" i="10"/>
  <c r="N24" i="10" s="1"/>
  <c r="M23" i="10"/>
  <c r="N23" i="10" s="1"/>
  <c r="M22" i="10"/>
  <c r="N22" i="10" s="1"/>
  <c r="M21" i="10"/>
  <c r="N21" i="10" s="1"/>
  <c r="M20" i="10"/>
  <c r="N20" i="10" s="1"/>
  <c r="M19" i="10"/>
  <c r="N19" i="10" s="1"/>
  <c r="M18" i="10"/>
  <c r="N18" i="10" s="1"/>
  <c r="M17" i="10"/>
  <c r="N17" i="10" s="1"/>
  <c r="M16" i="10"/>
  <c r="N16" i="10" s="1"/>
  <c r="M15" i="10"/>
  <c r="N15" i="10" s="1"/>
  <c r="M14" i="10"/>
  <c r="N14" i="10" s="1"/>
  <c r="M13" i="10"/>
  <c r="N13" i="10" s="1"/>
  <c r="M12" i="10"/>
  <c r="N12" i="10" s="1"/>
  <c r="M11" i="10"/>
  <c r="N11" i="10" s="1"/>
  <c r="M10" i="10"/>
  <c r="N10" i="10" s="1"/>
  <c r="M9" i="10"/>
  <c r="N9" i="10" s="1"/>
  <c r="M8" i="10"/>
  <c r="N8" i="10" s="1"/>
  <c r="E5" i="10"/>
  <c r="E4" i="10"/>
  <c r="I2" i="10"/>
  <c r="H5" i="10" s="1"/>
  <c r="H4" i="10"/>
  <c r="H6" i="10" s="1"/>
  <c r="M45" i="9"/>
  <c r="L41" i="11" l="1"/>
  <c r="M40" i="11"/>
  <c r="N40" i="11" s="1"/>
  <c r="F5" i="11"/>
  <c r="I5" i="11" s="1"/>
  <c r="H5" i="11"/>
  <c r="H6" i="11"/>
  <c r="G4" i="11"/>
  <c r="G6" i="11" s="1"/>
  <c r="C41" i="11"/>
  <c r="D47" i="10" s="1"/>
  <c r="K41" i="11"/>
  <c r="J41" i="11"/>
  <c r="M40" i="10"/>
  <c r="N40" i="10" s="1"/>
  <c r="K41" i="10"/>
  <c r="C41" i="10"/>
  <c r="J41" i="10"/>
  <c r="L41" i="10"/>
  <c r="F4" i="10"/>
  <c r="G4" i="10"/>
  <c r="F5" i="10"/>
  <c r="G5" i="10"/>
  <c r="I1" i="9"/>
  <c r="H4" i="9" s="1"/>
  <c r="H6" i="9" s="1"/>
  <c r="L39" i="9"/>
  <c r="K39" i="9"/>
  <c r="J39" i="9"/>
  <c r="C39" i="9"/>
  <c r="B39" i="9"/>
  <c r="B41" i="9" s="1"/>
  <c r="M37" i="9"/>
  <c r="N37" i="9" s="1"/>
  <c r="M36" i="9"/>
  <c r="N36" i="9" s="1"/>
  <c r="M35" i="9"/>
  <c r="N35" i="9" s="1"/>
  <c r="M34" i="9"/>
  <c r="N34" i="9" s="1"/>
  <c r="M33" i="9"/>
  <c r="N33" i="9" s="1"/>
  <c r="M32" i="9"/>
  <c r="N32" i="9" s="1"/>
  <c r="M31" i="9"/>
  <c r="N31" i="9" s="1"/>
  <c r="M30" i="9"/>
  <c r="N30" i="9" s="1"/>
  <c r="M29" i="9"/>
  <c r="N29" i="9" s="1"/>
  <c r="M28" i="9"/>
  <c r="N28" i="9" s="1"/>
  <c r="M27" i="9"/>
  <c r="N27" i="9" s="1"/>
  <c r="M26" i="9"/>
  <c r="N26" i="9" s="1"/>
  <c r="M25" i="9"/>
  <c r="N25" i="9" s="1"/>
  <c r="M24" i="9"/>
  <c r="N24" i="9" s="1"/>
  <c r="M23" i="9"/>
  <c r="N23" i="9" s="1"/>
  <c r="M22" i="9"/>
  <c r="N22" i="9" s="1"/>
  <c r="M21" i="9"/>
  <c r="N21" i="9" s="1"/>
  <c r="M20" i="9"/>
  <c r="N20" i="9" s="1"/>
  <c r="M19" i="9"/>
  <c r="N19" i="9" s="1"/>
  <c r="M18" i="9"/>
  <c r="N18" i="9" s="1"/>
  <c r="M17" i="9"/>
  <c r="N17" i="9" s="1"/>
  <c r="M16" i="9"/>
  <c r="N16" i="9" s="1"/>
  <c r="M15" i="9"/>
  <c r="N15" i="9" s="1"/>
  <c r="M14" i="9"/>
  <c r="N14" i="9" s="1"/>
  <c r="M13" i="9"/>
  <c r="N13" i="9" s="1"/>
  <c r="M12" i="9"/>
  <c r="N12" i="9" s="1"/>
  <c r="M11" i="9"/>
  <c r="N11" i="9" s="1"/>
  <c r="M10" i="9"/>
  <c r="N10" i="9" s="1"/>
  <c r="M9" i="9"/>
  <c r="N9" i="9" s="1"/>
  <c r="M8" i="9"/>
  <c r="N8" i="9" s="1"/>
  <c r="E5" i="9"/>
  <c r="E4" i="9"/>
  <c r="I2" i="9"/>
  <c r="H5" i="9" s="1"/>
  <c r="I1" i="8"/>
  <c r="M46" i="8"/>
  <c r="F6" i="11" l="1"/>
  <c r="I4" i="11"/>
  <c r="M41" i="11"/>
  <c r="M46" i="11" s="1"/>
  <c r="D41" i="11"/>
  <c r="D42" i="11" s="1"/>
  <c r="I5" i="10"/>
  <c r="G6" i="10"/>
  <c r="F6" i="10"/>
  <c r="I4" i="10"/>
  <c r="M41" i="10"/>
  <c r="M46" i="10" s="1"/>
  <c r="D41" i="10"/>
  <c r="D42" i="10" s="1"/>
  <c r="C40" i="9"/>
  <c r="J40" i="9"/>
  <c r="K40" i="9"/>
  <c r="L40" i="9"/>
  <c r="F5" i="9"/>
  <c r="F4" i="9"/>
  <c r="G4" i="9"/>
  <c r="G5" i="9"/>
  <c r="M39" i="9"/>
  <c r="N39" i="9" s="1"/>
  <c r="C41" i="8"/>
  <c r="L40" i="8"/>
  <c r="K40" i="8"/>
  <c r="J40" i="8"/>
  <c r="J41" i="8" s="1"/>
  <c r="C40" i="8"/>
  <c r="B40" i="8"/>
  <c r="B42" i="8" s="1"/>
  <c r="M38" i="8"/>
  <c r="M37" i="8"/>
  <c r="N37" i="8" s="1"/>
  <c r="M36" i="8"/>
  <c r="N36" i="8" s="1"/>
  <c r="M35" i="8"/>
  <c r="N35" i="8" s="1"/>
  <c r="M34" i="8"/>
  <c r="N34" i="8" s="1"/>
  <c r="M33" i="8"/>
  <c r="N33" i="8" s="1"/>
  <c r="M32" i="8"/>
  <c r="N32" i="8" s="1"/>
  <c r="M31" i="8"/>
  <c r="N31" i="8" s="1"/>
  <c r="M30" i="8"/>
  <c r="N30" i="8" s="1"/>
  <c r="M29" i="8"/>
  <c r="N29" i="8" s="1"/>
  <c r="M28" i="8"/>
  <c r="N28" i="8" s="1"/>
  <c r="M27" i="8"/>
  <c r="N27" i="8" s="1"/>
  <c r="M26" i="8"/>
  <c r="N26" i="8" s="1"/>
  <c r="M25" i="8"/>
  <c r="N25" i="8" s="1"/>
  <c r="M24" i="8"/>
  <c r="N24" i="8" s="1"/>
  <c r="M23" i="8"/>
  <c r="N23" i="8" s="1"/>
  <c r="M22" i="8"/>
  <c r="N22" i="8" s="1"/>
  <c r="M21" i="8"/>
  <c r="N21" i="8" s="1"/>
  <c r="M20" i="8"/>
  <c r="N20" i="8" s="1"/>
  <c r="M19" i="8"/>
  <c r="N19" i="8" s="1"/>
  <c r="M18" i="8"/>
  <c r="N18" i="8" s="1"/>
  <c r="M17" i="8"/>
  <c r="N17" i="8" s="1"/>
  <c r="M16" i="8"/>
  <c r="N16" i="8" s="1"/>
  <c r="M15" i="8"/>
  <c r="N15" i="8" s="1"/>
  <c r="M14" i="8"/>
  <c r="N14" i="8" s="1"/>
  <c r="M13" i="8"/>
  <c r="N13" i="8" s="1"/>
  <c r="M12" i="8"/>
  <c r="N12" i="8" s="1"/>
  <c r="M11" i="8"/>
  <c r="N11" i="8" s="1"/>
  <c r="M10" i="8"/>
  <c r="N10" i="8" s="1"/>
  <c r="M9" i="8"/>
  <c r="N9" i="8" s="1"/>
  <c r="M8" i="8"/>
  <c r="N8" i="8" s="1"/>
  <c r="E5" i="8"/>
  <c r="H4" i="8"/>
  <c r="G4" i="8"/>
  <c r="F4" i="8"/>
  <c r="E4" i="8"/>
  <c r="I2" i="8"/>
  <c r="H5" i="8" s="1"/>
  <c r="H6" i="8" s="1"/>
  <c r="J40" i="7"/>
  <c r="M38" i="7"/>
  <c r="N41" i="11" l="1"/>
  <c r="M42" i="11"/>
  <c r="N41" i="10"/>
  <c r="M42" i="10"/>
  <c r="G6" i="9"/>
  <c r="F6" i="9"/>
  <c r="I4" i="9"/>
  <c r="I5" i="9"/>
  <c r="M40" i="9"/>
  <c r="D40" i="9"/>
  <c r="D41" i="9" s="1"/>
  <c r="I4" i="8"/>
  <c r="K41" i="8"/>
  <c r="L41" i="8"/>
  <c r="F5" i="8"/>
  <c r="M40" i="8"/>
  <c r="N40" i="8" s="1"/>
  <c r="G5" i="8"/>
  <c r="G6" i="8" s="1"/>
  <c r="I1" i="7"/>
  <c r="H4" i="7" s="1"/>
  <c r="I1" i="6"/>
  <c r="H4" i="6" s="1"/>
  <c r="L40" i="7"/>
  <c r="K40" i="7"/>
  <c r="C40" i="7"/>
  <c r="B40" i="7"/>
  <c r="B42" i="7" s="1"/>
  <c r="M37" i="7"/>
  <c r="N37" i="7" s="1"/>
  <c r="M36" i="7"/>
  <c r="N36" i="7" s="1"/>
  <c r="M35" i="7"/>
  <c r="N35" i="7" s="1"/>
  <c r="M34" i="7"/>
  <c r="N34" i="7" s="1"/>
  <c r="M33" i="7"/>
  <c r="N33" i="7" s="1"/>
  <c r="M32" i="7"/>
  <c r="N32" i="7" s="1"/>
  <c r="M31" i="7"/>
  <c r="N31" i="7" s="1"/>
  <c r="M30" i="7"/>
  <c r="N30" i="7" s="1"/>
  <c r="M29" i="7"/>
  <c r="N29" i="7" s="1"/>
  <c r="M28" i="7"/>
  <c r="N28" i="7" s="1"/>
  <c r="M27" i="7"/>
  <c r="N27" i="7" s="1"/>
  <c r="M26" i="7"/>
  <c r="N26" i="7" s="1"/>
  <c r="M25" i="7"/>
  <c r="N25" i="7" s="1"/>
  <c r="M24" i="7"/>
  <c r="N24" i="7" s="1"/>
  <c r="M23" i="7"/>
  <c r="N23" i="7" s="1"/>
  <c r="M22" i="7"/>
  <c r="N22" i="7" s="1"/>
  <c r="M21" i="7"/>
  <c r="N21" i="7" s="1"/>
  <c r="M20" i="7"/>
  <c r="N20" i="7" s="1"/>
  <c r="M19" i="7"/>
  <c r="N19" i="7" s="1"/>
  <c r="M18" i="7"/>
  <c r="N18" i="7" s="1"/>
  <c r="M17" i="7"/>
  <c r="N17" i="7" s="1"/>
  <c r="M16" i="7"/>
  <c r="N16" i="7" s="1"/>
  <c r="M15" i="7"/>
  <c r="N15" i="7" s="1"/>
  <c r="M14" i="7"/>
  <c r="N14" i="7" s="1"/>
  <c r="M13" i="7"/>
  <c r="N13" i="7" s="1"/>
  <c r="M12" i="7"/>
  <c r="N12" i="7" s="1"/>
  <c r="M11" i="7"/>
  <c r="N11" i="7" s="1"/>
  <c r="M10" i="7"/>
  <c r="N10" i="7" s="1"/>
  <c r="M9" i="7"/>
  <c r="N9" i="7" s="1"/>
  <c r="M8" i="7"/>
  <c r="N8" i="7" s="1"/>
  <c r="E5" i="7"/>
  <c r="E4" i="7"/>
  <c r="I2" i="7"/>
  <c r="G5" i="7" s="1"/>
  <c r="L40" i="6"/>
  <c r="K40" i="6"/>
  <c r="J40" i="6"/>
  <c r="M40" i="6" s="1"/>
  <c r="C40" i="6"/>
  <c r="B40" i="6"/>
  <c r="B42" i="6" s="1"/>
  <c r="M37" i="6"/>
  <c r="N37" i="6" s="1"/>
  <c r="M36" i="6"/>
  <c r="N36" i="6" s="1"/>
  <c r="M35" i="6"/>
  <c r="N35" i="6" s="1"/>
  <c r="M34" i="6"/>
  <c r="N34" i="6" s="1"/>
  <c r="M33" i="6"/>
  <c r="N33" i="6" s="1"/>
  <c r="M32" i="6"/>
  <c r="N32" i="6" s="1"/>
  <c r="M31" i="6"/>
  <c r="N31" i="6" s="1"/>
  <c r="M30" i="6"/>
  <c r="N30" i="6" s="1"/>
  <c r="M29" i="6"/>
  <c r="N29" i="6" s="1"/>
  <c r="M28" i="6"/>
  <c r="N28" i="6" s="1"/>
  <c r="M27" i="6"/>
  <c r="N27" i="6" s="1"/>
  <c r="M26" i="6"/>
  <c r="N26" i="6" s="1"/>
  <c r="M25" i="6"/>
  <c r="N25" i="6" s="1"/>
  <c r="M24" i="6"/>
  <c r="N24" i="6" s="1"/>
  <c r="M23" i="6"/>
  <c r="N23" i="6" s="1"/>
  <c r="M22" i="6"/>
  <c r="N22" i="6" s="1"/>
  <c r="M21" i="6"/>
  <c r="N21" i="6" s="1"/>
  <c r="M20" i="6"/>
  <c r="N20" i="6" s="1"/>
  <c r="M19" i="6"/>
  <c r="N19" i="6" s="1"/>
  <c r="M18" i="6"/>
  <c r="N18" i="6" s="1"/>
  <c r="M17" i="6"/>
  <c r="N17" i="6" s="1"/>
  <c r="M16" i="6"/>
  <c r="N16" i="6" s="1"/>
  <c r="M15" i="6"/>
  <c r="N15" i="6" s="1"/>
  <c r="M14" i="6"/>
  <c r="N14" i="6" s="1"/>
  <c r="M13" i="6"/>
  <c r="N13" i="6" s="1"/>
  <c r="M12" i="6"/>
  <c r="N12" i="6" s="1"/>
  <c r="M11" i="6"/>
  <c r="N11" i="6" s="1"/>
  <c r="M10" i="6"/>
  <c r="N10" i="6" s="1"/>
  <c r="M9" i="6"/>
  <c r="N9" i="6" s="1"/>
  <c r="M8" i="6"/>
  <c r="N8" i="6" s="1"/>
  <c r="E5" i="6"/>
  <c r="E4" i="6"/>
  <c r="I2" i="6"/>
  <c r="H5" i="6" s="1"/>
  <c r="M41" i="9" l="1"/>
  <c r="N40" i="9"/>
  <c r="M41" i="8"/>
  <c r="I5" i="8"/>
  <c r="F6" i="8"/>
  <c r="D41" i="8"/>
  <c r="D42" i="8" s="1"/>
  <c r="M42" i="8"/>
  <c r="N41" i="8"/>
  <c r="J41" i="7"/>
  <c r="M40" i="7"/>
  <c r="N40" i="7" s="1"/>
  <c r="C41" i="7"/>
  <c r="K41" i="7"/>
  <c r="L41" i="7"/>
  <c r="H5" i="7"/>
  <c r="H6" i="7" s="1"/>
  <c r="F4" i="7"/>
  <c r="F6" i="7" s="1"/>
  <c r="G4" i="7"/>
  <c r="G6" i="7" s="1"/>
  <c r="F5" i="7"/>
  <c r="I5" i="7" s="1"/>
  <c r="H6" i="6"/>
  <c r="N40" i="6"/>
  <c r="C41" i="6"/>
  <c r="K41" i="6"/>
  <c r="L41" i="6"/>
  <c r="F4" i="6"/>
  <c r="J41" i="6"/>
  <c r="G4" i="6"/>
  <c r="F5" i="6"/>
  <c r="G5" i="6"/>
  <c r="M41" i="7" l="1"/>
  <c r="M42" i="7" s="1"/>
  <c r="I4" i="7"/>
  <c r="D41" i="7"/>
  <c r="D42" i="7" s="1"/>
  <c r="M41" i="6"/>
  <c r="M42" i="6" s="1"/>
  <c r="G6" i="6"/>
  <c r="F6" i="6"/>
  <c r="I4" i="6"/>
  <c r="I5" i="6"/>
  <c r="D41" i="6"/>
  <c r="D42" i="6" s="1"/>
  <c r="N41" i="7" l="1"/>
  <c r="N41" i="6"/>
  <c r="N37" i="5"/>
  <c r="M37" i="5"/>
  <c r="E5" i="5"/>
  <c r="E4" i="5"/>
  <c r="L40" i="5"/>
  <c r="K40" i="5"/>
  <c r="J40" i="5"/>
  <c r="C40" i="5"/>
  <c r="B40" i="5"/>
  <c r="B42" i="5" s="1"/>
  <c r="M38" i="5"/>
  <c r="N38" i="5" s="1"/>
  <c r="M36" i="5"/>
  <c r="N36" i="5" s="1"/>
  <c r="M35" i="5"/>
  <c r="N35" i="5" s="1"/>
  <c r="M34" i="5"/>
  <c r="N34" i="5" s="1"/>
  <c r="M33" i="5"/>
  <c r="N33" i="5" s="1"/>
  <c r="M32" i="5"/>
  <c r="N32" i="5" s="1"/>
  <c r="M31" i="5"/>
  <c r="N31" i="5" s="1"/>
  <c r="M30" i="5"/>
  <c r="N30" i="5" s="1"/>
  <c r="M29" i="5"/>
  <c r="N29" i="5" s="1"/>
  <c r="M28" i="5"/>
  <c r="N28" i="5" s="1"/>
  <c r="M27" i="5"/>
  <c r="N27" i="5" s="1"/>
  <c r="M26" i="5"/>
  <c r="N26" i="5" s="1"/>
  <c r="M25" i="5"/>
  <c r="N25" i="5" s="1"/>
  <c r="M24" i="5"/>
  <c r="N24" i="5" s="1"/>
  <c r="M23" i="5"/>
  <c r="N23" i="5" s="1"/>
  <c r="M22" i="5"/>
  <c r="N22" i="5" s="1"/>
  <c r="M21" i="5"/>
  <c r="N21" i="5" s="1"/>
  <c r="M20" i="5"/>
  <c r="N20" i="5" s="1"/>
  <c r="M19" i="5"/>
  <c r="N19" i="5" s="1"/>
  <c r="M18" i="5"/>
  <c r="N18" i="5" s="1"/>
  <c r="M17" i="5"/>
  <c r="N17" i="5" s="1"/>
  <c r="M16" i="5"/>
  <c r="N16" i="5" s="1"/>
  <c r="M15" i="5"/>
  <c r="N15" i="5" s="1"/>
  <c r="M14" i="5"/>
  <c r="N14" i="5" s="1"/>
  <c r="M13" i="5"/>
  <c r="N13" i="5" s="1"/>
  <c r="M12" i="5"/>
  <c r="N12" i="5" s="1"/>
  <c r="M11" i="5"/>
  <c r="N11" i="5" s="1"/>
  <c r="M10" i="5"/>
  <c r="N10" i="5" s="1"/>
  <c r="M9" i="5"/>
  <c r="N9" i="5" s="1"/>
  <c r="M8" i="5"/>
  <c r="N8" i="5" s="1"/>
  <c r="I2" i="5"/>
  <c r="G5" i="5" s="1"/>
  <c r="I1" i="5"/>
  <c r="G4" i="5" s="1"/>
  <c r="G6" i="5" s="1"/>
  <c r="L39" i="4"/>
  <c r="K39" i="4"/>
  <c r="J39" i="4"/>
  <c r="H6" i="4"/>
  <c r="G6" i="4"/>
  <c r="F6" i="4"/>
  <c r="H5" i="4"/>
  <c r="G5" i="4"/>
  <c r="F5" i="4"/>
  <c r="I5" i="4" s="1"/>
  <c r="H4" i="4"/>
  <c r="G4" i="4"/>
  <c r="I4" i="4" s="1"/>
  <c r="F4" i="4"/>
  <c r="I2" i="4"/>
  <c r="I1" i="4"/>
  <c r="C39" i="4"/>
  <c r="B39" i="4"/>
  <c r="B41" i="4" s="1"/>
  <c r="M35" i="4"/>
  <c r="N35" i="4" s="1"/>
  <c r="M34" i="4"/>
  <c r="N34" i="4" s="1"/>
  <c r="M27" i="4"/>
  <c r="N27" i="4" s="1"/>
  <c r="M20" i="4"/>
  <c r="N20" i="4" s="1"/>
  <c r="M19" i="4"/>
  <c r="N19" i="4" s="1"/>
  <c r="M18" i="4"/>
  <c r="N18" i="4" s="1"/>
  <c r="M17" i="4"/>
  <c r="N17" i="4" s="1"/>
  <c r="M16" i="4"/>
  <c r="N16" i="4" s="1"/>
  <c r="M15" i="4"/>
  <c r="N15" i="4" s="1"/>
  <c r="M14" i="4"/>
  <c r="N14" i="4" s="1"/>
  <c r="M13" i="4"/>
  <c r="N13" i="4" s="1"/>
  <c r="M12" i="4"/>
  <c r="N12" i="4" s="1"/>
  <c r="M11" i="4"/>
  <c r="N11" i="4" s="1"/>
  <c r="M10" i="4"/>
  <c r="N10" i="4" s="1"/>
  <c r="M9" i="4"/>
  <c r="N9" i="4" s="1"/>
  <c r="M8" i="4"/>
  <c r="N8" i="4" s="1"/>
  <c r="L36" i="3"/>
  <c r="K36" i="3"/>
  <c r="J36" i="3"/>
  <c r="G22" i="3"/>
  <c r="I28" i="3"/>
  <c r="H27" i="3"/>
  <c r="I27" i="3"/>
  <c r="I17" i="3"/>
  <c r="L17" i="3" s="1"/>
  <c r="G18" i="3"/>
  <c r="L26" i="3"/>
  <c r="K26" i="3"/>
  <c r="J26" i="3"/>
  <c r="G23" i="3"/>
  <c r="G20" i="3"/>
  <c r="I33" i="3"/>
  <c r="I32" i="3"/>
  <c r="I31" i="3"/>
  <c r="L31" i="3" s="1"/>
  <c r="I30" i="3"/>
  <c r="K33" i="3"/>
  <c r="J33" i="3"/>
  <c r="K32" i="3"/>
  <c r="J32" i="3"/>
  <c r="K31" i="3"/>
  <c r="J31" i="3"/>
  <c r="H31" i="3"/>
  <c r="G31" i="3"/>
  <c r="G32" i="3"/>
  <c r="H32" i="3"/>
  <c r="G33" i="3"/>
  <c r="H33" i="3"/>
  <c r="L30" i="3"/>
  <c r="K30" i="3"/>
  <c r="J30" i="3"/>
  <c r="H30" i="3"/>
  <c r="G30" i="3"/>
  <c r="I26" i="3"/>
  <c r="H26" i="3"/>
  <c r="J16" i="3"/>
  <c r="J20" i="3"/>
  <c r="G21" i="3" s="1"/>
  <c r="H25" i="3"/>
  <c r="K25" i="3" s="1"/>
  <c r="I25" i="3"/>
  <c r="L25" i="3" s="1"/>
  <c r="L24" i="3"/>
  <c r="K24" i="3"/>
  <c r="G24" i="3"/>
  <c r="J24" i="3" s="1"/>
  <c r="H24" i="3"/>
  <c r="I24" i="3"/>
  <c r="H21" i="3"/>
  <c r="J23" i="3"/>
  <c r="H20" i="3"/>
  <c r="I23" i="3"/>
  <c r="L23" i="3" s="1"/>
  <c r="H23" i="3"/>
  <c r="K23" i="3" s="1"/>
  <c r="K20" i="3"/>
  <c r="K19" i="3"/>
  <c r="J19" i="3"/>
  <c r="G19" i="3"/>
  <c r="H19" i="3"/>
  <c r="K18" i="3"/>
  <c r="J18" i="3"/>
  <c r="H18" i="3"/>
  <c r="K17" i="3"/>
  <c r="J17" i="3"/>
  <c r="H17" i="3"/>
  <c r="G17" i="3"/>
  <c r="H16" i="3"/>
  <c r="K16" i="3" s="1"/>
  <c r="I16" i="3"/>
  <c r="G16" i="3"/>
  <c r="L16" i="3"/>
  <c r="M12" i="3"/>
  <c r="N12" i="3" s="1"/>
  <c r="M11" i="3"/>
  <c r="B37" i="3"/>
  <c r="C35" i="3"/>
  <c r="C36" i="3" s="1"/>
  <c r="M29" i="3"/>
  <c r="N29" i="3" s="1"/>
  <c r="M22" i="3"/>
  <c r="N22" i="3" s="1"/>
  <c r="M15" i="3"/>
  <c r="N15" i="3" s="1"/>
  <c r="M14" i="3"/>
  <c r="N14" i="3" s="1"/>
  <c r="M13" i="3"/>
  <c r="N13" i="3" s="1"/>
  <c r="N11" i="3"/>
  <c r="M10" i="3"/>
  <c r="N10" i="3" s="1"/>
  <c r="M9" i="3"/>
  <c r="N9" i="3" s="1"/>
  <c r="M8" i="3"/>
  <c r="N8" i="3" s="1"/>
  <c r="M7" i="3"/>
  <c r="N7" i="3" s="1"/>
  <c r="M6" i="3"/>
  <c r="N6" i="3" s="1"/>
  <c r="M5" i="3"/>
  <c r="N5" i="3" s="1"/>
  <c r="M4" i="3"/>
  <c r="N4" i="3" s="1"/>
  <c r="M3" i="3"/>
  <c r="N3" i="3" s="1"/>
  <c r="M35" i="2"/>
  <c r="J34" i="2"/>
  <c r="K34" i="2"/>
  <c r="L34" i="2"/>
  <c r="C34" i="2"/>
  <c r="M31" i="2"/>
  <c r="N31" i="2" s="1"/>
  <c r="B35" i="2"/>
  <c r="L33" i="2"/>
  <c r="K33" i="2"/>
  <c r="J33" i="2"/>
  <c r="C33" i="2"/>
  <c r="M30" i="2"/>
  <c r="N30" i="2" s="1"/>
  <c r="M29" i="2"/>
  <c r="N29" i="2" s="1"/>
  <c r="M28" i="2"/>
  <c r="N28" i="2" s="1"/>
  <c r="M27" i="2"/>
  <c r="N27" i="2" s="1"/>
  <c r="M26" i="2"/>
  <c r="N26" i="2" s="1"/>
  <c r="M25" i="2"/>
  <c r="N25" i="2" s="1"/>
  <c r="M24" i="2"/>
  <c r="N24" i="2" s="1"/>
  <c r="M23" i="2"/>
  <c r="N23" i="2" s="1"/>
  <c r="M22" i="2"/>
  <c r="N22" i="2" s="1"/>
  <c r="M21" i="2"/>
  <c r="N21" i="2" s="1"/>
  <c r="M20" i="2"/>
  <c r="N20" i="2" s="1"/>
  <c r="M19" i="2"/>
  <c r="N19" i="2" s="1"/>
  <c r="M18" i="2"/>
  <c r="N18" i="2" s="1"/>
  <c r="M17" i="2"/>
  <c r="N17" i="2" s="1"/>
  <c r="M16" i="2"/>
  <c r="N16" i="2" s="1"/>
  <c r="M15" i="2"/>
  <c r="N15" i="2" s="1"/>
  <c r="M14" i="2"/>
  <c r="N14" i="2" s="1"/>
  <c r="M13" i="2"/>
  <c r="N13" i="2" s="1"/>
  <c r="M12" i="2"/>
  <c r="N12" i="2" s="1"/>
  <c r="M11" i="2"/>
  <c r="N11" i="2" s="1"/>
  <c r="M10" i="2"/>
  <c r="N10" i="2" s="1"/>
  <c r="M9" i="2"/>
  <c r="N9" i="2" s="1"/>
  <c r="M8" i="2"/>
  <c r="N8" i="2" s="1"/>
  <c r="M7" i="2"/>
  <c r="N7" i="2" s="1"/>
  <c r="M6" i="2"/>
  <c r="N6" i="2" s="1"/>
  <c r="M5" i="2"/>
  <c r="N5" i="2" s="1"/>
  <c r="M4" i="2"/>
  <c r="N4" i="2" s="1"/>
  <c r="M3" i="2"/>
  <c r="N3" i="2" s="1"/>
  <c r="M36" i="1"/>
  <c r="L36" i="1"/>
  <c r="K36" i="1"/>
  <c r="D35" i="1"/>
  <c r="D36" i="1" s="1"/>
  <c r="N3" i="1"/>
  <c r="O3" i="1" s="1"/>
  <c r="C37" i="1"/>
  <c r="M35" i="1"/>
  <c r="L35" i="1"/>
  <c r="K35" i="1"/>
  <c r="N33" i="1"/>
  <c r="O33" i="1" s="1"/>
  <c r="N32" i="1"/>
  <c r="O32" i="1" s="1"/>
  <c r="N31" i="1"/>
  <c r="O31" i="1" s="1"/>
  <c r="N30" i="1"/>
  <c r="O30" i="1" s="1"/>
  <c r="N29" i="1"/>
  <c r="O29" i="1" s="1"/>
  <c r="N28" i="1"/>
  <c r="O28" i="1" s="1"/>
  <c r="N27" i="1"/>
  <c r="O27" i="1" s="1"/>
  <c r="N26" i="1"/>
  <c r="O26" i="1" s="1"/>
  <c r="N25" i="1"/>
  <c r="O25" i="1" s="1"/>
  <c r="N24" i="1"/>
  <c r="O24" i="1" s="1"/>
  <c r="N23" i="1"/>
  <c r="O23" i="1" s="1"/>
  <c r="N22" i="1"/>
  <c r="O22" i="1" s="1"/>
  <c r="N21" i="1"/>
  <c r="O21" i="1" s="1"/>
  <c r="N20" i="1"/>
  <c r="O20" i="1" s="1"/>
  <c r="N19" i="1"/>
  <c r="O19" i="1" s="1"/>
  <c r="N18" i="1"/>
  <c r="O18" i="1" s="1"/>
  <c r="N17" i="1"/>
  <c r="O17" i="1" s="1"/>
  <c r="N16" i="1"/>
  <c r="O16" i="1" s="1"/>
  <c r="N15" i="1"/>
  <c r="O15" i="1" s="1"/>
  <c r="N14" i="1"/>
  <c r="O14" i="1" s="1"/>
  <c r="N13" i="1"/>
  <c r="O13" i="1" s="1"/>
  <c r="N12" i="1"/>
  <c r="O12" i="1" s="1"/>
  <c r="N11" i="1"/>
  <c r="O11" i="1" s="1"/>
  <c r="N10" i="1"/>
  <c r="O10" i="1" s="1"/>
  <c r="N9" i="1"/>
  <c r="O9" i="1" s="1"/>
  <c r="N8" i="1"/>
  <c r="O8" i="1" s="1"/>
  <c r="N7" i="1"/>
  <c r="O7" i="1" s="1"/>
  <c r="N6" i="1"/>
  <c r="O6" i="1" s="1"/>
  <c r="N5" i="1"/>
  <c r="O5" i="1" s="1"/>
  <c r="N4" i="1"/>
  <c r="O4" i="1" s="1"/>
  <c r="J40" i="4" l="1"/>
  <c r="K40" i="4"/>
  <c r="L40" i="4"/>
  <c r="C41" i="5"/>
  <c r="D41" i="5" s="1"/>
  <c r="D42" i="5" s="1"/>
  <c r="J41" i="5"/>
  <c r="K41" i="5"/>
  <c r="L41" i="5"/>
  <c r="F4" i="5"/>
  <c r="H4" i="5"/>
  <c r="M40" i="5"/>
  <c r="N40" i="5" s="1"/>
  <c r="H5" i="5"/>
  <c r="F5" i="5"/>
  <c r="I5" i="5" s="1"/>
  <c r="C40" i="4"/>
  <c r="D40" i="4" s="1"/>
  <c r="D41" i="4" s="1"/>
  <c r="M21" i="4"/>
  <c r="N21" i="4" s="1"/>
  <c r="M29" i="4"/>
  <c r="N29" i="4" s="1"/>
  <c r="M36" i="4"/>
  <c r="N36" i="4" s="1"/>
  <c r="M37" i="4"/>
  <c r="N37" i="4" s="1"/>
  <c r="M28" i="4"/>
  <c r="N28" i="4" s="1"/>
  <c r="K27" i="3"/>
  <c r="H28" i="3" s="1"/>
  <c r="K28" i="3" s="1"/>
  <c r="L27" i="3"/>
  <c r="L28" i="3" s="1"/>
  <c r="M17" i="3"/>
  <c r="N17" i="3" s="1"/>
  <c r="I18" i="3"/>
  <c r="L18" i="3" s="1"/>
  <c r="I19" i="3" s="1"/>
  <c r="L19" i="3" s="1"/>
  <c r="I20" i="3" s="1"/>
  <c r="L20" i="3" s="1"/>
  <c r="I21" i="3" s="1"/>
  <c r="L21" i="3" s="1"/>
  <c r="L35" i="3" s="1"/>
  <c r="G25" i="3"/>
  <c r="J25" i="3" s="1"/>
  <c r="G26" i="3" s="1"/>
  <c r="G27" i="3" s="1"/>
  <c r="M24" i="3"/>
  <c r="N24" i="3" s="1"/>
  <c r="M31" i="3"/>
  <c r="N31" i="3" s="1"/>
  <c r="M30" i="3"/>
  <c r="N30" i="3" s="1"/>
  <c r="M26" i="3"/>
  <c r="N26" i="3" s="1"/>
  <c r="M25" i="3"/>
  <c r="N25" i="3" s="1"/>
  <c r="K21" i="3"/>
  <c r="M23" i="3"/>
  <c r="N23" i="3" s="1"/>
  <c r="M19" i="3"/>
  <c r="N19" i="3" s="1"/>
  <c r="M18" i="3"/>
  <c r="N18" i="3" s="1"/>
  <c r="M16" i="3"/>
  <c r="N16" i="3" s="1"/>
  <c r="D36" i="3"/>
  <c r="D37" i="3" s="1"/>
  <c r="M33" i="2"/>
  <c r="N33" i="2" s="1"/>
  <c r="M34" i="2"/>
  <c r="N34" i="2" s="1"/>
  <c r="D34" i="2"/>
  <c r="D35" i="2" s="1"/>
  <c r="N35" i="1"/>
  <c r="O35" i="1" s="1"/>
  <c r="N36" i="1"/>
  <c r="E36" i="1"/>
  <c r="E37" i="1" s="1"/>
  <c r="M41" i="5" l="1"/>
  <c r="M42" i="5" s="1"/>
  <c r="H6" i="5"/>
  <c r="F6" i="5"/>
  <c r="I4" i="5"/>
  <c r="M30" i="4"/>
  <c r="N30" i="4" s="1"/>
  <c r="M22" i="4"/>
  <c r="N22" i="4" s="1"/>
  <c r="M20" i="3"/>
  <c r="N20" i="3" s="1"/>
  <c r="K35" i="3"/>
  <c r="O36" i="1"/>
  <c r="N37" i="1"/>
  <c r="J21" i="3"/>
  <c r="N41" i="5" l="1"/>
  <c r="M23" i="4"/>
  <c r="N23" i="4" s="1"/>
  <c r="M31" i="4"/>
  <c r="N31" i="4" s="1"/>
  <c r="M21" i="3"/>
  <c r="N21" i="3" s="1"/>
  <c r="J35" i="3"/>
  <c r="J27" i="3"/>
  <c r="G28" i="3" s="1"/>
  <c r="J28" i="3" s="1"/>
  <c r="M28" i="3" s="1"/>
  <c r="N28" i="3" s="1"/>
  <c r="M27" i="3"/>
  <c r="N27" i="3" s="1"/>
  <c r="M33" i="4" l="1"/>
  <c r="N33" i="4" s="1"/>
  <c r="M32" i="4"/>
  <c r="N32" i="4" s="1"/>
  <c r="M24" i="4"/>
  <c r="N24" i="4" s="1"/>
  <c r="M35" i="3"/>
  <c r="N35" i="3" s="1"/>
  <c r="M36" i="3"/>
  <c r="M37" i="3" s="1"/>
  <c r="M25" i="4" l="1"/>
  <c r="N25" i="4" s="1"/>
  <c r="N36" i="3"/>
  <c r="L32" i="3"/>
  <c r="L33" i="3" s="1"/>
  <c r="M33" i="3" s="1"/>
  <c r="N33" i="3" s="1"/>
  <c r="M32" i="3"/>
  <c r="N32" i="3" s="1"/>
  <c r="M40" i="4" l="1"/>
  <c r="M39" i="4"/>
  <c r="N39" i="4" s="1"/>
  <c r="M26" i="4"/>
  <c r="N26" i="4" s="1"/>
  <c r="N40" i="4" l="1"/>
  <c r="M41" i="4"/>
</calcChain>
</file>

<file path=xl/sharedStrings.xml><?xml version="1.0" encoding="utf-8"?>
<sst xmlns="http://schemas.openxmlformats.org/spreadsheetml/2006/main" count="343" uniqueCount="20">
  <si>
    <t>SISTEMA</t>
  </si>
  <si>
    <t xml:space="preserve">CONTRATO </t>
  </si>
  <si>
    <t xml:space="preserve">FECHA </t>
  </si>
  <si>
    <t xml:space="preserve">MONTO </t>
  </si>
  <si>
    <t>VIIN000000000001</t>
  </si>
  <si>
    <t>VIIN000000000003</t>
  </si>
  <si>
    <t>VIIN000000000006</t>
  </si>
  <si>
    <t xml:space="preserve"> </t>
  </si>
  <si>
    <t>Dias Prom</t>
  </si>
  <si>
    <t>Cobro %</t>
  </si>
  <si>
    <t xml:space="preserve">Periodo </t>
  </si>
  <si>
    <t>SAB</t>
  </si>
  <si>
    <t>DOM</t>
  </si>
  <si>
    <t xml:space="preserve">SAB </t>
  </si>
  <si>
    <t xml:space="preserve">DOM </t>
  </si>
  <si>
    <t>Inicial</t>
  </si>
  <si>
    <t>Final</t>
  </si>
  <si>
    <t>Promedio</t>
  </si>
  <si>
    <t>Nov</t>
  </si>
  <si>
    <t>Cobrado en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</si>
</sst>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1" xfId="0" applyBorder="1" applyAlignment="1">
      <alignment horizontal="center"/>
    </xf>
    <xf numFmtId="14" fontId="0" fillId="0" borderId="4" xfId="0" applyNumberFormat="1" applyBorder="1"/>
    <xf numFmtId="44" fontId="0" fillId="0" borderId="1" xfId="0" applyNumberFormat="1" applyBorder="1" applyAlignment="1">
      <alignment horizontal="center" vertical="center"/>
    </xf>
    <xf numFmtId="44" fontId="0" fillId="0" borderId="1" xfId="0" applyNumberFormat="1" applyBorder="1"/>
    <xf numFmtId="0" fontId="0" fillId="0" borderId="0" xfId="0" applyAlignment="1">
      <alignment horizontal="center"/>
    </xf>
    <xf numFmtId="14" fontId="0" fillId="0" borderId="0" xfId="0" applyNumberFormat="1"/>
    <xf numFmtId="44" fontId="0" fillId="0" borderId="0" xfId="0" applyNumberFormat="1" applyAlignment="1">
      <alignment horizontal="center" vertical="center"/>
    </xf>
    <xf numFmtId="0" fontId="0" fillId="0" borderId="4" xfId="0" applyBorder="1"/>
    <xf numFmtId="44" fontId="0" fillId="2" borderId="1" xfId="0" applyNumberFormat="1" applyFill="1" applyBorder="1"/>
    <xf numFmtId="44" fontId="0" fillId="0" borderId="0" xfId="0" applyNumberFormat="1"/>
    <xf numFmtId="164" fontId="0" fillId="0" borderId="4" xfId="2" applyNumberFormat="1" applyFont="1" applyBorder="1"/>
    <xf numFmtId="9" fontId="0" fillId="0" borderId="0" xfId="2" applyFont="1"/>
    <xf numFmtId="10" fontId="0" fillId="0" borderId="0" xfId="2" applyNumberFormat="1" applyFont="1"/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1" xfId="0" applyFont="1" applyFill="1" applyBorder="1"/>
    <xf numFmtId="44" fontId="2" fillId="2" borderId="1" xfId="1" applyFont="1" applyFill="1" applyBorder="1"/>
    <xf numFmtId="14" fontId="0" fillId="4" borderId="4" xfId="0" applyNumberFormat="1" applyFill="1" applyBorder="1"/>
    <xf numFmtId="4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0" fillId="0" borderId="5" xfId="0" applyBorder="1"/>
    <xf numFmtId="0" fontId="0" fillId="0" borderId="4" xfId="0" applyBorder="1" applyAlignment="1">
      <alignment horizontal="center"/>
    </xf>
    <xf numFmtId="0" fontId="0" fillId="4" borderId="4" xfId="0" applyFill="1" applyBorder="1" applyAlignment="1">
      <alignment horizontal="center"/>
    </xf>
    <xf numFmtId="44" fontId="0" fillId="4" borderId="1" xfId="0" applyNumberFormat="1" applyFill="1" applyBorder="1"/>
    <xf numFmtId="0" fontId="2" fillId="5" borderId="1" xfId="0" applyFont="1" applyFill="1" applyBorder="1" applyAlignment="1">
      <alignment horizontal="center"/>
    </xf>
    <xf numFmtId="44" fontId="0" fillId="2" borderId="1" xfId="0" applyNumberForma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5" borderId="1" xfId="0" applyNumberFormat="1" applyFill="1" applyBorder="1" applyAlignment="1">
      <alignment horizontal="center" vertical="center"/>
    </xf>
    <xf numFmtId="0" fontId="0" fillId="0" borderId="1" xfId="0" applyBorder="1"/>
    <xf numFmtId="4" fontId="3" fillId="0" borderId="1" xfId="0" applyNumberFormat="1" applyFont="1" applyBorder="1"/>
    <xf numFmtId="10" fontId="0" fillId="0" borderId="0" xfId="0" applyNumberFormat="1"/>
    <xf numFmtId="16" fontId="0" fillId="0" borderId="0" xfId="0" applyNumberFormat="1"/>
    <xf numFmtId="43" fontId="0" fillId="0" borderId="0" xfId="45" applyFont="1"/>
    <xf numFmtId="43" fontId="0" fillId="0" borderId="0" xfId="0" applyNumberFormat="1"/>
    <xf numFmtId="0" fontId="2" fillId="0" borderId="0" xfId="0" applyFont="1"/>
    <xf numFmtId="16" fontId="2" fillId="6" borderId="0" xfId="0" applyNumberFormat="1" applyFont="1" applyFill="1"/>
    <xf numFmtId="10" fontId="2" fillId="6" borderId="0" xfId="2" applyNumberFormat="1" applyFont="1" applyFill="1"/>
    <xf numFmtId="44" fontId="0" fillId="0" borderId="0" xfId="1" applyFont="1"/>
    <xf numFmtId="0" fontId="0" fillId="6" borderId="4" xfId="0" applyFill="1" applyBorder="1" applyAlignment="1">
      <alignment horizontal="center"/>
    </xf>
    <xf numFmtId="14" fontId="0" fillId="6" borderId="4" xfId="0" applyNumberFormat="1" applyFill="1" applyBorder="1"/>
    <xf numFmtId="4" fontId="3" fillId="6" borderId="1" xfId="0" applyNumberFormat="1" applyFont="1" applyFill="1" applyBorder="1"/>
    <xf numFmtId="4" fontId="3" fillId="0" borderId="0" xfId="0" applyNumberFormat="1" applyFont="1"/>
    <xf numFmtId="0" fontId="2" fillId="4" borderId="1" xfId="0" applyFont="1" applyFill="1" applyBorder="1" applyAlignment="1">
      <alignment horizontal="center"/>
    </xf>
  </cellXfs>
  <cellStyles count="46">
    <cellStyle name="Millares" xfId="45" builtinId="3"/>
    <cellStyle name="Millares 2" xfId="3" xr:uid="{C2F2A513-7A95-444D-8A75-B2B1F7E67C8F}"/>
    <cellStyle name="Millares 2 2" xfId="17" xr:uid="{4B700895-532A-4F40-A73A-9F13710889A1}"/>
    <cellStyle name="Millares 2 3" xfId="31" xr:uid="{4BD7A334-AA16-4074-8BD5-147AA6E94BE0}"/>
    <cellStyle name="Millares 3" xfId="5" xr:uid="{62E6D9A0-861A-4DA1-923C-9F1D0EF26A14}"/>
    <cellStyle name="Millares 3 2" xfId="19" xr:uid="{D17F552C-1D1E-421C-9B4F-2FCE54459411}"/>
    <cellStyle name="Millares 3 3" xfId="33" xr:uid="{5BA8D878-B220-46A6-90AE-9248FF7D52E6}"/>
    <cellStyle name="Millares 4" xfId="7" xr:uid="{8200320A-41A9-4BA5-AA96-DB92DF30D533}"/>
    <cellStyle name="Millares 4 2" xfId="21" xr:uid="{BCE0B5E6-3616-4722-A70E-589D92CE6053}"/>
    <cellStyle name="Millares 4 3" xfId="35" xr:uid="{7BF304AF-2A19-49E3-A8FE-788CC0A2023A}"/>
    <cellStyle name="Millares 5" xfId="9" xr:uid="{67183067-5F5B-49F8-8E04-B9C690DB9CA7}"/>
    <cellStyle name="Millares 5 2" xfId="23" xr:uid="{DC2BC03B-7D15-4CDF-84E5-CE8B7DF41D77}"/>
    <cellStyle name="Millares 5 3" xfId="37" xr:uid="{00BCF7CB-1120-43B9-99F2-2823F4270014}"/>
    <cellStyle name="Millares 6" xfId="11" xr:uid="{99B8F572-C286-4D86-81FD-432646D663EA}"/>
    <cellStyle name="Millares 6 2" xfId="25" xr:uid="{5428AD49-5976-4780-B346-8D72A6205635}"/>
    <cellStyle name="Millares 6 3" xfId="39" xr:uid="{3C6C591C-0539-4C41-903C-3AD349AB4DC4}"/>
    <cellStyle name="Millares 7" xfId="13" xr:uid="{DA7CB0E1-5705-4B8E-A38F-2713D9F85142}"/>
    <cellStyle name="Millares 7 2" xfId="27" xr:uid="{4175D156-07B5-4520-B5D8-2268806E6B92}"/>
    <cellStyle name="Millares 7 3" xfId="41" xr:uid="{734E845B-1738-4B60-9D59-076CBA56E140}"/>
    <cellStyle name="Millares 8" xfId="15" xr:uid="{EF21E895-84BA-4A27-A5AE-9FF502972883}"/>
    <cellStyle name="Millares 8 2" xfId="29" xr:uid="{370AC4C9-5C31-44EB-BAD6-66465ED67B8F}"/>
    <cellStyle name="Millares 8 3" xfId="43" xr:uid="{4CCF6968-EDD3-40FA-9808-90FE08FB239F}"/>
    <cellStyle name="Moneda" xfId="1" builtinId="4"/>
    <cellStyle name="Moneda 2" xfId="4" xr:uid="{3B5E6196-1FB6-4239-B835-10B5C46013E8}"/>
    <cellStyle name="Moneda 2 2" xfId="18" xr:uid="{FED59CD6-FF78-4BCD-81D4-CDC68E6E036E}"/>
    <cellStyle name="Moneda 2 3" xfId="32" xr:uid="{180B14B6-8A21-483F-BAFB-D13F027357E2}"/>
    <cellStyle name="Moneda 3" xfId="6" xr:uid="{CDC92779-9E6A-4C7C-8D42-8E1046C3CE93}"/>
    <cellStyle name="Moneda 3 2" xfId="20" xr:uid="{7F4C3401-C976-4B60-8941-38C1BA79A967}"/>
    <cellStyle name="Moneda 3 3" xfId="34" xr:uid="{893A54EF-12A9-4B81-B700-EB89EBDA882F}"/>
    <cellStyle name="Moneda 4" xfId="8" xr:uid="{8B63A9A8-1334-4853-A9F5-64DA238DF40E}"/>
    <cellStyle name="Moneda 4 2" xfId="22" xr:uid="{DF8E007C-A5D8-4C79-BAB5-66B4F79C0D3B}"/>
    <cellStyle name="Moneda 4 3" xfId="36" xr:uid="{54AC3A19-1C85-4533-9FDE-785525F71139}"/>
    <cellStyle name="Moneda 5" xfId="10" xr:uid="{BEE713C4-35F2-4C61-BDB4-B89BFC74DDDC}"/>
    <cellStyle name="Moneda 5 2" xfId="24" xr:uid="{B1834BEE-1DF6-4E23-A7A2-638D2C06DE37}"/>
    <cellStyle name="Moneda 5 3" xfId="38" xr:uid="{0C965D8A-AEC1-4250-A9D4-E4E0587D1C0A}"/>
    <cellStyle name="Moneda 6" xfId="12" xr:uid="{C0D09293-7F6A-4EFE-AD95-5AE395C91C80}"/>
    <cellStyle name="Moneda 6 2" xfId="26" xr:uid="{D6692F55-7016-47D7-9E1C-45B529A4506F}"/>
    <cellStyle name="Moneda 6 3" xfId="40" xr:uid="{F2D6D734-C591-46D2-B1E6-BACC1019E8D3}"/>
    <cellStyle name="Moneda 7" xfId="14" xr:uid="{D1FB69B8-DBF0-48E7-BE60-3B762DEABEE1}"/>
    <cellStyle name="Moneda 7 2" xfId="28" xr:uid="{2CB8CCEE-DD90-4C7B-9D01-ECB790DAE6A1}"/>
    <cellStyle name="Moneda 7 3" xfId="42" xr:uid="{66F3518F-DFBF-413D-AE79-894ABD753607}"/>
    <cellStyle name="Moneda 8" xfId="16" xr:uid="{7F24F4F3-9A84-4D26-A2D2-7DB785452123}"/>
    <cellStyle name="Moneda 8 2" xfId="30" xr:uid="{3BEBB434-B100-45E6-BCFD-AC8D2164B7CB}"/>
    <cellStyle name="Moneda 8 3" xfId="44" xr:uid="{097A7857-0FC7-4B25-A882-DAB33A3D60CF}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9999FF"/>
      <color rgb="FFFFCC99"/>
      <color rgb="FFFF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AE1D7-2638-4C9D-8CE4-49266B84F1D5}">
  <dimension ref="A1:O39"/>
  <sheetViews>
    <sheetView topLeftCell="B22" workbookViewId="0">
      <selection activeCell="D50" sqref="D50"/>
    </sheetView>
  </sheetViews>
  <sheetFormatPr baseColWidth="10" defaultRowHeight="15" x14ac:dyDescent="0.25"/>
  <cols>
    <col min="4" max="4" width="15.140625" customWidth="1"/>
    <col min="11" max="13" width="17" bestFit="1" customWidth="1"/>
    <col min="14" max="15" width="15.140625" bestFit="1" customWidth="1"/>
  </cols>
  <sheetData>
    <row r="1" spans="1:15" x14ac:dyDescent="0.25">
      <c r="B1" s="46" t="s">
        <v>0</v>
      </c>
      <c r="C1" s="46"/>
      <c r="D1" s="46"/>
    </row>
    <row r="2" spans="1:15" x14ac:dyDescent="0.25">
      <c r="B2" s="16" t="s">
        <v>1</v>
      </c>
      <c r="C2" s="17" t="s">
        <v>2</v>
      </c>
      <c r="D2" s="18" t="s">
        <v>3</v>
      </c>
      <c r="K2" s="28" t="s">
        <v>4</v>
      </c>
      <c r="L2" s="14" t="s">
        <v>5</v>
      </c>
      <c r="M2" s="15" t="s">
        <v>6</v>
      </c>
    </row>
    <row r="3" spans="1:15" x14ac:dyDescent="0.25">
      <c r="B3" s="1">
        <v>105433</v>
      </c>
      <c r="C3" s="2">
        <v>44927</v>
      </c>
      <c r="D3" s="3">
        <v>27001992.649999999</v>
      </c>
      <c r="K3" s="3">
        <v>14913832.859999999</v>
      </c>
      <c r="L3" s="3">
        <v>56950.76</v>
      </c>
      <c r="M3" s="3">
        <v>12050929.460000001</v>
      </c>
      <c r="N3" s="4">
        <f>SUM(K3:M3)</f>
        <v>27021713.079999998</v>
      </c>
      <c r="O3" s="4">
        <f>+D3-N3</f>
        <v>-19720.429999999702</v>
      </c>
    </row>
    <row r="4" spans="1:15" x14ac:dyDescent="0.25">
      <c r="A4" s="24"/>
      <c r="B4" s="25">
        <v>105433</v>
      </c>
      <c r="C4" s="2">
        <v>44928</v>
      </c>
      <c r="D4" s="3">
        <v>27046728.039999999</v>
      </c>
      <c r="K4" s="3">
        <v>14921682.289999999</v>
      </c>
      <c r="L4" s="3">
        <v>56422</v>
      </c>
      <c r="M4" s="3">
        <v>12065256.529999999</v>
      </c>
      <c r="N4" s="4">
        <f>SUM(K4:M4)</f>
        <v>27043360.82</v>
      </c>
      <c r="O4" s="4">
        <f t="shared" ref="O4:O33" si="0">+D4-N4</f>
        <v>3367.2199999988079</v>
      </c>
    </row>
    <row r="5" spans="1:15" x14ac:dyDescent="0.25">
      <c r="A5" s="24"/>
      <c r="B5" s="25">
        <v>105433</v>
      </c>
      <c r="C5" s="2">
        <v>44929</v>
      </c>
      <c r="D5" s="3">
        <v>27059879</v>
      </c>
      <c r="K5" s="3">
        <v>14934450.199999999</v>
      </c>
      <c r="L5" s="3">
        <v>56323.75</v>
      </c>
      <c r="M5" s="3">
        <v>12068842.609999999</v>
      </c>
      <c r="N5" s="4">
        <f>SUM(K5:M5)</f>
        <v>27059616.559999999</v>
      </c>
      <c r="O5" s="4">
        <f t="shared" si="0"/>
        <v>262.4400000013411</v>
      </c>
    </row>
    <row r="6" spans="1:15" x14ac:dyDescent="0.25">
      <c r="A6" s="24"/>
      <c r="B6" s="25">
        <v>105433</v>
      </c>
      <c r="C6" s="2">
        <v>44930</v>
      </c>
      <c r="D6" s="3">
        <v>27016782.809999999</v>
      </c>
      <c r="K6" s="3">
        <v>14907739.369999999</v>
      </c>
      <c r="L6" s="3">
        <v>56009.64</v>
      </c>
      <c r="M6" s="3">
        <v>12053013.949999999</v>
      </c>
      <c r="N6" s="4">
        <f t="shared" ref="N6:N33" si="1">SUM(K6:M6)</f>
        <v>27016762.960000001</v>
      </c>
      <c r="O6" s="4">
        <f t="shared" si="0"/>
        <v>19.849999997764826</v>
      </c>
    </row>
    <row r="7" spans="1:15" x14ac:dyDescent="0.25">
      <c r="A7" s="24"/>
      <c r="B7" s="25">
        <v>105433</v>
      </c>
      <c r="C7" s="2">
        <v>44931</v>
      </c>
      <c r="D7" s="3">
        <v>26989359.579999998</v>
      </c>
      <c r="K7" s="3">
        <v>14910052.939999999</v>
      </c>
      <c r="L7" s="3">
        <v>55990</v>
      </c>
      <c r="M7" s="3">
        <v>12056596.33</v>
      </c>
      <c r="N7" s="4">
        <f t="shared" si="1"/>
        <v>27022639.27</v>
      </c>
      <c r="O7" s="4">
        <f t="shared" si="0"/>
        <v>-33279.690000001341</v>
      </c>
    </row>
    <row r="8" spans="1:15" x14ac:dyDescent="0.25">
      <c r="A8" s="23" t="s">
        <v>11</v>
      </c>
      <c r="B8" s="26">
        <v>105433</v>
      </c>
      <c r="C8" s="21">
        <v>44932</v>
      </c>
      <c r="D8" s="22">
        <v>26989359.579999998</v>
      </c>
      <c r="F8" t="s">
        <v>7</v>
      </c>
      <c r="K8" s="31">
        <v>14910052.939999999</v>
      </c>
      <c r="L8" s="30">
        <v>55990</v>
      </c>
      <c r="M8" s="29">
        <v>12056596.33</v>
      </c>
      <c r="N8" s="27">
        <f t="shared" si="1"/>
        <v>27022639.27</v>
      </c>
      <c r="O8" s="27">
        <f t="shared" si="0"/>
        <v>-33279.690000001341</v>
      </c>
    </row>
    <row r="9" spans="1:15" x14ac:dyDescent="0.25">
      <c r="A9" s="23" t="s">
        <v>12</v>
      </c>
      <c r="B9" s="26">
        <v>105433</v>
      </c>
      <c r="C9" s="21">
        <v>44933</v>
      </c>
      <c r="D9" s="22">
        <v>26989359.579999998</v>
      </c>
      <c r="K9" s="31">
        <v>14910052.939999999</v>
      </c>
      <c r="L9" s="30">
        <v>55990</v>
      </c>
      <c r="M9" s="29">
        <v>12056596.33</v>
      </c>
      <c r="N9" s="27">
        <f t="shared" si="1"/>
        <v>27022639.27</v>
      </c>
      <c r="O9" s="27">
        <f t="shared" si="0"/>
        <v>-33279.690000001341</v>
      </c>
    </row>
    <row r="10" spans="1:15" x14ac:dyDescent="0.25">
      <c r="A10" s="24"/>
      <c r="B10" s="25">
        <v>105433</v>
      </c>
      <c r="C10" s="2">
        <v>44934</v>
      </c>
      <c r="D10" s="3">
        <v>26997533.77</v>
      </c>
      <c r="K10" s="3">
        <v>14864657.98</v>
      </c>
      <c r="L10" s="3">
        <v>56145.77</v>
      </c>
      <c r="M10" s="3">
        <v>12067346.689999999</v>
      </c>
      <c r="N10" s="4">
        <f t="shared" si="1"/>
        <v>26988150.439999998</v>
      </c>
      <c r="O10" s="4">
        <f t="shared" si="0"/>
        <v>9383.3300000019372</v>
      </c>
    </row>
    <row r="11" spans="1:15" x14ac:dyDescent="0.25">
      <c r="A11" s="24"/>
      <c r="B11" s="25">
        <v>105433</v>
      </c>
      <c r="C11" s="2">
        <v>44935</v>
      </c>
      <c r="D11" s="3">
        <v>27034406.510000002</v>
      </c>
      <c r="K11" s="3">
        <v>14909324.390000001</v>
      </c>
      <c r="L11" s="3">
        <v>56061.9</v>
      </c>
      <c r="M11" s="3">
        <v>12070933.41</v>
      </c>
      <c r="N11" s="4">
        <f t="shared" si="1"/>
        <v>27036319.700000003</v>
      </c>
      <c r="O11" s="4">
        <f t="shared" si="0"/>
        <v>-1913.1900000013411</v>
      </c>
    </row>
    <row r="12" spans="1:15" x14ac:dyDescent="0.25">
      <c r="A12" s="24"/>
      <c r="B12" s="25">
        <v>105433</v>
      </c>
      <c r="C12" s="2">
        <v>44936</v>
      </c>
      <c r="D12" s="3">
        <v>27055098.760000002</v>
      </c>
      <c r="K12" s="3">
        <v>14922523.710000001</v>
      </c>
      <c r="L12" s="3">
        <v>56037.47</v>
      </c>
      <c r="M12" s="3">
        <v>12074521.15</v>
      </c>
      <c r="N12" s="4">
        <f t="shared" si="1"/>
        <v>27053082.330000002</v>
      </c>
      <c r="O12" s="4">
        <f t="shared" si="0"/>
        <v>2016.429999999702</v>
      </c>
    </row>
    <row r="13" spans="1:15" x14ac:dyDescent="0.25">
      <c r="A13" s="24"/>
      <c r="B13" s="25">
        <v>105433</v>
      </c>
      <c r="C13" s="2">
        <v>44937</v>
      </c>
      <c r="D13" s="3">
        <v>27075760.16</v>
      </c>
      <c r="K13" s="3">
        <v>14926826.32</v>
      </c>
      <c r="L13" s="3">
        <v>56064.88</v>
      </c>
      <c r="M13" s="3">
        <v>12078109.939999999</v>
      </c>
      <c r="N13" s="4">
        <f t="shared" si="1"/>
        <v>27061001.140000001</v>
      </c>
      <c r="O13" s="4">
        <f t="shared" si="0"/>
        <v>14759.019999999553</v>
      </c>
    </row>
    <row r="14" spans="1:15" x14ac:dyDescent="0.25">
      <c r="A14" s="24"/>
      <c r="B14" s="25">
        <v>105433</v>
      </c>
      <c r="C14" s="2">
        <v>44938</v>
      </c>
      <c r="D14" s="3">
        <v>27065818.920000002</v>
      </c>
      <c r="K14" s="3">
        <v>14918717.9</v>
      </c>
      <c r="L14" s="3">
        <v>56078.3</v>
      </c>
      <c r="M14" s="3">
        <v>12081699.800000001</v>
      </c>
      <c r="N14" s="4">
        <f t="shared" si="1"/>
        <v>27056496</v>
      </c>
      <c r="O14" s="4">
        <f t="shared" si="0"/>
        <v>9322.9200000017881</v>
      </c>
    </row>
    <row r="15" spans="1:15" x14ac:dyDescent="0.25">
      <c r="A15" s="23" t="s">
        <v>11</v>
      </c>
      <c r="B15" s="26">
        <v>105433</v>
      </c>
      <c r="C15" s="21">
        <v>44939</v>
      </c>
      <c r="D15" s="22">
        <v>27065818.920000002</v>
      </c>
      <c r="K15" s="31">
        <v>14918717.9</v>
      </c>
      <c r="L15" s="30">
        <v>56078.3</v>
      </c>
      <c r="M15" s="29">
        <v>12081699.800000001</v>
      </c>
      <c r="N15" s="27">
        <f t="shared" si="1"/>
        <v>27056496</v>
      </c>
      <c r="O15" s="27">
        <f t="shared" si="0"/>
        <v>9322.9200000017881</v>
      </c>
    </row>
    <row r="16" spans="1:15" x14ac:dyDescent="0.25">
      <c r="A16" s="23" t="s">
        <v>12</v>
      </c>
      <c r="B16" s="26">
        <v>105433</v>
      </c>
      <c r="C16" s="21">
        <v>44940</v>
      </c>
      <c r="D16" s="22">
        <v>27065818.920000002</v>
      </c>
      <c r="K16" s="31">
        <v>14918717.9</v>
      </c>
      <c r="L16" s="30">
        <v>56078.3</v>
      </c>
      <c r="M16" s="29">
        <v>12081699.800000001</v>
      </c>
      <c r="N16" s="27">
        <f t="shared" si="1"/>
        <v>27056496</v>
      </c>
      <c r="O16" s="27">
        <f t="shared" si="0"/>
        <v>9322.9200000017881</v>
      </c>
    </row>
    <row r="17" spans="1:15" x14ac:dyDescent="0.25">
      <c r="A17" s="24"/>
      <c r="B17" s="25">
        <v>105433</v>
      </c>
      <c r="C17" s="2">
        <v>44941</v>
      </c>
      <c r="D17" s="3">
        <v>27094543.73</v>
      </c>
      <c r="K17" s="3">
        <v>14931458.119999999</v>
      </c>
      <c r="L17" s="3">
        <v>56118.75</v>
      </c>
      <c r="M17" s="3">
        <v>12092472.6</v>
      </c>
      <c r="N17" s="4">
        <f t="shared" si="1"/>
        <v>27080049.469999999</v>
      </c>
      <c r="O17" s="4">
        <f t="shared" si="0"/>
        <v>14494.260000001639</v>
      </c>
    </row>
    <row r="18" spans="1:15" x14ac:dyDescent="0.25">
      <c r="A18" s="24"/>
      <c r="B18" s="25">
        <v>105433</v>
      </c>
      <c r="C18" s="2">
        <v>44942</v>
      </c>
      <c r="D18" s="3">
        <v>27152831.57</v>
      </c>
      <c r="K18" s="3">
        <v>14935911.42</v>
      </c>
      <c r="L18" s="3">
        <v>56142.23</v>
      </c>
      <c r="M18" s="3">
        <v>12096066.74</v>
      </c>
      <c r="N18" s="4">
        <f t="shared" si="1"/>
        <v>27088120.390000001</v>
      </c>
      <c r="O18" s="4">
        <f t="shared" si="0"/>
        <v>64711.179999999702</v>
      </c>
    </row>
    <row r="19" spans="1:15" x14ac:dyDescent="0.25">
      <c r="A19" s="24"/>
      <c r="B19" s="25">
        <v>105433</v>
      </c>
      <c r="C19" s="2">
        <v>44943</v>
      </c>
      <c r="D19" s="3">
        <v>27176224.73</v>
      </c>
      <c r="K19" s="3">
        <v>15012808.92</v>
      </c>
      <c r="L19" s="3">
        <v>56023.199999999997</v>
      </c>
      <c r="M19" s="3">
        <v>12099661.939999999</v>
      </c>
      <c r="N19" s="4">
        <f t="shared" si="1"/>
        <v>27168494.059999999</v>
      </c>
      <c r="O19" s="4">
        <f t="shared" si="0"/>
        <v>7730.6700000017881</v>
      </c>
    </row>
    <row r="20" spans="1:15" x14ac:dyDescent="0.25">
      <c r="A20" s="24"/>
      <c r="B20" s="25">
        <v>105433</v>
      </c>
      <c r="C20" s="2">
        <v>44944</v>
      </c>
      <c r="D20" s="3">
        <v>27164869.010000002</v>
      </c>
      <c r="K20" s="3">
        <v>15010323.310000001</v>
      </c>
      <c r="L20" s="3">
        <v>56040.160000000003</v>
      </c>
      <c r="M20" s="3">
        <v>12103258.23</v>
      </c>
      <c r="N20" s="4">
        <f t="shared" si="1"/>
        <v>27169621.700000003</v>
      </c>
      <c r="O20" s="4">
        <f t="shared" si="0"/>
        <v>-4752.6900000013411</v>
      </c>
    </row>
    <row r="21" spans="1:15" x14ac:dyDescent="0.25">
      <c r="A21" s="24"/>
      <c r="B21" s="25">
        <v>105433</v>
      </c>
      <c r="C21" s="2">
        <v>44945</v>
      </c>
      <c r="D21" s="3">
        <v>27152470.690000001</v>
      </c>
      <c r="K21" s="3">
        <v>14981041.09</v>
      </c>
      <c r="L21" s="3">
        <v>56247.040000000001</v>
      </c>
      <c r="M21" s="3">
        <v>12106855.65</v>
      </c>
      <c r="N21" s="4">
        <f t="shared" si="1"/>
        <v>27144143.780000001</v>
      </c>
      <c r="O21" s="4">
        <f t="shared" si="0"/>
        <v>8326.910000000149</v>
      </c>
    </row>
    <row r="22" spans="1:15" x14ac:dyDescent="0.25">
      <c r="A22" s="23" t="s">
        <v>11</v>
      </c>
      <c r="B22" s="26">
        <v>105433</v>
      </c>
      <c r="C22" s="21">
        <v>44946</v>
      </c>
      <c r="D22" s="22">
        <v>27152470.690000001</v>
      </c>
      <c r="K22" s="31">
        <v>14981041.09</v>
      </c>
      <c r="L22" s="30">
        <v>56247.040000000001</v>
      </c>
      <c r="M22" s="29">
        <v>12106855.65</v>
      </c>
      <c r="N22" s="27">
        <f t="shared" si="1"/>
        <v>27144143.780000001</v>
      </c>
      <c r="O22" s="27">
        <f t="shared" si="0"/>
        <v>8326.910000000149</v>
      </c>
    </row>
    <row r="23" spans="1:15" x14ac:dyDescent="0.25">
      <c r="A23" s="23" t="s">
        <v>14</v>
      </c>
      <c r="B23" s="26">
        <v>105433</v>
      </c>
      <c r="C23" s="21">
        <v>44947</v>
      </c>
      <c r="D23" s="22">
        <v>27152470.690000001</v>
      </c>
      <c r="K23" s="31">
        <v>14981041.09</v>
      </c>
      <c r="L23" s="30">
        <v>56247.040000000001</v>
      </c>
      <c r="M23" s="29">
        <v>12106855.65</v>
      </c>
      <c r="N23" s="27">
        <f t="shared" si="1"/>
        <v>27144143.780000001</v>
      </c>
      <c r="O23" s="27">
        <f t="shared" si="0"/>
        <v>8326.910000000149</v>
      </c>
    </row>
    <row r="24" spans="1:15" x14ac:dyDescent="0.25">
      <c r="A24" s="24"/>
      <c r="B24" s="25">
        <v>105433</v>
      </c>
      <c r="C24" s="2">
        <v>44948</v>
      </c>
      <c r="D24" s="3">
        <v>27170042.829999998</v>
      </c>
      <c r="K24" s="3">
        <v>15008564.1</v>
      </c>
      <c r="L24" s="3">
        <v>56293.87</v>
      </c>
      <c r="M24" s="3">
        <v>12117650.84</v>
      </c>
      <c r="N24" s="4">
        <f t="shared" si="1"/>
        <v>27182508.809999999</v>
      </c>
      <c r="O24" s="4">
        <f t="shared" si="0"/>
        <v>-12465.980000000447</v>
      </c>
    </row>
    <row r="25" spans="1:15" x14ac:dyDescent="0.25">
      <c r="A25" s="24"/>
      <c r="B25" s="25">
        <v>105433</v>
      </c>
      <c r="C25" s="2">
        <v>44949</v>
      </c>
      <c r="D25" s="3">
        <v>27230163.27</v>
      </c>
      <c r="K25" s="3">
        <v>15046304.32</v>
      </c>
      <c r="L25" s="3">
        <v>56380.25</v>
      </c>
      <c r="M25" s="3">
        <v>12121252.439999999</v>
      </c>
      <c r="N25" s="4">
        <f t="shared" si="1"/>
        <v>27223937.009999998</v>
      </c>
      <c r="O25" s="4">
        <f t="shared" si="0"/>
        <v>6226.2600000016391</v>
      </c>
    </row>
    <row r="26" spans="1:15" x14ac:dyDescent="0.25">
      <c r="A26" s="24"/>
      <c r="B26" s="25">
        <v>105433</v>
      </c>
      <c r="C26" s="2">
        <v>44950</v>
      </c>
      <c r="D26" s="3">
        <v>27191921.52</v>
      </c>
      <c r="K26" s="3">
        <v>15048841.83</v>
      </c>
      <c r="L26" s="3">
        <v>56395.79</v>
      </c>
      <c r="M26" s="3">
        <v>12124855.140000001</v>
      </c>
      <c r="N26" s="4">
        <f t="shared" si="1"/>
        <v>27230092.759999998</v>
      </c>
      <c r="O26" s="4">
        <f t="shared" si="0"/>
        <v>-38171.239999998361</v>
      </c>
    </row>
    <row r="27" spans="1:15" x14ac:dyDescent="0.25">
      <c r="A27" s="24"/>
      <c r="B27" s="25">
        <v>105433</v>
      </c>
      <c r="C27" s="2">
        <v>44951</v>
      </c>
      <c r="D27" s="3">
        <v>27223078.690000001</v>
      </c>
      <c r="K27" s="3">
        <v>15031979.27</v>
      </c>
      <c r="L27" s="3">
        <v>56587.83</v>
      </c>
      <c r="M27" s="3">
        <v>12128458.9</v>
      </c>
      <c r="N27" s="4">
        <f t="shared" si="1"/>
        <v>27217026</v>
      </c>
      <c r="O27" s="4">
        <f t="shared" si="0"/>
        <v>6052.6900000013411</v>
      </c>
    </row>
    <row r="28" spans="1:15" x14ac:dyDescent="0.25">
      <c r="A28" s="24"/>
      <c r="B28" s="25">
        <v>105433</v>
      </c>
      <c r="C28" s="2">
        <v>44952</v>
      </c>
      <c r="D28" s="3">
        <v>27211225.91</v>
      </c>
      <c r="K28" s="3">
        <v>15019649.41</v>
      </c>
      <c r="L28" s="3">
        <v>56702.11</v>
      </c>
      <c r="M28" s="3">
        <v>12132063.76</v>
      </c>
      <c r="N28" s="4">
        <f t="shared" si="1"/>
        <v>27208415.280000001</v>
      </c>
      <c r="O28" s="4">
        <f t="shared" si="0"/>
        <v>2810.6299999989569</v>
      </c>
    </row>
    <row r="29" spans="1:15" x14ac:dyDescent="0.25">
      <c r="A29" s="23" t="s">
        <v>13</v>
      </c>
      <c r="B29" s="26">
        <v>105433</v>
      </c>
      <c r="C29" s="21">
        <v>44953</v>
      </c>
      <c r="D29" s="22">
        <v>27211225.91</v>
      </c>
      <c r="K29" s="31">
        <v>15019649.41</v>
      </c>
      <c r="L29" s="30">
        <v>56702.11</v>
      </c>
      <c r="M29" s="29">
        <v>12132063.76</v>
      </c>
      <c r="N29" s="27">
        <f t="shared" si="1"/>
        <v>27208415.280000001</v>
      </c>
      <c r="O29" s="27">
        <f t="shared" si="0"/>
        <v>2810.6299999989569</v>
      </c>
    </row>
    <row r="30" spans="1:15" x14ac:dyDescent="0.25">
      <c r="A30" s="23" t="s">
        <v>14</v>
      </c>
      <c r="B30" s="26">
        <v>105433</v>
      </c>
      <c r="C30" s="21">
        <v>44954</v>
      </c>
      <c r="D30" s="22">
        <v>27211225.91</v>
      </c>
      <c r="K30" s="31">
        <v>15019649.41</v>
      </c>
      <c r="L30" s="30">
        <v>56702.11</v>
      </c>
      <c r="M30" s="29">
        <v>12132063.76</v>
      </c>
      <c r="N30" s="27">
        <f t="shared" si="1"/>
        <v>27208415.280000001</v>
      </c>
      <c r="O30" s="27">
        <f t="shared" si="0"/>
        <v>2810.6299999989569</v>
      </c>
    </row>
    <row r="31" spans="1:15" x14ac:dyDescent="0.25">
      <c r="B31" s="1">
        <v>105433</v>
      </c>
      <c r="C31" s="2">
        <v>44955</v>
      </c>
      <c r="D31" s="3">
        <v>27247199.809999999</v>
      </c>
      <c r="K31" s="3">
        <v>15021585.74</v>
      </c>
      <c r="L31" s="3">
        <v>56740.27</v>
      </c>
      <c r="M31" s="3">
        <v>12142881.449999999</v>
      </c>
      <c r="N31" s="4">
        <f t="shared" si="1"/>
        <v>27221207.460000001</v>
      </c>
      <c r="O31" s="4">
        <f t="shared" si="0"/>
        <v>25992.349999997765</v>
      </c>
    </row>
    <row r="32" spans="1:15" x14ac:dyDescent="0.25">
      <c r="B32" s="1">
        <v>105433</v>
      </c>
      <c r="C32" s="2">
        <v>44956</v>
      </c>
      <c r="D32" s="3">
        <v>27241898.890000001</v>
      </c>
      <c r="K32" s="3">
        <v>15031189.51</v>
      </c>
      <c r="L32" s="3">
        <v>56827.11</v>
      </c>
      <c r="M32" s="3">
        <v>12146490.539999999</v>
      </c>
      <c r="N32" s="4">
        <f t="shared" si="1"/>
        <v>27234507.159999996</v>
      </c>
      <c r="O32" s="4">
        <f t="shared" si="0"/>
        <v>7391.7300000041723</v>
      </c>
    </row>
    <row r="33" spans="2:15" x14ac:dyDescent="0.25">
      <c r="B33" s="1">
        <v>105433</v>
      </c>
      <c r="C33" s="2">
        <v>44957</v>
      </c>
      <c r="D33" s="3">
        <v>27253054.82</v>
      </c>
      <c r="K33" s="3">
        <v>15048549.07</v>
      </c>
      <c r="L33" s="3">
        <v>57459.47</v>
      </c>
      <c r="M33" s="3">
        <v>12150100.710000001</v>
      </c>
      <c r="N33" s="4">
        <f t="shared" si="1"/>
        <v>27256109.25</v>
      </c>
      <c r="O33" s="4">
        <f t="shared" si="0"/>
        <v>-3054.429999999702</v>
      </c>
    </row>
    <row r="34" spans="2:15" x14ac:dyDescent="0.25">
      <c r="B34" s="5"/>
      <c r="C34" s="6"/>
      <c r="K34" s="7"/>
    </row>
    <row r="35" spans="2:15" x14ac:dyDescent="0.25">
      <c r="B35" s="19" t="s">
        <v>8</v>
      </c>
      <c r="C35" s="8">
        <v>31</v>
      </c>
      <c r="D35" s="4">
        <f>AVERAGE(D3:D33)</f>
        <v>27119052.770000003</v>
      </c>
      <c r="K35" s="4">
        <f>AVERAGE(K3:K32)</f>
        <v>14962279.589333331</v>
      </c>
      <c r="L35" s="4">
        <f>AVERAGE(L3:L32)</f>
        <v>56287.266000000032</v>
      </c>
      <c r="M35" s="4">
        <f>AVERAGE(M3:M32)</f>
        <v>12094454.972666668</v>
      </c>
      <c r="N35" s="4">
        <f>SUM(K35:M35)</f>
        <v>27113021.828000002</v>
      </c>
      <c r="O35" s="4">
        <f>N35-D35</f>
        <v>-6030.9420000016689</v>
      </c>
    </row>
    <row r="36" spans="2:15" x14ac:dyDescent="0.25">
      <c r="B36" s="19" t="s">
        <v>9</v>
      </c>
      <c r="C36" s="8">
        <v>1.62</v>
      </c>
      <c r="D36" s="9">
        <f>+D35*$C$37</f>
        <v>37831.078614150007</v>
      </c>
      <c r="E36" s="10">
        <f>D36*1.16</f>
        <v>43884.051192414008</v>
      </c>
      <c r="K36" s="20">
        <f>((((+K35*$C$37))))*1.00022243710193</f>
        <v>20877.022818843627</v>
      </c>
      <c r="L36" s="20">
        <f>((((+L35*$C$37))))*1.00022243710193</f>
        <v>78.538201994972923</v>
      </c>
      <c r="M36" s="20">
        <f>((((+M35*$C$37))))*1.00022243710193</f>
        <v>16875.517593311404</v>
      </c>
      <c r="N36" s="4">
        <f>SUM(K36:M36)</f>
        <v>37831.078614149999</v>
      </c>
      <c r="O36" s="4">
        <f>+D36/N36</f>
        <v>1.0000000000000002</v>
      </c>
    </row>
    <row r="37" spans="2:15" x14ac:dyDescent="0.25">
      <c r="B37" s="19" t="s">
        <v>10</v>
      </c>
      <c r="C37" s="11">
        <f>C36/360*C35/100</f>
        <v>1.3950000000000002E-3</v>
      </c>
      <c r="E37" s="10">
        <f>E36-D36</f>
        <v>6052.9725782640016</v>
      </c>
      <c r="N37" s="4">
        <f>+D36/N36</f>
        <v>1.0000000000000002</v>
      </c>
    </row>
    <row r="38" spans="2:15" x14ac:dyDescent="0.25">
      <c r="K38" s="12"/>
      <c r="L38" s="13"/>
      <c r="M38" s="12"/>
    </row>
    <row r="39" spans="2:15" x14ac:dyDescent="0.25">
      <c r="K39" s="10"/>
      <c r="L39" s="10"/>
      <c r="M39" s="10"/>
      <c r="N39" s="10"/>
      <c r="O39" s="10"/>
    </row>
  </sheetData>
  <mergeCells count="1"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D696C-D486-4FA3-B5EE-0267AADD49D9}">
  <dimension ref="A1:N35"/>
  <sheetViews>
    <sheetView topLeftCell="A10" workbookViewId="0">
      <selection activeCell="M35" sqref="M35"/>
    </sheetView>
  </sheetViews>
  <sheetFormatPr baseColWidth="10" defaultRowHeight="15" x14ac:dyDescent="0.25"/>
  <cols>
    <col min="3" max="3" width="15.140625" customWidth="1"/>
    <col min="10" max="12" width="17" bestFit="1" customWidth="1"/>
    <col min="13" max="14" width="15.140625" bestFit="1" customWidth="1"/>
  </cols>
  <sheetData>
    <row r="1" spans="1:14" x14ac:dyDescent="0.25">
      <c r="A1" s="46" t="s">
        <v>0</v>
      </c>
      <c r="B1" s="46"/>
      <c r="C1" s="46"/>
    </row>
    <row r="2" spans="1:14" x14ac:dyDescent="0.25">
      <c r="A2" s="16" t="s">
        <v>1</v>
      </c>
      <c r="B2" s="17" t="s">
        <v>2</v>
      </c>
      <c r="C2" s="18" t="s">
        <v>3</v>
      </c>
      <c r="J2" s="28" t="s">
        <v>4</v>
      </c>
      <c r="K2" s="14" t="s">
        <v>5</v>
      </c>
      <c r="L2" s="15" t="s">
        <v>6</v>
      </c>
    </row>
    <row r="3" spans="1:14" x14ac:dyDescent="0.25">
      <c r="A3" s="1">
        <v>105433</v>
      </c>
      <c r="B3" s="2">
        <v>45323</v>
      </c>
      <c r="C3" s="3">
        <v>27205299.440000001</v>
      </c>
      <c r="J3" s="3">
        <v>15031542.25</v>
      </c>
      <c r="K3" s="3">
        <v>56760.62</v>
      </c>
      <c r="L3" s="3">
        <v>12134136.369999999</v>
      </c>
      <c r="M3" s="4">
        <f>SUM(J3:L3)</f>
        <v>27222439.239999998</v>
      </c>
      <c r="N3" s="4">
        <f>+C3-M3</f>
        <v>-17139.79999999702</v>
      </c>
    </row>
    <row r="4" spans="1:14" x14ac:dyDescent="0.25">
      <c r="A4" s="25">
        <v>105433</v>
      </c>
      <c r="B4" s="2">
        <v>45324</v>
      </c>
      <c r="C4" s="3">
        <v>27196494.620000001</v>
      </c>
      <c r="J4" s="3">
        <v>15005286.449999999</v>
      </c>
      <c r="K4" s="3">
        <v>56903.38</v>
      </c>
      <c r="L4" s="3">
        <v>12137742.890000001</v>
      </c>
      <c r="M4" s="4">
        <f>SUM(J4:L4)</f>
        <v>27199932.719999999</v>
      </c>
      <c r="N4" s="4">
        <f t="shared" ref="N4:N31" si="0">+C4-M4</f>
        <v>-3438.0999999977648</v>
      </c>
    </row>
    <row r="5" spans="1:14" x14ac:dyDescent="0.25">
      <c r="A5" s="26">
        <v>105433</v>
      </c>
      <c r="B5" s="21">
        <v>45325</v>
      </c>
      <c r="C5" s="22">
        <v>27196494.620000001</v>
      </c>
      <c r="J5" s="31">
        <v>15005286.449999999</v>
      </c>
      <c r="K5" s="30">
        <v>56903.38</v>
      </c>
      <c r="L5" s="29">
        <v>12137742.890000001</v>
      </c>
      <c r="M5" s="4">
        <f>SUM(J5:L5)</f>
        <v>27199932.719999999</v>
      </c>
      <c r="N5" s="4">
        <f t="shared" si="0"/>
        <v>-3438.0999999977648</v>
      </c>
    </row>
    <row r="6" spans="1:14" x14ac:dyDescent="0.25">
      <c r="A6" s="26">
        <v>105433</v>
      </c>
      <c r="B6" s="21">
        <v>45326</v>
      </c>
      <c r="C6" s="22">
        <v>27196494.620000001</v>
      </c>
      <c r="J6" s="31">
        <v>15005286.449999999</v>
      </c>
      <c r="K6" s="30">
        <v>56903.38</v>
      </c>
      <c r="L6" s="29">
        <v>12137742.890000001</v>
      </c>
      <c r="M6" s="4">
        <f t="shared" ref="M6:M31" si="1">SUM(J6:L6)</f>
        <v>27199932.719999999</v>
      </c>
      <c r="N6" s="4">
        <f t="shared" si="0"/>
        <v>-3438.0999999977648</v>
      </c>
    </row>
    <row r="7" spans="1:14" x14ac:dyDescent="0.25">
      <c r="A7" s="25">
        <v>105433</v>
      </c>
      <c r="B7" s="2">
        <v>45327</v>
      </c>
      <c r="C7" s="3">
        <v>27196494.620000001</v>
      </c>
      <c r="J7" s="3">
        <v>15005286.449999999</v>
      </c>
      <c r="K7" s="3">
        <v>56903.38</v>
      </c>
      <c r="L7" s="3">
        <v>12137742.890000001</v>
      </c>
      <c r="M7" s="4">
        <f t="shared" si="1"/>
        <v>27199932.719999999</v>
      </c>
      <c r="N7" s="4">
        <f t="shared" si="0"/>
        <v>-3438.0999999977648</v>
      </c>
    </row>
    <row r="8" spans="1:14" x14ac:dyDescent="0.25">
      <c r="A8" s="25">
        <v>105433</v>
      </c>
      <c r="B8" s="2">
        <v>45328</v>
      </c>
      <c r="C8" s="3">
        <v>27193572.52</v>
      </c>
      <c r="E8" t="s">
        <v>7</v>
      </c>
      <c r="J8" s="3">
        <v>14984718.619999999</v>
      </c>
      <c r="K8" s="3">
        <v>56967.74</v>
      </c>
      <c r="L8" s="3">
        <v>12152173.25</v>
      </c>
      <c r="M8" s="4">
        <f t="shared" si="1"/>
        <v>27193859.609999999</v>
      </c>
      <c r="N8" s="4">
        <f t="shared" si="0"/>
        <v>-287.08999999985099</v>
      </c>
    </row>
    <row r="9" spans="1:14" x14ac:dyDescent="0.25">
      <c r="A9" s="25">
        <v>105433</v>
      </c>
      <c r="B9" s="2">
        <v>45329</v>
      </c>
      <c r="C9" s="3">
        <v>27201903.23</v>
      </c>
      <c r="J9" s="3">
        <v>14988495.191400001</v>
      </c>
      <c r="K9" s="3">
        <v>56990.052799999998</v>
      </c>
      <c r="L9" s="3">
        <v>12155785.125800001</v>
      </c>
      <c r="M9" s="4">
        <f t="shared" si="1"/>
        <v>27201270.370000001</v>
      </c>
      <c r="N9" s="4">
        <f t="shared" si="0"/>
        <v>632.85999999940395</v>
      </c>
    </row>
    <row r="10" spans="1:14" x14ac:dyDescent="0.25">
      <c r="A10" s="25">
        <v>105433</v>
      </c>
      <c r="B10" s="2">
        <v>45330</v>
      </c>
      <c r="C10" s="3">
        <v>27236496.77</v>
      </c>
      <c r="J10" s="3">
        <v>15021526.140000001</v>
      </c>
      <c r="K10" s="3">
        <v>56920.9</v>
      </c>
      <c r="L10" s="3">
        <v>12159397.949999999</v>
      </c>
      <c r="M10" s="4">
        <f t="shared" si="1"/>
        <v>27237844.990000002</v>
      </c>
      <c r="N10" s="4">
        <f t="shared" si="0"/>
        <v>-1348.2200000025332</v>
      </c>
    </row>
    <row r="11" spans="1:14" x14ac:dyDescent="0.25">
      <c r="A11" s="25">
        <v>105433</v>
      </c>
      <c r="B11" s="2">
        <v>45331</v>
      </c>
      <c r="C11" s="3">
        <v>27236093.440000001</v>
      </c>
      <c r="J11" s="3">
        <v>15015332.98</v>
      </c>
      <c r="K11" s="3">
        <v>56890.47</v>
      </c>
      <c r="L11" s="3">
        <v>12163012.140000001</v>
      </c>
      <c r="M11" s="4">
        <f t="shared" si="1"/>
        <v>27235235.590000004</v>
      </c>
      <c r="N11" s="4">
        <f t="shared" si="0"/>
        <v>857.84999999776483</v>
      </c>
    </row>
    <row r="12" spans="1:14" x14ac:dyDescent="0.25">
      <c r="A12" s="26">
        <v>105433</v>
      </c>
      <c r="B12" s="21">
        <v>45332</v>
      </c>
      <c r="C12" s="22">
        <v>27236093.440000001</v>
      </c>
      <c r="J12" s="31">
        <v>15015332.98</v>
      </c>
      <c r="K12" s="30">
        <v>56890.47</v>
      </c>
      <c r="L12" s="29">
        <v>12163012.140000001</v>
      </c>
      <c r="M12" s="4">
        <f t="shared" si="1"/>
        <v>27235235.590000004</v>
      </c>
      <c r="N12" s="4">
        <f t="shared" si="0"/>
        <v>857.84999999776483</v>
      </c>
    </row>
    <row r="13" spans="1:14" x14ac:dyDescent="0.25">
      <c r="A13" s="26">
        <v>105433</v>
      </c>
      <c r="B13" s="21">
        <v>45333</v>
      </c>
      <c r="C13" s="22">
        <v>27236093.440000001</v>
      </c>
      <c r="J13" s="31">
        <v>15015332.98</v>
      </c>
      <c r="K13" s="30">
        <v>56890.47</v>
      </c>
      <c r="L13" s="29">
        <v>12163012.140000001</v>
      </c>
      <c r="M13" s="4">
        <f t="shared" si="1"/>
        <v>27235235.590000004</v>
      </c>
      <c r="N13" s="4">
        <f t="shared" si="0"/>
        <v>857.84999999776483</v>
      </c>
    </row>
    <row r="14" spans="1:14" x14ac:dyDescent="0.25">
      <c r="A14" s="25">
        <v>105433</v>
      </c>
      <c r="B14" s="2">
        <v>45334</v>
      </c>
      <c r="C14" s="3">
        <v>27251483.699999999</v>
      </c>
      <c r="J14" s="3">
        <v>15018623.93</v>
      </c>
      <c r="K14" s="3">
        <v>56910.2</v>
      </c>
      <c r="L14" s="3">
        <v>12173857.470000001</v>
      </c>
      <c r="M14" s="4">
        <f t="shared" si="1"/>
        <v>27249391.600000001</v>
      </c>
      <c r="N14" s="4">
        <f t="shared" si="0"/>
        <v>2092.0999999977648</v>
      </c>
    </row>
    <row r="15" spans="1:14" x14ac:dyDescent="0.25">
      <c r="A15" s="25">
        <v>105433</v>
      </c>
      <c r="B15" s="2">
        <v>45335</v>
      </c>
      <c r="C15" s="3">
        <v>27258525.210000001</v>
      </c>
      <c r="J15" s="3">
        <v>15037733.859999999</v>
      </c>
      <c r="K15" s="3">
        <v>56822.67</v>
      </c>
      <c r="L15" s="3">
        <v>12177475.85</v>
      </c>
      <c r="M15" s="4">
        <f t="shared" si="1"/>
        <v>27272032.379999999</v>
      </c>
      <c r="N15" s="4">
        <f t="shared" si="0"/>
        <v>-13507.169999998063</v>
      </c>
    </row>
    <row r="16" spans="1:14" x14ac:dyDescent="0.25">
      <c r="A16" s="25">
        <v>105433</v>
      </c>
      <c r="B16" s="2">
        <v>45336</v>
      </c>
      <c r="C16" s="3">
        <v>27253618.760000002</v>
      </c>
      <c r="J16" s="3">
        <v>15012540.58</v>
      </c>
      <c r="K16" s="3">
        <v>56786.99</v>
      </c>
      <c r="L16" s="3">
        <v>12181095.310000001</v>
      </c>
      <c r="M16" s="4">
        <f t="shared" si="1"/>
        <v>27250422.880000003</v>
      </c>
      <c r="N16" s="4">
        <f t="shared" si="0"/>
        <v>3195.8799999989569</v>
      </c>
    </row>
    <row r="17" spans="1:14" x14ac:dyDescent="0.25">
      <c r="A17" s="25">
        <v>105433</v>
      </c>
      <c r="B17" s="2">
        <v>45337</v>
      </c>
      <c r="C17" s="3">
        <v>27257034.09</v>
      </c>
      <c r="J17" s="3">
        <v>15018481.300000001</v>
      </c>
      <c r="K17" s="3">
        <v>56813.85</v>
      </c>
      <c r="L17" s="3">
        <v>12184715.779999999</v>
      </c>
      <c r="M17" s="4">
        <f t="shared" si="1"/>
        <v>27260010.93</v>
      </c>
      <c r="N17" s="4">
        <f t="shared" si="0"/>
        <v>-2976.839999999851</v>
      </c>
    </row>
    <row r="18" spans="1:14" x14ac:dyDescent="0.25">
      <c r="A18" s="25">
        <v>105433</v>
      </c>
      <c r="B18" s="2">
        <v>45338</v>
      </c>
      <c r="C18" s="3">
        <v>27255289.579999998</v>
      </c>
      <c r="J18" s="3">
        <v>15013467.619999999</v>
      </c>
      <c r="K18" s="3">
        <v>56886.8</v>
      </c>
      <c r="L18" s="3">
        <v>12189276.310000001</v>
      </c>
      <c r="M18" s="4">
        <f t="shared" si="1"/>
        <v>27259630.73</v>
      </c>
      <c r="N18" s="4">
        <f t="shared" si="0"/>
        <v>-4341.1500000022352</v>
      </c>
    </row>
    <row r="19" spans="1:14" x14ac:dyDescent="0.25">
      <c r="A19" s="26">
        <v>105433</v>
      </c>
      <c r="B19" s="21">
        <v>45339</v>
      </c>
      <c r="C19" s="22">
        <v>27255289.579999998</v>
      </c>
      <c r="J19" s="31">
        <v>15013467.619999999</v>
      </c>
      <c r="K19" s="30">
        <v>56886.8</v>
      </c>
      <c r="L19" s="29">
        <v>12189276.310000001</v>
      </c>
      <c r="M19" s="4">
        <f t="shared" si="1"/>
        <v>27259630.73</v>
      </c>
      <c r="N19" s="4">
        <f t="shared" si="0"/>
        <v>-4341.1500000022352</v>
      </c>
    </row>
    <row r="20" spans="1:14" x14ac:dyDescent="0.25">
      <c r="A20" s="26">
        <v>105433</v>
      </c>
      <c r="B20" s="21">
        <v>45340</v>
      </c>
      <c r="C20" s="22">
        <v>27255289.579999998</v>
      </c>
      <c r="J20" s="31">
        <v>15013467.619999999</v>
      </c>
      <c r="K20" s="30">
        <v>56886.8</v>
      </c>
      <c r="L20" s="29">
        <v>12189276.310000001</v>
      </c>
      <c r="M20" s="4">
        <f t="shared" si="1"/>
        <v>27259630.73</v>
      </c>
      <c r="N20" s="4">
        <f t="shared" si="0"/>
        <v>-4341.1500000022352</v>
      </c>
    </row>
    <row r="21" spans="1:14" x14ac:dyDescent="0.25">
      <c r="A21" s="25">
        <v>105433</v>
      </c>
      <c r="B21" s="2">
        <v>45341</v>
      </c>
      <c r="C21" s="3">
        <v>27281565.280000001</v>
      </c>
      <c r="J21" s="3"/>
      <c r="K21" s="3"/>
      <c r="L21" s="3"/>
      <c r="M21" s="4">
        <f t="shared" si="1"/>
        <v>0</v>
      </c>
      <c r="N21" s="4">
        <f t="shared" si="0"/>
        <v>27281565.280000001</v>
      </c>
    </row>
    <row r="22" spans="1:14" x14ac:dyDescent="0.25">
      <c r="A22" s="25">
        <v>105433</v>
      </c>
      <c r="B22" s="2">
        <v>45342</v>
      </c>
      <c r="C22" s="3">
        <v>27287488.07</v>
      </c>
      <c r="J22" s="3">
        <v>15031799.9936</v>
      </c>
      <c r="K22" s="3">
        <v>56553.502500000002</v>
      </c>
      <c r="L22" s="3">
        <v>12203928.8938</v>
      </c>
      <c r="M22" s="4">
        <f t="shared" si="1"/>
        <v>27292282.389899999</v>
      </c>
      <c r="N22" s="4">
        <f t="shared" si="0"/>
        <v>-4794.3198999986053</v>
      </c>
    </row>
    <row r="23" spans="1:14" x14ac:dyDescent="0.25">
      <c r="A23" s="25">
        <v>105433</v>
      </c>
      <c r="B23" s="2">
        <v>45343</v>
      </c>
      <c r="C23" s="3">
        <v>27288946.300000001</v>
      </c>
      <c r="J23" s="3">
        <v>15022282.279999999</v>
      </c>
      <c r="K23" s="3">
        <v>56538.44</v>
      </c>
      <c r="L23" s="3">
        <v>12198512.300000001</v>
      </c>
      <c r="M23" s="4">
        <f t="shared" si="1"/>
        <v>27277333.02</v>
      </c>
      <c r="N23" s="4">
        <f t="shared" si="0"/>
        <v>11613.280000001192</v>
      </c>
    </row>
    <row r="24" spans="1:14" x14ac:dyDescent="0.25">
      <c r="A24" s="25">
        <v>105433</v>
      </c>
      <c r="B24" s="2">
        <v>45344</v>
      </c>
      <c r="C24" s="3">
        <v>27306812.239999998</v>
      </c>
      <c r="J24" s="3">
        <v>15042770.043400001</v>
      </c>
      <c r="K24" s="3">
        <v>56628.84</v>
      </c>
      <c r="L24" s="3">
        <v>12203245.226600001</v>
      </c>
      <c r="M24" s="4">
        <f t="shared" si="1"/>
        <v>27302644.109999999</v>
      </c>
      <c r="N24" s="4">
        <f t="shared" si="0"/>
        <v>4168.1299999989569</v>
      </c>
    </row>
    <row r="25" spans="1:14" x14ac:dyDescent="0.25">
      <c r="A25" s="25">
        <v>105433</v>
      </c>
      <c r="B25" s="2">
        <v>45345</v>
      </c>
      <c r="C25" s="3">
        <v>27316907.32</v>
      </c>
      <c r="J25" s="3">
        <v>15053366.754699999</v>
      </c>
      <c r="K25" s="3">
        <v>56467.958299999998</v>
      </c>
      <c r="L25" s="3">
        <v>12205957.937000001</v>
      </c>
      <c r="M25" s="4">
        <f t="shared" si="1"/>
        <v>27315792.649999999</v>
      </c>
      <c r="N25" s="4">
        <f t="shared" si="0"/>
        <v>1114.6700000017881</v>
      </c>
    </row>
    <row r="26" spans="1:14" x14ac:dyDescent="0.25">
      <c r="A26" s="26">
        <v>105433</v>
      </c>
      <c r="B26" s="21">
        <v>45346</v>
      </c>
      <c r="C26" s="22">
        <v>27316907.32</v>
      </c>
      <c r="J26" s="31">
        <v>15053366.754699999</v>
      </c>
      <c r="K26" s="30">
        <v>56467.958299999998</v>
      </c>
      <c r="L26" s="29">
        <v>12205957.937000001</v>
      </c>
      <c r="M26" s="4">
        <f t="shared" si="1"/>
        <v>27315792.649999999</v>
      </c>
      <c r="N26" s="4">
        <f t="shared" si="0"/>
        <v>1114.6700000017881</v>
      </c>
    </row>
    <row r="27" spans="1:14" x14ac:dyDescent="0.25">
      <c r="A27" s="26">
        <v>105433</v>
      </c>
      <c r="B27" s="21">
        <v>45347</v>
      </c>
      <c r="C27" s="22">
        <v>27316907.32</v>
      </c>
      <c r="J27" s="31">
        <v>15053366.754699999</v>
      </c>
      <c r="K27" s="30">
        <v>56467.958299999998</v>
      </c>
      <c r="L27" s="29">
        <v>12205957.937000001</v>
      </c>
      <c r="M27" s="4">
        <f t="shared" si="1"/>
        <v>27315792.649999999</v>
      </c>
      <c r="N27" s="4">
        <f t="shared" si="0"/>
        <v>1114.6700000017881</v>
      </c>
    </row>
    <row r="28" spans="1:14" x14ac:dyDescent="0.25">
      <c r="A28" s="25">
        <v>105433</v>
      </c>
      <c r="B28" s="2">
        <v>45348</v>
      </c>
      <c r="C28" s="3">
        <v>27326688.280000001</v>
      </c>
      <c r="J28" s="3">
        <v>15050172.617699999</v>
      </c>
      <c r="K28" s="3">
        <v>56480.755100000002</v>
      </c>
      <c r="L28" s="3">
        <v>12212395.2172</v>
      </c>
      <c r="M28" s="4">
        <f t="shared" si="1"/>
        <v>27319048.59</v>
      </c>
      <c r="N28" s="4">
        <f t="shared" si="0"/>
        <v>7639.6900000013411</v>
      </c>
    </row>
    <row r="29" spans="1:14" x14ac:dyDescent="0.25">
      <c r="A29" s="25">
        <v>105433</v>
      </c>
      <c r="B29" s="2">
        <v>45349</v>
      </c>
      <c r="C29" s="3">
        <v>27326656.18</v>
      </c>
      <c r="J29" s="3">
        <v>14945902.140000001</v>
      </c>
      <c r="K29" s="3">
        <v>56241.77</v>
      </c>
      <c r="L29" s="3">
        <v>12320466.41</v>
      </c>
      <c r="M29" s="4">
        <f t="shared" si="1"/>
        <v>27322610.32</v>
      </c>
      <c r="N29" s="4">
        <f t="shared" si="0"/>
        <v>4045.859999999404</v>
      </c>
    </row>
    <row r="30" spans="1:14" x14ac:dyDescent="0.25">
      <c r="A30" s="25">
        <v>105433</v>
      </c>
      <c r="B30" s="2">
        <v>45350</v>
      </c>
      <c r="C30" s="3">
        <v>27346677.789999999</v>
      </c>
      <c r="J30" s="3">
        <v>14971719.84</v>
      </c>
      <c r="K30" s="3">
        <v>56073.32</v>
      </c>
      <c r="L30" s="3">
        <v>12328692.25</v>
      </c>
      <c r="M30" s="4">
        <f t="shared" si="1"/>
        <v>27356485.41</v>
      </c>
      <c r="N30" s="4">
        <f t="shared" si="0"/>
        <v>-9807.6200000010431</v>
      </c>
    </row>
    <row r="31" spans="1:14" x14ac:dyDescent="0.25">
      <c r="A31" s="1">
        <v>105433</v>
      </c>
      <c r="B31" s="2">
        <v>45351</v>
      </c>
      <c r="C31" s="3">
        <v>27348367.710000001</v>
      </c>
      <c r="J31" s="3">
        <v>14975768.689999999</v>
      </c>
      <c r="K31" s="3">
        <v>56699.28</v>
      </c>
      <c r="L31" s="3">
        <v>12332568.6</v>
      </c>
      <c r="M31" s="4">
        <f t="shared" si="1"/>
        <v>27365036.57</v>
      </c>
      <c r="N31" s="4">
        <f t="shared" si="0"/>
        <v>-16668.859999999404</v>
      </c>
    </row>
    <row r="32" spans="1:14" x14ac:dyDescent="0.25">
      <c r="A32" s="5"/>
      <c r="B32" s="6"/>
      <c r="J32" s="7"/>
    </row>
    <row r="33" spans="1:14" x14ac:dyDescent="0.25">
      <c r="A33" s="19" t="s">
        <v>8</v>
      </c>
      <c r="B33" s="8">
        <v>29</v>
      </c>
      <c r="C33" s="4">
        <f>AVERAGE(C3:C31)</f>
        <v>27261447.761034485</v>
      </c>
      <c r="J33" s="4">
        <f>AVERAGE(J3:J31)</f>
        <v>15015061.619292855</v>
      </c>
      <c r="K33" s="4">
        <f>AVERAGE(K3:K31)</f>
        <v>56733.504832142869</v>
      </c>
      <c r="L33" s="4">
        <f>AVERAGE(L3:L31)</f>
        <v>12190862.740157144</v>
      </c>
      <c r="M33" s="4">
        <f>SUM(J33:L33)</f>
        <v>27262657.864282142</v>
      </c>
      <c r="N33" s="4">
        <f>M33-C33</f>
        <v>1210.1032476574183</v>
      </c>
    </row>
    <row r="34" spans="1:14" x14ac:dyDescent="0.25">
      <c r="A34" s="19" t="s">
        <v>9</v>
      </c>
      <c r="B34" s="8">
        <v>1.62</v>
      </c>
      <c r="C34" s="9">
        <f>+C33*$B$35</f>
        <v>35576.189328150002</v>
      </c>
      <c r="D34" s="10">
        <f>C34*1.16</f>
        <v>41268.379620653999</v>
      </c>
      <c r="J34" s="20">
        <f>((((+J33*$B$35))))*1.00022243710193</f>
        <v>19599.013991540596</v>
      </c>
      <c r="K34" s="20">
        <f>((((+K33*$B$35))))*1.00022243710193</f>
        <v>74.053692431444773</v>
      </c>
      <c r="L34" s="20">
        <f>((((+L33*$B$35))))*1.00022243710193</f>
        <v>15912.614644637293</v>
      </c>
      <c r="M34" s="4">
        <f>SUM(J34:L34)</f>
        <v>35585.682328609335</v>
      </c>
      <c r="N34" s="4">
        <f>+C34/M34</f>
        <v>0.99973323539586312</v>
      </c>
    </row>
    <row r="35" spans="1:14" x14ac:dyDescent="0.25">
      <c r="A35" s="19" t="s">
        <v>10</v>
      </c>
      <c r="B35" s="11">
        <f>B34/360*B33/100</f>
        <v>1.305E-3</v>
      </c>
      <c r="D35" s="10">
        <f>D34-C34</f>
        <v>5692.1902925039976</v>
      </c>
      <c r="M35" s="32">
        <f>M34/C34</f>
        <v>1.0002668357864799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54743-6D1B-4C8E-BBB1-04C38BA97D21}">
  <dimension ref="A1:N42"/>
  <sheetViews>
    <sheetView workbookViewId="0">
      <selection activeCell="G42" sqref="G42"/>
    </sheetView>
  </sheetViews>
  <sheetFormatPr baseColWidth="10" defaultRowHeight="15" x14ac:dyDescent="0.25"/>
  <cols>
    <col min="3" max="3" width="15.140625" bestFit="1" customWidth="1"/>
    <col min="10" max="12" width="17" bestFit="1" customWidth="1"/>
    <col min="13" max="14" width="15.140625" bestFit="1" customWidth="1"/>
  </cols>
  <sheetData>
    <row r="1" spans="1:14" x14ac:dyDescent="0.25">
      <c r="A1" s="46" t="s">
        <v>0</v>
      </c>
      <c r="B1" s="46"/>
      <c r="C1" s="46"/>
    </row>
    <row r="2" spans="1:14" x14ac:dyDescent="0.25">
      <c r="A2" s="16" t="s">
        <v>1</v>
      </c>
      <c r="B2" s="17" t="s">
        <v>2</v>
      </c>
      <c r="C2" s="18" t="s">
        <v>3</v>
      </c>
      <c r="J2" s="28" t="s">
        <v>4</v>
      </c>
      <c r="K2" s="14" t="s">
        <v>5</v>
      </c>
      <c r="L2" s="15" t="s">
        <v>6</v>
      </c>
    </row>
    <row r="3" spans="1:14" x14ac:dyDescent="0.25">
      <c r="A3" s="1">
        <v>105433</v>
      </c>
      <c r="B3" s="2">
        <v>45352</v>
      </c>
      <c r="C3" s="33">
        <v>27345918.800000001</v>
      </c>
      <c r="J3" s="3">
        <v>14963691.26</v>
      </c>
      <c r="K3" s="3">
        <v>56137.29</v>
      </c>
      <c r="L3" s="3">
        <v>12334662.35</v>
      </c>
      <c r="M3" s="4">
        <f>SUM(J3:L3)</f>
        <v>27354490.899999999</v>
      </c>
      <c r="N3" s="4">
        <f>+C3-M3</f>
        <v>-8572.0999999977648</v>
      </c>
    </row>
    <row r="4" spans="1:14" x14ac:dyDescent="0.25">
      <c r="A4" s="25">
        <v>105433</v>
      </c>
      <c r="B4" s="21">
        <v>45353</v>
      </c>
      <c r="C4" s="33">
        <v>27345918.800000001</v>
      </c>
      <c r="J4" s="3">
        <v>14963691.26</v>
      </c>
      <c r="K4" s="3">
        <v>56137.29</v>
      </c>
      <c r="L4" s="3">
        <v>12334662.35</v>
      </c>
      <c r="M4" s="4">
        <f>SUM(J4:L4)</f>
        <v>27354490.899999999</v>
      </c>
      <c r="N4" s="4">
        <f t="shared" ref="N4:N33" si="0">+C4-M4</f>
        <v>-8572.0999999977648</v>
      </c>
    </row>
    <row r="5" spans="1:14" x14ac:dyDescent="0.25">
      <c r="A5" s="25">
        <v>105433</v>
      </c>
      <c r="B5" s="21">
        <v>45354</v>
      </c>
      <c r="C5" s="33">
        <v>27345918.800000001</v>
      </c>
      <c r="J5" s="3">
        <v>14963691.26</v>
      </c>
      <c r="K5" s="3">
        <v>56137.29</v>
      </c>
      <c r="L5" s="3">
        <v>12334662.35</v>
      </c>
      <c r="M5" s="4">
        <f>SUM(J5:L5)</f>
        <v>27354490.899999999</v>
      </c>
      <c r="N5" s="4">
        <f t="shared" si="0"/>
        <v>-8572.0999999977648</v>
      </c>
    </row>
    <row r="6" spans="1:14" x14ac:dyDescent="0.25">
      <c r="A6" s="25">
        <v>105433</v>
      </c>
      <c r="B6" s="2">
        <v>45355</v>
      </c>
      <c r="C6" s="33">
        <v>27360374.199999999</v>
      </c>
      <c r="J6" s="3">
        <v>14943339.779999999</v>
      </c>
      <c r="K6" s="3">
        <v>56246.09</v>
      </c>
      <c r="L6" s="3">
        <v>12349714.880000001</v>
      </c>
      <c r="M6" s="4">
        <f t="shared" ref="M6:M33" si="1">SUM(J6:L6)</f>
        <v>27349300.75</v>
      </c>
      <c r="N6" s="4">
        <f t="shared" si="0"/>
        <v>11073.449999999255</v>
      </c>
    </row>
    <row r="7" spans="1:14" x14ac:dyDescent="0.25">
      <c r="A7" s="25">
        <v>105433</v>
      </c>
      <c r="B7" s="2">
        <v>45356</v>
      </c>
      <c r="C7" s="33">
        <v>27356215.75</v>
      </c>
      <c r="J7" s="3">
        <v>14952754.33</v>
      </c>
      <c r="K7" s="3">
        <v>56373.96</v>
      </c>
      <c r="L7" s="3">
        <v>12352253.029999999</v>
      </c>
      <c r="M7" s="4">
        <f t="shared" si="1"/>
        <v>27361381.32</v>
      </c>
      <c r="N7" s="4">
        <f t="shared" si="0"/>
        <v>-5165.570000000298</v>
      </c>
    </row>
    <row r="8" spans="1:14" x14ac:dyDescent="0.25">
      <c r="A8" s="25">
        <v>105433</v>
      </c>
      <c r="B8" s="2">
        <v>45357</v>
      </c>
      <c r="C8" s="33">
        <v>27360391.149999999</v>
      </c>
      <c r="E8" t="s">
        <v>7</v>
      </c>
      <c r="J8" s="3">
        <v>14952754.33</v>
      </c>
      <c r="K8" s="3">
        <v>56373.96</v>
      </c>
      <c r="L8" s="3">
        <v>12352253.029999999</v>
      </c>
      <c r="M8" s="4">
        <f t="shared" si="1"/>
        <v>27361381.32</v>
      </c>
      <c r="N8" s="4">
        <f t="shared" si="0"/>
        <v>-990.17000000178814</v>
      </c>
    </row>
    <row r="9" spans="1:14" x14ac:dyDescent="0.25">
      <c r="A9" s="25">
        <v>105433</v>
      </c>
      <c r="B9" s="2">
        <v>45358</v>
      </c>
      <c r="C9" s="33">
        <v>27327078.09</v>
      </c>
      <c r="J9" s="3">
        <v>14936078.0602</v>
      </c>
      <c r="K9" s="3">
        <v>56280.2497</v>
      </c>
      <c r="L9" s="3">
        <v>12328128.6701</v>
      </c>
      <c r="M9" s="4">
        <f t="shared" si="1"/>
        <v>27320486.98</v>
      </c>
      <c r="N9" s="4">
        <f t="shared" si="0"/>
        <v>6591.109999999404</v>
      </c>
    </row>
    <row r="10" spans="1:14" x14ac:dyDescent="0.25">
      <c r="A10" s="25">
        <v>105433</v>
      </c>
      <c r="B10" s="2">
        <v>45359</v>
      </c>
      <c r="C10" s="33">
        <v>27336608.07</v>
      </c>
      <c r="J10" s="3">
        <v>15029628.439099999</v>
      </c>
      <c r="K10" s="3">
        <v>56582.110699999997</v>
      </c>
      <c r="L10" s="3">
        <v>12234264.8202</v>
      </c>
      <c r="M10" s="4">
        <f t="shared" si="1"/>
        <v>27320475.369999997</v>
      </c>
      <c r="N10" s="4">
        <f t="shared" si="0"/>
        <v>16132.70000000298</v>
      </c>
    </row>
    <row r="11" spans="1:14" x14ac:dyDescent="0.25">
      <c r="A11" s="25">
        <v>105433</v>
      </c>
      <c r="B11" s="21">
        <v>45360</v>
      </c>
      <c r="C11" s="33">
        <v>27336608.07</v>
      </c>
      <c r="J11" s="3">
        <v>15029628.439099999</v>
      </c>
      <c r="K11" s="3">
        <v>56582.110699999997</v>
      </c>
      <c r="L11" s="3">
        <v>12234264.8202</v>
      </c>
      <c r="M11" s="4">
        <f>SUM(J11:L11)</f>
        <v>27320475.369999997</v>
      </c>
      <c r="N11" s="4">
        <f t="shared" si="0"/>
        <v>16132.70000000298</v>
      </c>
    </row>
    <row r="12" spans="1:14" x14ac:dyDescent="0.25">
      <c r="A12" s="25">
        <v>105433</v>
      </c>
      <c r="B12" s="21">
        <v>45361</v>
      </c>
      <c r="C12" s="33">
        <v>27336608.07</v>
      </c>
      <c r="J12" s="3">
        <v>15029628.439099999</v>
      </c>
      <c r="K12" s="3">
        <v>56582.110699999997</v>
      </c>
      <c r="L12" s="3">
        <v>12234264.8202</v>
      </c>
      <c r="M12" s="4">
        <f>SUM(J12:L12)</f>
        <v>27320475.369999997</v>
      </c>
      <c r="N12" s="4">
        <f t="shared" si="0"/>
        <v>16132.70000000298</v>
      </c>
    </row>
    <row r="13" spans="1:14" x14ac:dyDescent="0.25">
      <c r="A13" s="25">
        <v>105433</v>
      </c>
      <c r="B13" s="2">
        <v>45362</v>
      </c>
      <c r="C13" s="33">
        <v>27342512.899999999</v>
      </c>
      <c r="J13" s="3">
        <v>14967746.814999999</v>
      </c>
      <c r="K13" s="3">
        <v>56848.85</v>
      </c>
      <c r="L13" s="3">
        <v>12319469.285</v>
      </c>
      <c r="M13" s="4">
        <f t="shared" si="1"/>
        <v>27344064.949999999</v>
      </c>
      <c r="N13" s="4">
        <f t="shared" si="0"/>
        <v>-1552.0500000007451</v>
      </c>
    </row>
    <row r="14" spans="1:14" x14ac:dyDescent="0.25">
      <c r="A14" s="25">
        <v>105433</v>
      </c>
      <c r="B14" s="2">
        <v>45363</v>
      </c>
      <c r="C14" s="33">
        <v>27342023.460000001</v>
      </c>
      <c r="J14" s="3">
        <v>14946882.167099999</v>
      </c>
      <c r="K14" s="3">
        <v>56879.968500000003</v>
      </c>
      <c r="L14" s="3">
        <v>12334269.8145</v>
      </c>
      <c r="M14" s="4">
        <f t="shared" si="1"/>
        <v>27338031.950099997</v>
      </c>
      <c r="N14" s="4">
        <f t="shared" si="0"/>
        <v>3991.5099000036716</v>
      </c>
    </row>
    <row r="15" spans="1:14" x14ac:dyDescent="0.25">
      <c r="A15" s="25">
        <v>105433</v>
      </c>
      <c r="B15" s="2">
        <v>45364</v>
      </c>
      <c r="C15" s="33">
        <v>27334262.149999999</v>
      </c>
      <c r="J15" s="3">
        <v>14946382.215299999</v>
      </c>
      <c r="K15" s="3">
        <v>56879.711199999998</v>
      </c>
      <c r="L15" s="3">
        <v>12335176.0636</v>
      </c>
      <c r="M15" s="4">
        <f t="shared" si="1"/>
        <v>27338437.9901</v>
      </c>
      <c r="N15" s="4">
        <f t="shared" si="0"/>
        <v>-4175.8401000015438</v>
      </c>
    </row>
    <row r="16" spans="1:14" x14ac:dyDescent="0.25">
      <c r="A16" s="25">
        <v>105433</v>
      </c>
      <c r="B16" s="2">
        <v>45365</v>
      </c>
      <c r="C16" s="33">
        <v>27331184.760000002</v>
      </c>
      <c r="G16" s="34">
        <f>J15/$C$15</f>
        <v>0.54680028066168229</v>
      </c>
      <c r="H16" s="34">
        <f>K15/$C$15</f>
        <v>2.0808943328291013E-3</v>
      </c>
      <c r="I16" s="34">
        <f>L15/$C$15</f>
        <v>0.45127159445202003</v>
      </c>
      <c r="J16" s="3">
        <f>$C$16*G16</f>
        <v>14944699.497584295</v>
      </c>
      <c r="K16" s="3">
        <f>$C$16*H16</f>
        <v>56873.307476589107</v>
      </c>
      <c r="L16" s="3">
        <f>$C$16*I16</f>
        <v>12333787.324907951</v>
      </c>
      <c r="M16" s="4">
        <f t="shared" si="1"/>
        <v>27335360.129968837</v>
      </c>
      <c r="N16" s="4">
        <f t="shared" si="0"/>
        <v>-4175.3699688352644</v>
      </c>
    </row>
    <row r="17" spans="1:14" x14ac:dyDescent="0.25">
      <c r="A17" s="25">
        <v>105433</v>
      </c>
      <c r="B17" s="2">
        <v>45366</v>
      </c>
      <c r="C17" s="33">
        <v>27345045.879999999</v>
      </c>
      <c r="G17" s="34">
        <f>J16/$C$16</f>
        <v>0.54680028066168229</v>
      </c>
      <c r="H17" s="34">
        <f>K16/$C$16</f>
        <v>2.0808943328291013E-3</v>
      </c>
      <c r="I17" s="34">
        <f>L16/$C$16</f>
        <v>0.45127159445202003</v>
      </c>
      <c r="J17" s="3">
        <f t="shared" ref="J17:L18" si="2">$C$17*G17</f>
        <v>14952278.761890579</v>
      </c>
      <c r="K17" s="3">
        <f t="shared" si="2"/>
        <v>56902.151002643761</v>
      </c>
      <c r="L17" s="3">
        <f t="shared" si="2"/>
        <v>12340042.454631241</v>
      </c>
      <c r="M17" s="4">
        <f t="shared" si="1"/>
        <v>27349223.367524464</v>
      </c>
      <c r="N17" s="4">
        <f t="shared" si="0"/>
        <v>-4177.4875244647264</v>
      </c>
    </row>
    <row r="18" spans="1:14" x14ac:dyDescent="0.25">
      <c r="A18" s="25">
        <v>105433</v>
      </c>
      <c r="B18" s="21">
        <v>45367</v>
      </c>
      <c r="C18" s="33">
        <v>27345045.879999999</v>
      </c>
      <c r="G18" s="34">
        <f>J17/$C$17</f>
        <v>0.54680028066168229</v>
      </c>
      <c r="H18" s="34">
        <f>K17/$C$17</f>
        <v>2.0808943328291013E-3</v>
      </c>
      <c r="I18" s="34">
        <f>L17/$C$18</f>
        <v>0.45127159445202003</v>
      </c>
      <c r="J18" s="3">
        <f t="shared" si="2"/>
        <v>14952278.761890579</v>
      </c>
      <c r="K18" s="3">
        <f t="shared" si="2"/>
        <v>56902.151002643761</v>
      </c>
      <c r="L18" s="3">
        <f t="shared" si="2"/>
        <v>12340042.454631241</v>
      </c>
      <c r="M18" s="4">
        <f t="shared" si="1"/>
        <v>27349223.367524464</v>
      </c>
      <c r="N18" s="4">
        <f t="shared" si="0"/>
        <v>-4177.4875244647264</v>
      </c>
    </row>
    <row r="19" spans="1:14" x14ac:dyDescent="0.25">
      <c r="A19" s="25">
        <v>105433</v>
      </c>
      <c r="B19" s="21">
        <v>45368</v>
      </c>
      <c r="C19" s="33">
        <v>27345045.879999999</v>
      </c>
      <c r="G19" s="34">
        <f>J18/$C$17</f>
        <v>0.54680028066168229</v>
      </c>
      <c r="H19" s="34">
        <f>K18/$C$17</f>
        <v>2.0808943328291013E-3</v>
      </c>
      <c r="I19" s="34">
        <f>L18/$C$18</f>
        <v>0.45127159445202003</v>
      </c>
      <c r="J19" s="3">
        <f>$C$19*G19</f>
        <v>14952278.761890579</v>
      </c>
      <c r="K19" s="3">
        <f>$C$17*H19</f>
        <v>56902.151002643761</v>
      </c>
      <c r="L19" s="3">
        <f>$C$17*I19</f>
        <v>12340042.454631241</v>
      </c>
      <c r="M19" s="4">
        <f t="shared" si="1"/>
        <v>27349223.367524464</v>
      </c>
      <c r="N19" s="4">
        <f t="shared" si="0"/>
        <v>-4177.4875244647264</v>
      </c>
    </row>
    <row r="20" spans="1:14" x14ac:dyDescent="0.25">
      <c r="A20" s="25">
        <v>105433</v>
      </c>
      <c r="B20" s="21">
        <v>45369</v>
      </c>
      <c r="C20" s="33">
        <v>27345045.879999999</v>
      </c>
      <c r="G20" s="34">
        <f t="shared" ref="G20:I21" si="3">J19/$C$20</f>
        <v>0.54680028066168229</v>
      </c>
      <c r="H20" s="34">
        <f t="shared" si="3"/>
        <v>2.0808943328291013E-3</v>
      </c>
      <c r="I20" s="34">
        <f t="shared" si="3"/>
        <v>0.45127159445202003</v>
      </c>
      <c r="J20" s="3">
        <f>$C$20*G20</f>
        <v>14952278.761890579</v>
      </c>
      <c r="K20" s="3">
        <f>$C$20*H20</f>
        <v>56902.151002643761</v>
      </c>
      <c r="L20" s="3">
        <f>$C$20*I20</f>
        <v>12340042.454631241</v>
      </c>
      <c r="M20" s="4">
        <f t="shared" si="1"/>
        <v>27349223.367524464</v>
      </c>
      <c r="N20" s="4">
        <f t="shared" si="0"/>
        <v>-4177.4875244647264</v>
      </c>
    </row>
    <row r="21" spans="1:14" x14ac:dyDescent="0.25">
      <c r="A21" s="25">
        <v>105433</v>
      </c>
      <c r="B21" s="2">
        <v>45370</v>
      </c>
      <c r="C21" s="33">
        <v>27364947.460000001</v>
      </c>
      <c r="G21" s="34">
        <f t="shared" si="3"/>
        <v>0.54680028066168229</v>
      </c>
      <c r="H21" s="34">
        <f t="shared" si="3"/>
        <v>2.0808943328291013E-3</v>
      </c>
      <c r="I21" s="34">
        <f t="shared" si="3"/>
        <v>0.45127159445202003</v>
      </c>
      <c r="J21" s="3">
        <f>$C$21*G21</f>
        <v>14963160.95142019</v>
      </c>
      <c r="K21" s="3">
        <f>$C$21*H21</f>
        <v>56943.564087680112</v>
      </c>
      <c r="L21" s="3">
        <f>$C$21*I21</f>
        <v>12349023.472369956</v>
      </c>
      <c r="M21" s="4">
        <f t="shared" si="1"/>
        <v>27369127.987877823</v>
      </c>
      <c r="N21" s="4">
        <f t="shared" si="0"/>
        <v>-4180.5278778225183</v>
      </c>
    </row>
    <row r="22" spans="1:14" x14ac:dyDescent="0.25">
      <c r="A22" s="25">
        <v>105433</v>
      </c>
      <c r="B22" s="2">
        <v>45371</v>
      </c>
      <c r="C22" s="33">
        <v>27364496.48</v>
      </c>
      <c r="G22" s="10">
        <f>J21/C21</f>
        <v>0.54680028066168229</v>
      </c>
      <c r="J22" s="3">
        <v>14994874.102</v>
      </c>
      <c r="K22" s="3">
        <v>57396.673900000002</v>
      </c>
      <c r="L22" s="3">
        <v>12415698.7542</v>
      </c>
      <c r="M22" s="4">
        <f t="shared" si="1"/>
        <v>27467969.530100003</v>
      </c>
      <c r="N22" s="4">
        <f t="shared" si="0"/>
        <v>-103473.05010000244</v>
      </c>
    </row>
    <row r="23" spans="1:14" x14ac:dyDescent="0.25">
      <c r="A23" s="25">
        <v>105433</v>
      </c>
      <c r="B23" s="2">
        <v>45372</v>
      </c>
      <c r="C23" s="33">
        <v>27389942.77</v>
      </c>
      <c r="G23" s="34">
        <f>J22/$C$22</f>
        <v>0.54796820811080382</v>
      </c>
      <c r="H23" s="34">
        <f>K22/$C$23</f>
        <v>2.0955382923569361E-3</v>
      </c>
      <c r="I23" s="34">
        <f>L22/$C$23</f>
        <v>0.45329407434172597</v>
      </c>
      <c r="J23" s="3">
        <f>$C$23*G23</f>
        <v>15008817.859934365</v>
      </c>
      <c r="K23" s="3">
        <f>$C$23*H23</f>
        <v>57396.673900000009</v>
      </c>
      <c r="L23" s="3">
        <f>$C$23*I23</f>
        <v>12415698.7542</v>
      </c>
      <c r="M23" s="4">
        <f t="shared" si="1"/>
        <v>27481913.288034365</v>
      </c>
      <c r="N23" s="4">
        <f t="shared" si="0"/>
        <v>-91970.518034365028</v>
      </c>
    </row>
    <row r="24" spans="1:14" x14ac:dyDescent="0.25">
      <c r="A24" s="25">
        <v>105433</v>
      </c>
      <c r="B24" s="2">
        <v>45373</v>
      </c>
      <c r="C24" s="33">
        <v>27415713.890000001</v>
      </c>
      <c r="G24" s="34">
        <f>J23/$C$23</f>
        <v>0.54796820811080382</v>
      </c>
      <c r="H24" s="34">
        <f>K23/$C$23</f>
        <v>2.0955382923569361E-3</v>
      </c>
      <c r="I24" s="34">
        <f>L23/$C$23</f>
        <v>0.45329407434172597</v>
      </c>
      <c r="J24" s="3">
        <f>$C$24*G24</f>
        <v>15022939.614381775</v>
      </c>
      <c r="K24" s="3">
        <f>$C$24*H24</f>
        <v>57450.678268796932</v>
      </c>
      <c r="L24" s="3">
        <f>$C$24*I24</f>
        <v>12427380.650185149</v>
      </c>
      <c r="M24" s="4">
        <f t="shared" si="1"/>
        <v>27507770.942835722</v>
      </c>
      <c r="N24" s="4">
        <f t="shared" si="0"/>
        <v>-92057.052835721523</v>
      </c>
    </row>
    <row r="25" spans="1:14" x14ac:dyDescent="0.25">
      <c r="A25" s="25">
        <v>105433</v>
      </c>
      <c r="B25" s="21">
        <v>45374</v>
      </c>
      <c r="C25" s="33">
        <v>27415713.890000001</v>
      </c>
      <c r="G25" s="34">
        <f>J24/$C$24</f>
        <v>0.54796820811080382</v>
      </c>
      <c r="H25" s="34">
        <f>K24/$C$24</f>
        <v>2.0955382923569361E-3</v>
      </c>
      <c r="I25" s="34">
        <f>L24/$C$24</f>
        <v>0.45329407434172597</v>
      </c>
      <c r="J25" s="3">
        <f>$C$25*G25</f>
        <v>15022939.614381775</v>
      </c>
      <c r="K25" s="3">
        <f>$C$25*H25</f>
        <v>57450.678268796932</v>
      </c>
      <c r="L25" s="3">
        <f>$C$25*I25</f>
        <v>12427380.650185149</v>
      </c>
      <c r="M25" s="4">
        <f t="shared" si="1"/>
        <v>27507770.942835722</v>
      </c>
      <c r="N25" s="4">
        <f t="shared" si="0"/>
        <v>-92057.052835721523</v>
      </c>
    </row>
    <row r="26" spans="1:14" x14ac:dyDescent="0.25">
      <c r="A26" s="25">
        <v>105433</v>
      </c>
      <c r="B26" s="21">
        <v>45375</v>
      </c>
      <c r="C26" s="33">
        <v>27415713.890000001</v>
      </c>
      <c r="G26" s="34">
        <f>J25/$C$25</f>
        <v>0.54796820811080382</v>
      </c>
      <c r="H26" s="34">
        <f>K25/$C$25</f>
        <v>2.0955382923569361E-3</v>
      </c>
      <c r="I26" s="34">
        <f>L25/$C$25</f>
        <v>0.45329407434172597</v>
      </c>
      <c r="J26" s="3">
        <f>$C$26*G26</f>
        <v>15022939.614381775</v>
      </c>
      <c r="K26" s="3">
        <f>$C$26*H26</f>
        <v>57450.678268796932</v>
      </c>
      <c r="L26" s="3">
        <f>$C$26*I26</f>
        <v>12427380.650185149</v>
      </c>
      <c r="M26" s="4">
        <f>SUM(J26:L26)</f>
        <v>27507770.942835722</v>
      </c>
      <c r="N26" s="4">
        <f t="shared" si="0"/>
        <v>-92057.052835721523</v>
      </c>
    </row>
    <row r="27" spans="1:14" x14ac:dyDescent="0.25">
      <c r="A27" s="25">
        <v>105433</v>
      </c>
      <c r="B27" s="2">
        <v>45376</v>
      </c>
      <c r="C27" s="33">
        <v>27380441.34</v>
      </c>
      <c r="G27" s="34">
        <f>J26/$C$26</f>
        <v>0.54796820811080382</v>
      </c>
      <c r="H27" s="34">
        <f>K26/$C$26</f>
        <v>2.0955382923569361E-3</v>
      </c>
      <c r="I27" s="34">
        <f>L26/$C$26</f>
        <v>0.45329407434172597</v>
      </c>
      <c r="J27" s="3">
        <f>$C$27*G27</f>
        <v>15003611.378362777</v>
      </c>
      <c r="K27" s="3">
        <f>$C$27*H27</f>
        <v>57376.763289602859</v>
      </c>
      <c r="L27" s="3">
        <f>$C$27*I27</f>
        <v>12411391.812283227</v>
      </c>
      <c r="M27" s="4">
        <f t="shared" si="1"/>
        <v>27472379.953935608</v>
      </c>
      <c r="N27" s="4">
        <f t="shared" si="0"/>
        <v>-91938.613935608417</v>
      </c>
    </row>
    <row r="28" spans="1:14" x14ac:dyDescent="0.25">
      <c r="A28" s="25">
        <v>105433</v>
      </c>
      <c r="B28" s="2">
        <v>45377</v>
      </c>
      <c r="C28" s="33">
        <v>27386633.710000001</v>
      </c>
      <c r="G28" s="34">
        <f>J27/$C$27</f>
        <v>0.54796820811080382</v>
      </c>
      <c r="H28" s="34">
        <f>K27/$C$27</f>
        <v>2.0955382923569361E-3</v>
      </c>
      <c r="I28" s="34">
        <f>L27/$C$27</f>
        <v>0.45329407434172597</v>
      </c>
      <c r="J28" s="3">
        <f>$C$28*G28</f>
        <v>15007004.600255636</v>
      </c>
      <c r="K28" s="3">
        <f>$C$28*H28</f>
        <v>57389.739638058301</v>
      </c>
      <c r="L28" s="3">
        <f>$C$28*I28</f>
        <v>12414198.776910359</v>
      </c>
      <c r="M28" s="4">
        <f t="shared" si="1"/>
        <v>27478593.116804056</v>
      </c>
      <c r="N28" s="4">
        <f t="shared" si="0"/>
        <v>-91959.406804054976</v>
      </c>
    </row>
    <row r="29" spans="1:14" x14ac:dyDescent="0.25">
      <c r="A29" s="25">
        <v>105433</v>
      </c>
      <c r="B29" s="2">
        <v>45378</v>
      </c>
      <c r="C29" s="33">
        <v>27402973.609999999</v>
      </c>
      <c r="J29" s="3">
        <v>14934046.713199999</v>
      </c>
      <c r="K29" s="3">
        <v>57676.804100000001</v>
      </c>
      <c r="L29" s="3">
        <v>12380853.7125</v>
      </c>
      <c r="M29" s="4">
        <f t="shared" si="1"/>
        <v>27372577.229800001</v>
      </c>
      <c r="N29" s="4">
        <f t="shared" si="0"/>
        <v>30396.380199998617</v>
      </c>
    </row>
    <row r="30" spans="1:14" x14ac:dyDescent="0.25">
      <c r="A30" s="25">
        <v>105433</v>
      </c>
      <c r="B30" s="2">
        <v>45379</v>
      </c>
      <c r="C30" s="33">
        <v>27402973.609999999</v>
      </c>
      <c r="G30" s="34">
        <f>$J$29/C29</f>
        <v>0.5449790568622892</v>
      </c>
      <c r="H30" s="34">
        <f>$K$29/C29</f>
        <v>2.1047644288849135E-3</v>
      </c>
      <c r="I30" s="34">
        <f>$L$29/C29</f>
        <v>0.45180694214812989</v>
      </c>
      <c r="J30" s="3">
        <f>$C$30*G30</f>
        <v>14934046.713199999</v>
      </c>
      <c r="K30" s="3">
        <f>$C$30*H30</f>
        <v>57676.804100000008</v>
      </c>
      <c r="L30" s="3">
        <f>$C$30*I30</f>
        <v>12380853.7125</v>
      </c>
      <c r="M30" s="4">
        <f t="shared" si="1"/>
        <v>27372577.229800001</v>
      </c>
      <c r="N30" s="4">
        <f t="shared" si="0"/>
        <v>30396.380199998617</v>
      </c>
    </row>
    <row r="31" spans="1:14" x14ac:dyDescent="0.25">
      <c r="A31" s="1">
        <v>105433</v>
      </c>
      <c r="B31" s="2">
        <v>45380</v>
      </c>
      <c r="C31" s="33">
        <v>27402973.609999999</v>
      </c>
      <c r="G31" s="34">
        <f>$J$29/C30</f>
        <v>0.5449790568622892</v>
      </c>
      <c r="H31" s="34">
        <f>$K$29/C30</f>
        <v>2.1047644288849135E-3</v>
      </c>
      <c r="I31" s="34">
        <f>$L$30/C30</f>
        <v>0.45180694214812989</v>
      </c>
      <c r="J31" s="3">
        <f>$C$31*G31</f>
        <v>14934046.713199999</v>
      </c>
      <c r="K31" s="3">
        <f>$C$31*H31</f>
        <v>57676.804100000008</v>
      </c>
      <c r="L31" s="3">
        <f>$C$31*I31</f>
        <v>12380853.7125</v>
      </c>
      <c r="M31" s="4">
        <f t="shared" si="1"/>
        <v>27372577.229800001</v>
      </c>
      <c r="N31" s="4">
        <f t="shared" si="0"/>
        <v>30396.380199998617</v>
      </c>
    </row>
    <row r="32" spans="1:14" x14ac:dyDescent="0.25">
      <c r="A32" s="1">
        <v>105434</v>
      </c>
      <c r="B32" s="2">
        <v>45381</v>
      </c>
      <c r="C32" s="33">
        <v>27402973.609999999</v>
      </c>
      <c r="G32" s="34">
        <f>$J$29/C31</f>
        <v>0.5449790568622892</v>
      </c>
      <c r="H32" s="34">
        <f>$K$29/C31</f>
        <v>2.1047644288849135E-3</v>
      </c>
      <c r="I32" s="34">
        <f>$L$31/C31</f>
        <v>0.45180694214812989</v>
      </c>
      <c r="J32" s="3">
        <f>$C$32*G32</f>
        <v>14934046.713199999</v>
      </c>
      <c r="K32" s="3">
        <f>$C$32*H32</f>
        <v>57676.804100000008</v>
      </c>
      <c r="L32" s="3">
        <f>$C$32*I32</f>
        <v>12380853.7125</v>
      </c>
      <c r="M32" s="4">
        <f t="shared" si="1"/>
        <v>27372577.229800001</v>
      </c>
      <c r="N32" s="4">
        <f t="shared" si="0"/>
        <v>30396.380199998617</v>
      </c>
    </row>
    <row r="33" spans="1:14" x14ac:dyDescent="0.25">
      <c r="A33" s="1">
        <v>105435</v>
      </c>
      <c r="B33" s="2">
        <v>45382</v>
      </c>
      <c r="C33" s="33">
        <v>27402973.609999999</v>
      </c>
      <c r="G33" s="34">
        <f>$J$29/C32</f>
        <v>0.5449790568622892</v>
      </c>
      <c r="H33" s="34">
        <f>$K$29/C32</f>
        <v>2.1047644288849135E-3</v>
      </c>
      <c r="I33" s="34">
        <f>$L$32/C33</f>
        <v>0.45180694214812989</v>
      </c>
      <c r="J33" s="3">
        <f>$C$33*G33</f>
        <v>14934046.713199999</v>
      </c>
      <c r="K33" s="3">
        <f>$C$33*H33</f>
        <v>57676.804100000008</v>
      </c>
      <c r="L33" s="3">
        <f>$C$33*I33</f>
        <v>12380853.7125</v>
      </c>
      <c r="M33" s="4">
        <f t="shared" si="1"/>
        <v>27372577.229800001</v>
      </c>
      <c r="N33" s="4">
        <f t="shared" si="0"/>
        <v>30396.380199998617</v>
      </c>
    </row>
    <row r="34" spans="1:14" x14ac:dyDescent="0.25">
      <c r="A34" s="5"/>
      <c r="B34" s="6"/>
      <c r="J34" s="7"/>
    </row>
    <row r="35" spans="1:14" x14ac:dyDescent="0.25">
      <c r="A35" s="19" t="s">
        <v>8</v>
      </c>
      <c r="B35" s="8">
        <v>31</v>
      </c>
      <c r="C35" s="4">
        <f>AVERAGE(C3:C31)</f>
        <v>27362907.960344825</v>
      </c>
      <c r="J35" s="4">
        <f>AVERAGE(J3:J31)</f>
        <v>14973384.110853963</v>
      </c>
      <c r="K35" s="4">
        <f>AVERAGE(K3:K31)</f>
        <v>56910.647065824029</v>
      </c>
      <c r="L35" s="4">
        <f>AVERAGE(L3:L31)</f>
        <v>12351817.865008688</v>
      </c>
      <c r="M35" s="4">
        <f>SUM(J35:L35)</f>
        <v>27382112.622928474</v>
      </c>
      <c r="N35" s="4">
        <f>M35-C35</f>
        <v>19204.662583649158</v>
      </c>
    </row>
    <row r="36" spans="1:14" x14ac:dyDescent="0.25">
      <c r="A36" s="19" t="s">
        <v>9</v>
      </c>
      <c r="B36" s="8">
        <v>1.62</v>
      </c>
      <c r="C36" s="9">
        <f>+C35*$B$37</f>
        <v>38171.256604681039</v>
      </c>
      <c r="D36" s="10">
        <f>C36*1.16</f>
        <v>44278.657661429999</v>
      </c>
      <c r="J36" s="20">
        <f>(+J35*$B$37)*0.999298642042412</f>
        <v>20873.220960214345</v>
      </c>
      <c r="K36" s="20">
        <f>(+K35*$B$37)*0.999298642042412</f>
        <v>79.334671601232984</v>
      </c>
      <c r="L36" s="20">
        <f>(+L35*$B$37)*0.999298642042412</f>
        <v>17218.700972865459</v>
      </c>
      <c r="M36" s="4">
        <f>SUM(J36:L36)</f>
        <v>38171.256604681039</v>
      </c>
      <c r="N36" s="4">
        <f>+C36/M36</f>
        <v>1</v>
      </c>
    </row>
    <row r="37" spans="1:14" x14ac:dyDescent="0.25">
      <c r="A37" s="19" t="s">
        <v>10</v>
      </c>
      <c r="B37" s="11">
        <f>B36/360*B35/100</f>
        <v>1.3950000000000002E-3</v>
      </c>
      <c r="D37" s="10">
        <f>D36-C36</f>
        <v>6107.4010567489604</v>
      </c>
      <c r="M37" s="32">
        <f>C36/M36</f>
        <v>1</v>
      </c>
    </row>
    <row r="40" spans="1:14" x14ac:dyDescent="0.25">
      <c r="C40" s="10"/>
    </row>
    <row r="41" spans="1:14" x14ac:dyDescent="0.25">
      <c r="C41" s="10"/>
    </row>
    <row r="42" spans="1:14" x14ac:dyDescent="0.25">
      <c r="C42" s="10"/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8879-9EDD-48EE-A6EE-59A60AB00B3C}">
  <dimension ref="A1:N41"/>
  <sheetViews>
    <sheetView topLeftCell="A25" workbookViewId="0">
      <selection activeCell="D25" sqref="D25"/>
    </sheetView>
  </sheetViews>
  <sheetFormatPr baseColWidth="10" defaultRowHeight="15" x14ac:dyDescent="0.25"/>
  <cols>
    <col min="3" max="3" width="15.140625" bestFit="1" customWidth="1"/>
    <col min="6" max="6" width="14.140625" bestFit="1" customWidth="1"/>
    <col min="8" max="9" width="14.140625" bestFit="1" customWidth="1"/>
    <col min="10" max="12" width="17" bestFit="1" customWidth="1"/>
    <col min="13" max="14" width="15.140625" bestFit="1" customWidth="1"/>
  </cols>
  <sheetData>
    <row r="1" spans="1:14" x14ac:dyDescent="0.25">
      <c r="D1" s="38" t="s">
        <v>15</v>
      </c>
      <c r="E1" s="35">
        <v>45382</v>
      </c>
      <c r="F1" s="36">
        <v>14934046.713199999</v>
      </c>
      <c r="G1" s="36">
        <v>57676.804100000001</v>
      </c>
      <c r="H1" s="36">
        <v>12380853.7125</v>
      </c>
      <c r="I1" s="37">
        <f>+F1+G1+H1</f>
        <v>27372577.229800001</v>
      </c>
    </row>
    <row r="2" spans="1:14" x14ac:dyDescent="0.25">
      <c r="D2" s="38" t="s">
        <v>16</v>
      </c>
      <c r="E2" s="35">
        <v>45412</v>
      </c>
      <c r="F2" s="36">
        <v>14983704.3507</v>
      </c>
      <c r="G2" s="36">
        <v>58169.493000000002</v>
      </c>
      <c r="H2" s="36">
        <v>12376299.6163</v>
      </c>
      <c r="I2" s="37">
        <f>+F2+G2+H2</f>
        <v>27418173.460000001</v>
      </c>
    </row>
    <row r="3" spans="1:14" x14ac:dyDescent="0.25">
      <c r="E3" s="38"/>
      <c r="F3" s="37"/>
    </row>
    <row r="4" spans="1:14" x14ac:dyDescent="0.25">
      <c r="E4" s="35">
        <v>45382</v>
      </c>
      <c r="F4" s="13">
        <f t="shared" ref="F4:H5" si="0">+F1/$I1</f>
        <v>0.54558423884695773</v>
      </c>
      <c r="G4" s="13">
        <f t="shared" si="0"/>
        <v>2.1071017031311311E-3</v>
      </c>
      <c r="H4" s="13">
        <f t="shared" si="0"/>
        <v>0.45230865944991111</v>
      </c>
      <c r="I4" s="12">
        <f>+F4+G4+H4</f>
        <v>1</v>
      </c>
    </row>
    <row r="5" spans="1:14" x14ac:dyDescent="0.25">
      <c r="E5" s="35">
        <v>45412</v>
      </c>
      <c r="F5" s="13">
        <f t="shared" si="0"/>
        <v>0.54648805736675066</v>
      </c>
      <c r="G5" s="13">
        <f t="shared" si="0"/>
        <v>2.1215670359975903E-3</v>
      </c>
      <c r="H5" s="13">
        <f t="shared" si="0"/>
        <v>0.45139037559725176</v>
      </c>
      <c r="I5" s="12">
        <f>+F5+G5+H5</f>
        <v>1</v>
      </c>
    </row>
    <row r="6" spans="1:14" x14ac:dyDescent="0.25">
      <c r="A6" s="46" t="s">
        <v>0</v>
      </c>
      <c r="B6" s="46"/>
      <c r="C6" s="46"/>
      <c r="E6" s="39" t="s">
        <v>17</v>
      </c>
      <c r="F6" s="40">
        <f>AVERAGE(F4:F5)</f>
        <v>0.54603614810685419</v>
      </c>
      <c r="G6" s="40">
        <f>AVERAGE(G4:G5)</f>
        <v>2.1143343695643607E-3</v>
      </c>
      <c r="H6" s="40">
        <f>AVERAGE(H4:H5)</f>
        <v>0.45184951752358143</v>
      </c>
      <c r="I6" s="12"/>
    </row>
    <row r="7" spans="1:14" x14ac:dyDescent="0.25">
      <c r="A7" s="16" t="s">
        <v>1</v>
      </c>
      <c r="B7" s="17" t="s">
        <v>2</v>
      </c>
      <c r="C7" s="18" t="s">
        <v>3</v>
      </c>
      <c r="E7" s="35"/>
      <c r="F7" s="13"/>
      <c r="G7" s="13"/>
      <c r="H7" s="13"/>
      <c r="I7" s="12"/>
      <c r="J7" s="28" t="s">
        <v>4</v>
      </c>
      <c r="K7" s="14" t="s">
        <v>5</v>
      </c>
      <c r="L7" s="15" t="s">
        <v>6</v>
      </c>
    </row>
    <row r="8" spans="1:14" x14ac:dyDescent="0.25">
      <c r="A8" s="1">
        <v>105433</v>
      </c>
      <c r="B8" s="2">
        <v>45383</v>
      </c>
      <c r="C8" s="33">
        <v>27411918.41</v>
      </c>
      <c r="J8" s="3">
        <v>14967898.340815764</v>
      </c>
      <c r="K8" s="3">
        <v>57957.961229957044</v>
      </c>
      <c r="L8" s="3">
        <v>12386062.10795428</v>
      </c>
      <c r="M8" s="4">
        <f>SUM(J8:L8)</f>
        <v>27411918.410000004</v>
      </c>
      <c r="N8" s="4">
        <f>+C8-M8</f>
        <v>0</v>
      </c>
    </row>
    <row r="9" spans="1:14" x14ac:dyDescent="0.25">
      <c r="A9" s="25">
        <v>105433</v>
      </c>
      <c r="B9" s="2">
        <v>45384</v>
      </c>
      <c r="C9" s="33">
        <v>27389250.23</v>
      </c>
      <c r="J9" s="3">
        <v>14955520.695123971</v>
      </c>
      <c r="K9" s="3">
        <v>57910.033117887571</v>
      </c>
      <c r="L9" s="3">
        <v>12375819.501758141</v>
      </c>
      <c r="M9" s="4">
        <f>SUM(J9:L9)</f>
        <v>27389250.23</v>
      </c>
      <c r="N9" s="4">
        <f t="shared" ref="N9:N37" si="1">+C9-M9</f>
        <v>0</v>
      </c>
    </row>
    <row r="10" spans="1:14" x14ac:dyDescent="0.25">
      <c r="A10" s="25">
        <v>105433</v>
      </c>
      <c r="B10" s="2">
        <v>45385</v>
      </c>
      <c r="C10" s="33">
        <v>27383264.510000002</v>
      </c>
      <c r="J10" s="3">
        <v>14952252.275631525</v>
      </c>
      <c r="K10" s="3">
        <v>57897.377304364985</v>
      </c>
      <c r="L10" s="3">
        <v>12373114.857064111</v>
      </c>
      <c r="M10" s="4">
        <f>SUM(J10:L10)</f>
        <v>27383264.510000002</v>
      </c>
      <c r="N10" s="4">
        <f t="shared" si="1"/>
        <v>0</v>
      </c>
    </row>
    <row r="11" spans="1:14" x14ac:dyDescent="0.25">
      <c r="A11" s="25">
        <v>105433</v>
      </c>
      <c r="B11" s="2">
        <v>45386</v>
      </c>
      <c r="C11" s="33">
        <v>27351410.350000001</v>
      </c>
      <c r="J11" s="3">
        <v>14934858.752803946</v>
      </c>
      <c r="K11" s="3">
        <v>57830.026959063383</v>
      </c>
      <c r="L11" s="3">
        <v>12358721.570236992</v>
      </c>
      <c r="M11" s="4">
        <f t="shared" ref="M11:M37" si="2">SUM(J11:L11)</f>
        <v>27351410.350000001</v>
      </c>
      <c r="N11" s="4">
        <f t="shared" si="1"/>
        <v>0</v>
      </c>
    </row>
    <row r="12" spans="1:14" x14ac:dyDescent="0.25">
      <c r="A12" s="25">
        <v>105433</v>
      </c>
      <c r="B12" s="2">
        <v>45387</v>
      </c>
      <c r="C12" s="33">
        <v>27316140.48</v>
      </c>
      <c r="J12" s="3">
        <v>14915600.128844915</v>
      </c>
      <c r="K12" s="3">
        <v>57755.454660712312</v>
      </c>
      <c r="L12" s="3">
        <v>12342784.896494372</v>
      </c>
      <c r="M12" s="4">
        <f t="shared" si="2"/>
        <v>27316140.479999997</v>
      </c>
      <c r="N12" s="4">
        <f t="shared" si="1"/>
        <v>0</v>
      </c>
    </row>
    <row r="13" spans="1:14" x14ac:dyDescent="0.25">
      <c r="A13" s="25">
        <v>105433</v>
      </c>
      <c r="B13" s="21">
        <v>45388</v>
      </c>
      <c r="C13" s="33">
        <v>27316140.48</v>
      </c>
      <c r="E13" t="s">
        <v>7</v>
      </c>
      <c r="J13" s="3">
        <v>14915600.128844915</v>
      </c>
      <c r="K13" s="3">
        <v>57755.454660712312</v>
      </c>
      <c r="L13" s="3">
        <v>12342784.896494372</v>
      </c>
      <c r="M13" s="4">
        <f t="shared" si="2"/>
        <v>27316140.479999997</v>
      </c>
      <c r="N13" s="4">
        <f t="shared" si="1"/>
        <v>0</v>
      </c>
    </row>
    <row r="14" spans="1:14" x14ac:dyDescent="0.25">
      <c r="A14" s="25">
        <v>105433</v>
      </c>
      <c r="B14" s="21">
        <v>45389</v>
      </c>
      <c r="C14" s="33">
        <v>27316140.48</v>
      </c>
      <c r="J14" s="3">
        <v>14915600.128844915</v>
      </c>
      <c r="K14" s="3">
        <v>57755.454660712312</v>
      </c>
      <c r="L14" s="3">
        <v>12342784.896494372</v>
      </c>
      <c r="M14" s="4">
        <f t="shared" si="2"/>
        <v>27316140.479999997</v>
      </c>
      <c r="N14" s="4">
        <f t="shared" si="1"/>
        <v>0</v>
      </c>
    </row>
    <row r="15" spans="1:14" x14ac:dyDescent="0.25">
      <c r="A15" s="25">
        <v>105433</v>
      </c>
      <c r="B15" s="2">
        <v>45390</v>
      </c>
      <c r="C15" s="33">
        <v>27269991.420000002</v>
      </c>
      <c r="J15" s="3">
        <v>14890401.073883764</v>
      </c>
      <c r="K15" s="3">
        <v>57657.880117031229</v>
      </c>
      <c r="L15" s="3">
        <v>12321932.465999207</v>
      </c>
      <c r="M15" s="4">
        <f t="shared" si="2"/>
        <v>27269991.420000002</v>
      </c>
      <c r="N15" s="4">
        <f t="shared" si="1"/>
        <v>0</v>
      </c>
    </row>
    <row r="16" spans="1:14" x14ac:dyDescent="0.25">
      <c r="A16" s="25">
        <v>105433</v>
      </c>
      <c r="B16" s="2">
        <v>45391</v>
      </c>
      <c r="C16" s="33">
        <v>27315518.190000001</v>
      </c>
      <c r="J16" s="3">
        <v>14915260.336010311</v>
      </c>
      <c r="K16" s="3">
        <v>57754.13893157748</v>
      </c>
      <c r="L16" s="3">
        <v>12342503.715058113</v>
      </c>
      <c r="M16" s="4">
        <f t="shared" si="2"/>
        <v>27315518.190000001</v>
      </c>
      <c r="N16" s="4">
        <f t="shared" si="1"/>
        <v>0</v>
      </c>
    </row>
    <row r="17" spans="1:14" x14ac:dyDescent="0.25">
      <c r="A17" s="25">
        <v>105433</v>
      </c>
      <c r="B17" s="2">
        <v>45392</v>
      </c>
      <c r="C17" s="33">
        <v>27256536.949999999</v>
      </c>
      <c r="J17" s="3">
        <v>14883054.446910143</v>
      </c>
      <c r="K17" s="3">
        <v>57629.432868685952</v>
      </c>
      <c r="L17" s="3">
        <v>12315853.070221169</v>
      </c>
      <c r="M17" s="4">
        <f t="shared" si="2"/>
        <v>27256536.949999996</v>
      </c>
      <c r="N17" s="4">
        <f t="shared" si="1"/>
        <v>0</v>
      </c>
    </row>
    <row r="18" spans="1:14" x14ac:dyDescent="0.25">
      <c r="A18" s="25">
        <v>105433</v>
      </c>
      <c r="B18" s="2">
        <v>45393</v>
      </c>
      <c r="C18" s="33">
        <v>27237857.41</v>
      </c>
      <c r="J18" s="3">
        <v>14872854.742840135</v>
      </c>
      <c r="K18" s="3">
        <v>57589.938075256301</v>
      </c>
      <c r="L18" s="3">
        <v>12307412.729084607</v>
      </c>
      <c r="M18" s="4">
        <f t="shared" si="2"/>
        <v>27237857.409999996</v>
      </c>
      <c r="N18" s="4">
        <f t="shared" si="1"/>
        <v>0</v>
      </c>
    </row>
    <row r="19" spans="1:14" x14ac:dyDescent="0.25">
      <c r="A19" s="25">
        <v>105433</v>
      </c>
      <c r="B19" s="2">
        <v>45394</v>
      </c>
      <c r="C19" s="33">
        <v>27306970.84</v>
      </c>
      <c r="J19" s="3">
        <v>14910593.173939789</v>
      </c>
      <c r="K19" s="3">
        <v>57736.066975703783</v>
      </c>
      <c r="L19" s="3">
        <v>12338641.599084508</v>
      </c>
      <c r="M19" s="4">
        <f t="shared" si="2"/>
        <v>27306970.84</v>
      </c>
      <c r="N19" s="4">
        <f t="shared" si="1"/>
        <v>0</v>
      </c>
    </row>
    <row r="20" spans="1:14" x14ac:dyDescent="0.25">
      <c r="A20" s="25">
        <v>105433</v>
      </c>
      <c r="B20" s="21">
        <v>45395</v>
      </c>
      <c r="C20" s="33">
        <v>27306970.84</v>
      </c>
      <c r="J20" s="3">
        <v>14910593.173939789</v>
      </c>
      <c r="K20" s="3">
        <v>57736.066975703783</v>
      </c>
      <c r="L20" s="3">
        <v>12338641.599084508</v>
      </c>
      <c r="M20" s="4">
        <f t="shared" si="2"/>
        <v>27306970.84</v>
      </c>
      <c r="N20" s="4">
        <f t="shared" si="1"/>
        <v>0</v>
      </c>
    </row>
    <row r="21" spans="1:14" x14ac:dyDescent="0.25">
      <c r="A21" s="25">
        <v>105433</v>
      </c>
      <c r="B21" s="21">
        <v>45396</v>
      </c>
      <c r="C21" s="33">
        <v>27306970.84</v>
      </c>
      <c r="G21" s="34"/>
      <c r="H21" s="34"/>
      <c r="I21" s="34"/>
      <c r="J21" s="3">
        <v>14910593.173939789</v>
      </c>
      <c r="K21" s="3">
        <v>57736.066975703783</v>
      </c>
      <c r="L21" s="3">
        <v>12338641.599084508</v>
      </c>
      <c r="M21" s="4">
        <f t="shared" si="2"/>
        <v>27306970.84</v>
      </c>
      <c r="N21" s="4">
        <f t="shared" si="1"/>
        <v>0</v>
      </c>
    </row>
    <row r="22" spans="1:14" x14ac:dyDescent="0.25">
      <c r="A22" s="25">
        <v>105433</v>
      </c>
      <c r="B22" s="2">
        <v>45397</v>
      </c>
      <c r="C22" s="33">
        <v>27296110.039999999</v>
      </c>
      <c r="G22" s="34"/>
      <c r="H22" s="34"/>
      <c r="I22" s="34"/>
      <c r="J22" s="3">
        <v>14904662.784542428</v>
      </c>
      <c r="K22" s="3">
        <v>57713.103612982814</v>
      </c>
      <c r="L22" s="3">
        <v>12333734.151844587</v>
      </c>
      <c r="M22" s="4">
        <f t="shared" si="2"/>
        <v>27296110.039999999</v>
      </c>
      <c r="N22" s="4">
        <f t="shared" si="1"/>
        <v>0</v>
      </c>
    </row>
    <row r="23" spans="1:14" x14ac:dyDescent="0.25">
      <c r="A23" s="25">
        <v>105433</v>
      </c>
      <c r="B23" s="2">
        <v>45398</v>
      </c>
      <c r="C23" s="33">
        <v>27376749.359999999</v>
      </c>
      <c r="G23" s="34"/>
      <c r="H23" s="34"/>
      <c r="I23" s="34"/>
      <c r="J23" s="3">
        <v>14948694.768221185</v>
      </c>
      <c r="K23" s="3">
        <v>57883.602098797113</v>
      </c>
      <c r="L23" s="3">
        <v>12370170.989680016</v>
      </c>
      <c r="M23" s="4">
        <f t="shared" si="2"/>
        <v>27376749.359999999</v>
      </c>
      <c r="N23" s="4">
        <f t="shared" si="1"/>
        <v>0</v>
      </c>
    </row>
    <row r="24" spans="1:14" x14ac:dyDescent="0.25">
      <c r="A24" s="25">
        <v>105433</v>
      </c>
      <c r="B24" s="2">
        <v>45399</v>
      </c>
      <c r="C24" s="33">
        <v>27357869.399999999</v>
      </c>
      <c r="G24" s="34"/>
      <c r="H24" s="34"/>
      <c r="I24" s="34"/>
      <c r="J24" s="3">
        <v>14938385.627586374</v>
      </c>
      <c r="K24" s="3">
        <v>57843.683550473113</v>
      </c>
      <c r="L24" s="3">
        <v>12361640.088863151</v>
      </c>
      <c r="M24" s="4">
        <f t="shared" si="2"/>
        <v>27357869.399999999</v>
      </c>
      <c r="N24" s="4">
        <f t="shared" si="1"/>
        <v>0</v>
      </c>
    </row>
    <row r="25" spans="1:14" x14ac:dyDescent="0.25">
      <c r="A25" s="25">
        <v>105433</v>
      </c>
      <c r="B25" s="2">
        <v>45400</v>
      </c>
      <c r="C25" s="33">
        <v>27357332.16</v>
      </c>
      <c r="G25" s="34"/>
      <c r="H25" s="34"/>
      <c r="I25" s="34"/>
      <c r="J25" s="3">
        <v>14938092.275126165</v>
      </c>
      <c r="K25" s="3">
        <v>57842.547645476414</v>
      </c>
      <c r="L25" s="3">
        <v>12361397.337228358</v>
      </c>
      <c r="M25" s="4">
        <f t="shared" si="2"/>
        <v>27357332.159999996</v>
      </c>
      <c r="N25" s="4">
        <f t="shared" si="1"/>
        <v>0</v>
      </c>
    </row>
    <row r="26" spans="1:14" x14ac:dyDescent="0.25">
      <c r="A26" s="25">
        <v>105433</v>
      </c>
      <c r="B26" s="2">
        <v>45401</v>
      </c>
      <c r="C26" s="33">
        <v>27438942.02</v>
      </c>
      <c r="G26" s="34"/>
      <c r="H26" s="34"/>
      <c r="I26" s="34"/>
      <c r="J26" s="3">
        <v>14982654.208728105</v>
      </c>
      <c r="K26" s="3">
        <v>58015.098177369742</v>
      </c>
      <c r="L26" s="3">
        <v>12398272.713094525</v>
      </c>
      <c r="M26" s="4">
        <f t="shared" si="2"/>
        <v>27438942.02</v>
      </c>
      <c r="N26" s="4">
        <f t="shared" si="1"/>
        <v>0</v>
      </c>
    </row>
    <row r="27" spans="1:14" x14ac:dyDescent="0.25">
      <c r="A27" s="25">
        <v>105433</v>
      </c>
      <c r="B27" s="21">
        <v>45402</v>
      </c>
      <c r="C27" s="33">
        <v>27438942.02</v>
      </c>
      <c r="G27" s="10"/>
      <c r="J27" s="3">
        <v>14982654.208728105</v>
      </c>
      <c r="K27" s="3">
        <v>58015.098177369742</v>
      </c>
      <c r="L27" s="3">
        <v>12398272.713094525</v>
      </c>
      <c r="M27" s="4">
        <f t="shared" si="2"/>
        <v>27438942.02</v>
      </c>
      <c r="N27" s="4">
        <f t="shared" si="1"/>
        <v>0</v>
      </c>
    </row>
    <row r="28" spans="1:14" x14ac:dyDescent="0.25">
      <c r="A28" s="25">
        <v>105433</v>
      </c>
      <c r="B28" s="21">
        <v>45403</v>
      </c>
      <c r="C28" s="33">
        <v>27438942.02</v>
      </c>
      <c r="G28" s="34"/>
      <c r="H28" s="34"/>
      <c r="I28" s="34"/>
      <c r="J28" s="3">
        <v>14982654.208728105</v>
      </c>
      <c r="K28" s="3">
        <v>58015.098177369742</v>
      </c>
      <c r="L28" s="3">
        <v>12398272.713094525</v>
      </c>
      <c r="M28" s="4">
        <f t="shared" si="2"/>
        <v>27438942.02</v>
      </c>
      <c r="N28" s="4">
        <f t="shared" si="1"/>
        <v>0</v>
      </c>
    </row>
    <row r="29" spans="1:14" x14ac:dyDescent="0.25">
      <c r="A29" s="25">
        <v>105433</v>
      </c>
      <c r="B29" s="2">
        <v>45404</v>
      </c>
      <c r="C29" s="33">
        <v>27477991.359999999</v>
      </c>
      <c r="G29" s="34"/>
      <c r="H29" s="34"/>
      <c r="I29" s="34"/>
      <c r="J29" s="3">
        <v>15003976.559927819</v>
      </c>
      <c r="K29" s="3">
        <v>58097.66153904055</v>
      </c>
      <c r="L29" s="3">
        <v>12415917.13853314</v>
      </c>
      <c r="M29" s="4">
        <f t="shared" si="2"/>
        <v>27477991.359999999</v>
      </c>
      <c r="N29" s="4">
        <f t="shared" si="1"/>
        <v>0</v>
      </c>
    </row>
    <row r="30" spans="1:14" x14ac:dyDescent="0.25">
      <c r="A30" s="25">
        <v>105433</v>
      </c>
      <c r="B30" s="2">
        <v>45405</v>
      </c>
      <c r="C30" s="33">
        <v>27412281.98</v>
      </c>
      <c r="G30" s="34"/>
      <c r="H30" s="34"/>
      <c r="I30" s="34"/>
      <c r="J30" s="3">
        <v>14968096.86317813</v>
      </c>
      <c r="K30" s="3">
        <v>57958.729938503784</v>
      </c>
      <c r="L30" s="3">
        <v>12386226.386883365</v>
      </c>
      <c r="M30" s="4">
        <f t="shared" si="2"/>
        <v>27412281.979999997</v>
      </c>
      <c r="N30" s="4">
        <f t="shared" si="1"/>
        <v>0</v>
      </c>
    </row>
    <row r="31" spans="1:14" x14ac:dyDescent="0.25">
      <c r="A31" s="25">
        <v>105433</v>
      </c>
      <c r="B31" s="2">
        <v>45406</v>
      </c>
      <c r="C31" s="33">
        <v>27453768.489999998</v>
      </c>
      <c r="G31" s="34"/>
      <c r="H31" s="34"/>
      <c r="I31" s="34"/>
      <c r="J31" s="3">
        <v>14990749.997296926</v>
      </c>
      <c r="K31" s="3">
        <v>58046.446292470057</v>
      </c>
      <c r="L31" s="3">
        <v>12404972.046410602</v>
      </c>
      <c r="M31" s="4">
        <f t="shared" si="2"/>
        <v>27453768.489999995</v>
      </c>
      <c r="N31" s="4">
        <f t="shared" si="1"/>
        <v>0</v>
      </c>
    </row>
    <row r="32" spans="1:14" x14ac:dyDescent="0.25">
      <c r="A32" s="25">
        <v>105433</v>
      </c>
      <c r="B32" s="2">
        <v>45407</v>
      </c>
      <c r="C32" s="33">
        <v>27460948.350000001</v>
      </c>
      <c r="G32" s="34"/>
      <c r="H32" s="34"/>
      <c r="I32" s="34"/>
      <c r="J32" s="3">
        <v>14994670.460395275</v>
      </c>
      <c r="K32" s="3">
        <v>58061.626917236725</v>
      </c>
      <c r="L32" s="3">
        <v>12408216.262687491</v>
      </c>
      <c r="M32" s="4">
        <f t="shared" si="2"/>
        <v>27460948.350000001</v>
      </c>
      <c r="N32" s="4">
        <f t="shared" si="1"/>
        <v>0</v>
      </c>
    </row>
    <row r="33" spans="1:14" x14ac:dyDescent="0.25">
      <c r="A33" s="25">
        <v>105433</v>
      </c>
      <c r="B33" s="2">
        <v>45408</v>
      </c>
      <c r="C33" s="33">
        <v>27456866.609999999</v>
      </c>
      <c r="G33" s="34"/>
      <c r="H33" s="34"/>
      <c r="I33" s="34"/>
      <c r="J33" s="3">
        <v>14992441.682808099</v>
      </c>
      <c r="K33" s="3">
        <v>58052.996754067091</v>
      </c>
      <c r="L33" s="3">
        <v>12406371.930437833</v>
      </c>
      <c r="M33" s="4">
        <f t="shared" si="2"/>
        <v>27456866.609999999</v>
      </c>
      <c r="N33" s="4">
        <f t="shared" si="1"/>
        <v>0</v>
      </c>
    </row>
    <row r="34" spans="1:14" x14ac:dyDescent="0.25">
      <c r="A34" s="25">
        <v>105433</v>
      </c>
      <c r="B34" s="21">
        <v>45409</v>
      </c>
      <c r="C34" s="33">
        <v>27456866.609999999</v>
      </c>
      <c r="J34" s="3">
        <v>14992441.682808099</v>
      </c>
      <c r="K34" s="3">
        <v>58052.996754067091</v>
      </c>
      <c r="L34" s="3">
        <v>12406371.930437833</v>
      </c>
      <c r="M34" s="4">
        <f t="shared" si="2"/>
        <v>27456866.609999999</v>
      </c>
      <c r="N34" s="4">
        <f t="shared" si="1"/>
        <v>0</v>
      </c>
    </row>
    <row r="35" spans="1:14" x14ac:dyDescent="0.25">
      <c r="A35" s="25">
        <v>105433</v>
      </c>
      <c r="B35" s="21">
        <v>45410</v>
      </c>
      <c r="C35" s="33">
        <v>27456866.609999999</v>
      </c>
      <c r="G35" s="34"/>
      <c r="H35" s="34"/>
      <c r="I35" s="34"/>
      <c r="J35" s="3">
        <v>14992441.682808099</v>
      </c>
      <c r="K35" s="3">
        <v>58052.996754067091</v>
      </c>
      <c r="L35" s="3">
        <v>12406371.930437833</v>
      </c>
      <c r="M35" s="4">
        <f t="shared" si="2"/>
        <v>27456866.609999999</v>
      </c>
      <c r="N35" s="4">
        <f t="shared" si="1"/>
        <v>0</v>
      </c>
    </row>
    <row r="36" spans="1:14" x14ac:dyDescent="0.25">
      <c r="A36" s="1">
        <v>105433</v>
      </c>
      <c r="B36" s="2">
        <v>45411</v>
      </c>
      <c r="C36" s="33">
        <v>27424181.890000001</v>
      </c>
      <c r="G36" s="34"/>
      <c r="H36" s="34"/>
      <c r="I36" s="34"/>
      <c r="J36" s="3">
        <v>14974594.644197349</v>
      </c>
      <c r="K36" s="3">
        <v>57983.890327211513</v>
      </c>
      <c r="L36" s="3">
        <v>12391603.355475441</v>
      </c>
      <c r="M36" s="4">
        <f t="shared" si="2"/>
        <v>27424181.890000001</v>
      </c>
      <c r="N36" s="4">
        <f t="shared" si="1"/>
        <v>0</v>
      </c>
    </row>
    <row r="37" spans="1:14" x14ac:dyDescent="0.25">
      <c r="A37" s="1">
        <v>105434</v>
      </c>
      <c r="B37" s="2">
        <v>45412</v>
      </c>
      <c r="C37" s="33">
        <v>27427044.82</v>
      </c>
      <c r="G37" s="34"/>
      <c r="H37" s="34"/>
      <c r="I37" s="34"/>
      <c r="J37" s="3">
        <v>14976157.907466847</v>
      </c>
      <c r="K37" s="3">
        <v>57989.943518508167</v>
      </c>
      <c r="L37" s="3">
        <v>12392896.969014643</v>
      </c>
      <c r="M37" s="4">
        <f t="shared" si="2"/>
        <v>27427044.82</v>
      </c>
      <c r="N37" s="4">
        <f t="shared" si="1"/>
        <v>0</v>
      </c>
    </row>
    <row r="38" spans="1:14" x14ac:dyDescent="0.25">
      <c r="A38" s="5"/>
      <c r="B38" s="6"/>
      <c r="J38" s="7"/>
    </row>
    <row r="39" spans="1:14" x14ac:dyDescent="0.25">
      <c r="A39" s="19" t="s">
        <v>8</v>
      </c>
      <c r="B39" s="8">
        <f>COUNT(B8:B37)</f>
        <v>30</v>
      </c>
      <c r="C39" s="4">
        <f>AVERAGE(C8:C37)</f>
        <v>27373892.839000002</v>
      </c>
      <c r="J39" s="4">
        <f>AVERAGE(J8:J37)</f>
        <v>14947135.004497359</v>
      </c>
      <c r="K39" s="4">
        <f>AVERAGE(K8:K37)</f>
        <v>57877.562458269422</v>
      </c>
      <c r="L39" s="4">
        <f>AVERAGE(L8:L37)</f>
        <v>12368880.272044368</v>
      </c>
      <c r="M39" s="4">
        <f>SUM(J39:L39)</f>
        <v>27373892.838999994</v>
      </c>
      <c r="N39" s="4">
        <f>M39-C39</f>
        <v>0</v>
      </c>
    </row>
    <row r="40" spans="1:14" x14ac:dyDescent="0.25">
      <c r="A40" s="19" t="s">
        <v>9</v>
      </c>
      <c r="B40" s="8">
        <v>1.62</v>
      </c>
      <c r="C40" s="9">
        <f>+C39*$B$41</f>
        <v>36954.755332650006</v>
      </c>
      <c r="D40" s="10">
        <f>C40*1.16</f>
        <v>42867.516185874003</v>
      </c>
      <c r="J40" s="20">
        <f>(+J39*$B$41)</f>
        <v>20178.632256071436</v>
      </c>
      <c r="K40" s="20">
        <f>(+K39*$B$41)</f>
        <v>78.134709318663724</v>
      </c>
      <c r="L40" s="20">
        <f>(+L39*$B$41)</f>
        <v>16697.988367259899</v>
      </c>
      <c r="M40" s="4">
        <f>SUM(J40:L40)</f>
        <v>36954.755332649998</v>
      </c>
      <c r="N40" s="4">
        <f>+C40/M40</f>
        <v>1.0000000000000002</v>
      </c>
    </row>
    <row r="41" spans="1:14" x14ac:dyDescent="0.25">
      <c r="A41" s="19" t="s">
        <v>10</v>
      </c>
      <c r="B41" s="11">
        <f>B40/360*B39/100</f>
        <v>1.3500000000000001E-3</v>
      </c>
      <c r="D41" s="10">
        <f>D40-C40</f>
        <v>5912.7608532239974</v>
      </c>
      <c r="J41" s="41">
        <v>21042.091574545786</v>
      </c>
      <c r="K41" s="41">
        <v>80.486973356267839</v>
      </c>
      <c r="L41" s="41">
        <v>17385.216062497951</v>
      </c>
      <c r="M41" s="32">
        <f>C40/M40</f>
        <v>1.0000000000000002</v>
      </c>
    </row>
  </sheetData>
  <mergeCells count="1">
    <mergeCell ref="A6:C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E215-4443-4492-8428-E99888451EA4}">
  <dimension ref="A1:N42"/>
  <sheetViews>
    <sheetView topLeftCell="A22" workbookViewId="0">
      <selection activeCell="F28" sqref="F28"/>
    </sheetView>
  </sheetViews>
  <sheetFormatPr baseColWidth="10" defaultRowHeight="15" x14ac:dyDescent="0.25"/>
  <cols>
    <col min="3" max="3" width="15.140625" bestFit="1" customWidth="1"/>
    <col min="6" max="6" width="14.140625" bestFit="1" customWidth="1"/>
    <col min="8" max="9" width="14.140625" bestFit="1" customWidth="1"/>
    <col min="10" max="12" width="17" bestFit="1" customWidth="1"/>
    <col min="13" max="14" width="15.140625" bestFit="1" customWidth="1"/>
  </cols>
  <sheetData>
    <row r="1" spans="1:14" x14ac:dyDescent="0.25">
      <c r="D1" s="38" t="s">
        <v>15</v>
      </c>
      <c r="E1" s="35">
        <v>45412</v>
      </c>
      <c r="F1" s="36">
        <v>14983704.3507</v>
      </c>
      <c r="G1" s="36">
        <v>58169.493000000002</v>
      </c>
      <c r="H1" s="36">
        <v>12376299.6163</v>
      </c>
      <c r="I1" s="37">
        <f>+F1+G1+H1</f>
        <v>27418173.460000001</v>
      </c>
    </row>
    <row r="2" spans="1:14" x14ac:dyDescent="0.25">
      <c r="D2" s="38" t="s">
        <v>16</v>
      </c>
      <c r="E2" s="35">
        <v>45443</v>
      </c>
      <c r="F2" s="36">
        <v>15174652.228399999</v>
      </c>
      <c r="G2" s="36">
        <v>57176.543899999997</v>
      </c>
      <c r="H2" s="36">
        <v>12540922.6427</v>
      </c>
      <c r="I2" s="37">
        <f>+F2+G2+H2</f>
        <v>27772751.414999999</v>
      </c>
    </row>
    <row r="3" spans="1:14" x14ac:dyDescent="0.25">
      <c r="E3" s="38"/>
      <c r="F3" s="37"/>
    </row>
    <row r="4" spans="1:14" x14ac:dyDescent="0.25">
      <c r="E4" s="35">
        <f>+E1</f>
        <v>45412</v>
      </c>
      <c r="F4" s="13">
        <f t="shared" ref="F4:H5" si="0">+F1/$I1</f>
        <v>0.54648805736675066</v>
      </c>
      <c r="G4" s="13">
        <f t="shared" si="0"/>
        <v>2.1215670359975903E-3</v>
      </c>
      <c r="H4" s="13">
        <f t="shared" si="0"/>
        <v>0.45139037559725176</v>
      </c>
      <c r="I4" s="12">
        <f>+F4+G4+H4</f>
        <v>1</v>
      </c>
    </row>
    <row r="5" spans="1:14" x14ac:dyDescent="0.25">
      <c r="E5" s="35">
        <f>+E2</f>
        <v>45443</v>
      </c>
      <c r="F5" s="13">
        <f t="shared" si="0"/>
        <v>0.54638634831852506</v>
      </c>
      <c r="G5" s="13">
        <f t="shared" si="0"/>
        <v>2.0587281053154522E-3</v>
      </c>
      <c r="H5" s="13">
        <f t="shared" si="0"/>
        <v>0.45155492357615951</v>
      </c>
      <c r="I5" s="12">
        <f>+F5+G5+H5</f>
        <v>1</v>
      </c>
    </row>
    <row r="6" spans="1:14" x14ac:dyDescent="0.25">
      <c r="A6" s="46" t="s">
        <v>0</v>
      </c>
      <c r="B6" s="46"/>
      <c r="C6" s="46"/>
      <c r="E6" s="39" t="s">
        <v>17</v>
      </c>
      <c r="F6" s="40">
        <f>AVERAGE(F4:F5)</f>
        <v>0.54643720284263786</v>
      </c>
      <c r="G6" s="40">
        <f>AVERAGE(G4:G5)</f>
        <v>2.0901475706565213E-3</v>
      </c>
      <c r="H6" s="40">
        <f>AVERAGE(H4:H5)</f>
        <v>0.45147264958670563</v>
      </c>
      <c r="I6" s="12"/>
    </row>
    <row r="7" spans="1:14" x14ac:dyDescent="0.25">
      <c r="A7" s="16" t="s">
        <v>1</v>
      </c>
      <c r="B7" s="17" t="s">
        <v>2</v>
      </c>
      <c r="C7" s="18" t="s">
        <v>3</v>
      </c>
      <c r="E7" s="35"/>
      <c r="F7" s="13"/>
      <c r="G7" s="13"/>
      <c r="H7" s="13"/>
      <c r="I7" s="12"/>
      <c r="J7" s="28" t="s">
        <v>4</v>
      </c>
      <c r="K7" s="14" t="s">
        <v>5</v>
      </c>
      <c r="L7" s="15" t="s">
        <v>6</v>
      </c>
    </row>
    <row r="8" spans="1:14" x14ac:dyDescent="0.25">
      <c r="A8" s="1">
        <v>105433</v>
      </c>
      <c r="B8" s="21">
        <v>45413</v>
      </c>
      <c r="C8" s="33">
        <v>27427044.82</v>
      </c>
      <c r="J8" s="3">
        <v>14987157.653680461</v>
      </c>
      <c r="K8" s="3">
        <v>57326.571100810528</v>
      </c>
      <c r="L8" s="3">
        <v>12382560.595218729</v>
      </c>
      <c r="M8" s="4">
        <f>SUM(J8:L8)</f>
        <v>27427044.82</v>
      </c>
      <c r="N8" s="4">
        <f>+C8-M8</f>
        <v>0</v>
      </c>
    </row>
    <row r="9" spans="1:14" x14ac:dyDescent="0.25">
      <c r="A9" s="25">
        <v>105433</v>
      </c>
      <c r="B9" s="2">
        <v>45414</v>
      </c>
      <c r="C9" s="33">
        <v>27496851.440000001</v>
      </c>
      <c r="J9" s="3">
        <v>15025302.58785316</v>
      </c>
      <c r="K9" s="3">
        <v>57472.477238019273</v>
      </c>
      <c r="L9" s="3">
        <v>12414076.374908824</v>
      </c>
      <c r="M9" s="4">
        <f>SUM(J9:L9)</f>
        <v>27496851.440000005</v>
      </c>
      <c r="N9" s="4">
        <f t="shared" ref="N9:N38" si="1">+C9-M9</f>
        <v>0</v>
      </c>
    </row>
    <row r="10" spans="1:14" x14ac:dyDescent="0.25">
      <c r="A10" s="25">
        <v>105433</v>
      </c>
      <c r="B10" s="2">
        <v>45415</v>
      </c>
      <c r="C10" s="33">
        <v>27551416.530000001</v>
      </c>
      <c r="J10" s="3">
        <v>15055118.983005617</v>
      </c>
      <c r="K10" s="3">
        <v>57586.526328325424</v>
      </c>
      <c r="L10" s="3">
        <v>12438711.020666059</v>
      </c>
      <c r="M10" s="4">
        <f>SUM(J10:L10)</f>
        <v>27551416.530000001</v>
      </c>
      <c r="N10" s="4">
        <f t="shared" si="1"/>
        <v>0</v>
      </c>
    </row>
    <row r="11" spans="1:14" x14ac:dyDescent="0.25">
      <c r="A11" s="25">
        <v>105433</v>
      </c>
      <c r="B11" s="2">
        <v>45415</v>
      </c>
      <c r="C11" s="33">
        <v>27551416.530000001</v>
      </c>
      <c r="J11" s="3">
        <v>15055118.983005617</v>
      </c>
      <c r="K11" s="3">
        <v>57586.526328325424</v>
      </c>
      <c r="L11" s="3">
        <v>12438711.020666059</v>
      </c>
      <c r="M11" s="4">
        <f t="shared" ref="M11:M38" si="2">SUM(J11:L11)</f>
        <v>27551416.530000001</v>
      </c>
      <c r="N11" s="4">
        <f t="shared" si="1"/>
        <v>0</v>
      </c>
    </row>
    <row r="12" spans="1:14" x14ac:dyDescent="0.25">
      <c r="A12" s="25">
        <v>105433</v>
      </c>
      <c r="B12" s="21">
        <v>45417</v>
      </c>
      <c r="C12" s="33">
        <v>27551416.530000001</v>
      </c>
      <c r="J12" s="3">
        <v>15055118.983005617</v>
      </c>
      <c r="K12" s="3">
        <v>57586.526328325424</v>
      </c>
      <c r="L12" s="3">
        <v>12438711.020666059</v>
      </c>
      <c r="M12" s="4">
        <f t="shared" si="2"/>
        <v>27551416.530000001</v>
      </c>
      <c r="N12" s="4">
        <f t="shared" si="1"/>
        <v>0</v>
      </c>
    </row>
    <row r="13" spans="1:14" x14ac:dyDescent="0.25">
      <c r="A13" s="25">
        <v>105433</v>
      </c>
      <c r="B13" s="21">
        <v>45418</v>
      </c>
      <c r="C13" s="33">
        <v>27591669.550000001</v>
      </c>
      <c r="E13" t="s">
        <v>7</v>
      </c>
      <c r="J13" s="3">
        <v>15077114.730660385</v>
      </c>
      <c r="K13" s="3">
        <v>57670.66108029001</v>
      </c>
      <c r="L13" s="3">
        <v>12456884.158259327</v>
      </c>
      <c r="M13" s="4">
        <f t="shared" si="2"/>
        <v>27591669.550000001</v>
      </c>
      <c r="N13" s="4">
        <f t="shared" si="1"/>
        <v>0</v>
      </c>
    </row>
    <row r="14" spans="1:14" x14ac:dyDescent="0.25">
      <c r="A14" s="25">
        <v>105433</v>
      </c>
      <c r="B14" s="2">
        <v>45419</v>
      </c>
      <c r="C14" s="33">
        <v>27580994.690000001</v>
      </c>
      <c r="J14" s="3">
        <v>15071281.590021249</v>
      </c>
      <c r="K14" s="3">
        <v>57648.349047593918</v>
      </c>
      <c r="L14" s="3">
        <v>12452064.750931159</v>
      </c>
      <c r="M14" s="4">
        <f t="shared" si="2"/>
        <v>27580994.690000001</v>
      </c>
      <c r="N14" s="4">
        <f t="shared" si="1"/>
        <v>0</v>
      </c>
    </row>
    <row r="15" spans="1:14" x14ac:dyDescent="0.25">
      <c r="A15" s="25">
        <v>105433</v>
      </c>
      <c r="B15" s="2">
        <v>45420</v>
      </c>
      <c r="C15" s="33">
        <v>27603821.469999999</v>
      </c>
      <c r="J15" s="3">
        <v>15083754.991834352</v>
      </c>
      <c r="K15" s="3">
        <v>57696.060386356825</v>
      </c>
      <c r="L15" s="3">
        <v>12462370.417779291</v>
      </c>
      <c r="M15" s="4">
        <f t="shared" si="2"/>
        <v>27603821.469999999</v>
      </c>
      <c r="N15" s="4">
        <f t="shared" si="1"/>
        <v>0</v>
      </c>
    </row>
    <row r="16" spans="1:14" x14ac:dyDescent="0.25">
      <c r="A16" s="25">
        <v>105433</v>
      </c>
      <c r="B16" s="2">
        <v>45421</v>
      </c>
      <c r="C16" s="33">
        <v>27580091.239999998</v>
      </c>
      <c r="J16" s="3">
        <v>15070787.911330339</v>
      </c>
      <c r="K16" s="3">
        <v>57646.460703771198</v>
      </c>
      <c r="L16" s="3">
        <v>12451656.867965888</v>
      </c>
      <c r="M16" s="4">
        <f t="shared" si="2"/>
        <v>27580091.239999998</v>
      </c>
      <c r="N16" s="4">
        <f t="shared" si="1"/>
        <v>0</v>
      </c>
    </row>
    <row r="17" spans="1:14" x14ac:dyDescent="0.25">
      <c r="A17" s="25">
        <v>105433</v>
      </c>
      <c r="B17" s="2">
        <v>45422</v>
      </c>
      <c r="C17" s="33">
        <v>27565313.59</v>
      </c>
      <c r="J17" s="3">
        <v>15062712.853599751</v>
      </c>
      <c r="K17" s="3">
        <v>57615.57323452369</v>
      </c>
      <c r="L17" s="3">
        <v>12444985.163165724</v>
      </c>
      <c r="M17" s="4">
        <f t="shared" si="2"/>
        <v>27565313.59</v>
      </c>
      <c r="N17" s="4">
        <f t="shared" si="1"/>
        <v>0</v>
      </c>
    </row>
    <row r="18" spans="1:14" x14ac:dyDescent="0.25">
      <c r="A18" s="25">
        <v>105433</v>
      </c>
      <c r="B18" s="21">
        <v>45423</v>
      </c>
      <c r="C18" s="33">
        <v>27565313.59</v>
      </c>
      <c r="J18" s="3">
        <v>15062712.853599751</v>
      </c>
      <c r="K18" s="3">
        <v>57615.57323452369</v>
      </c>
      <c r="L18" s="3">
        <v>12444985.163165724</v>
      </c>
      <c r="M18" s="4">
        <f t="shared" si="2"/>
        <v>27565313.59</v>
      </c>
      <c r="N18" s="4">
        <f t="shared" si="1"/>
        <v>0</v>
      </c>
    </row>
    <row r="19" spans="1:14" x14ac:dyDescent="0.25">
      <c r="A19" s="25">
        <v>105433</v>
      </c>
      <c r="B19" s="21">
        <v>45424</v>
      </c>
      <c r="C19" s="33">
        <v>27565313.59</v>
      </c>
      <c r="J19" s="3">
        <v>15062712.853599751</v>
      </c>
      <c r="K19" s="3">
        <v>57615.57323452369</v>
      </c>
      <c r="L19" s="3">
        <v>12444985.163165724</v>
      </c>
      <c r="M19" s="4">
        <f t="shared" si="2"/>
        <v>27565313.59</v>
      </c>
      <c r="N19" s="4">
        <f t="shared" si="1"/>
        <v>0</v>
      </c>
    </row>
    <row r="20" spans="1:14" x14ac:dyDescent="0.25">
      <c r="A20" s="25">
        <v>105433</v>
      </c>
      <c r="B20" s="2">
        <v>45425</v>
      </c>
      <c r="C20" s="33">
        <v>27644803.760000002</v>
      </c>
      <c r="J20" s="3">
        <v>15106149.239748038</v>
      </c>
      <c r="K20" s="3">
        <v>57781.719420240268</v>
      </c>
      <c r="L20" s="3">
        <v>12480872.800831724</v>
      </c>
      <c r="M20" s="4">
        <f t="shared" si="2"/>
        <v>27644803.760000005</v>
      </c>
      <c r="N20" s="4">
        <f t="shared" si="1"/>
        <v>0</v>
      </c>
    </row>
    <row r="21" spans="1:14" x14ac:dyDescent="0.25">
      <c r="A21" s="25">
        <v>105433</v>
      </c>
      <c r="B21" s="2">
        <v>45426</v>
      </c>
      <c r="C21" s="33">
        <v>27643161.379999999</v>
      </c>
      <c r="G21" s="34"/>
      <c r="H21" s="34"/>
      <c r="I21" s="34"/>
      <c r="J21" s="3">
        <v>15105251.782214833</v>
      </c>
      <c r="K21" s="3">
        <v>57778.286603673165</v>
      </c>
      <c r="L21" s="3">
        <v>12480131.311181493</v>
      </c>
      <c r="M21" s="4">
        <f t="shared" si="2"/>
        <v>27643161.379999999</v>
      </c>
      <c r="N21" s="4">
        <f t="shared" si="1"/>
        <v>0</v>
      </c>
    </row>
    <row r="22" spans="1:14" x14ac:dyDescent="0.25">
      <c r="A22" s="25">
        <v>105433</v>
      </c>
      <c r="B22" s="2">
        <v>45427</v>
      </c>
      <c r="C22" s="33">
        <v>27628859.109999999</v>
      </c>
      <c r="G22" s="34"/>
      <c r="H22" s="34"/>
      <c r="I22" s="34"/>
      <c r="J22" s="3">
        <v>15097436.489801733</v>
      </c>
      <c r="K22" s="3">
        <v>57748.392748777798</v>
      </c>
      <c r="L22" s="3">
        <v>12473674.22744949</v>
      </c>
      <c r="M22" s="4">
        <f t="shared" si="2"/>
        <v>27628859.109999999</v>
      </c>
      <c r="N22" s="4">
        <f t="shared" si="1"/>
        <v>0</v>
      </c>
    </row>
    <row r="23" spans="1:14" x14ac:dyDescent="0.25">
      <c r="A23" s="25">
        <v>105433</v>
      </c>
      <c r="B23" s="2">
        <v>45428</v>
      </c>
      <c r="C23" s="33">
        <v>27625239.09</v>
      </c>
      <c r="G23" s="34"/>
      <c r="H23" s="34"/>
      <c r="I23" s="34"/>
      <c r="J23" s="3">
        <v>15095458.376198698</v>
      </c>
      <c r="K23" s="3">
        <v>57740.826372769065</v>
      </c>
      <c r="L23" s="3">
        <v>12472039.887428533</v>
      </c>
      <c r="M23" s="4">
        <f t="shared" si="2"/>
        <v>27625239.09</v>
      </c>
      <c r="N23" s="4">
        <f t="shared" si="1"/>
        <v>0</v>
      </c>
    </row>
    <row r="24" spans="1:14" x14ac:dyDescent="0.25">
      <c r="A24" s="25">
        <v>105433</v>
      </c>
      <c r="B24" s="2">
        <v>45429</v>
      </c>
      <c r="C24" s="33">
        <v>27621089.370000001</v>
      </c>
      <c r="G24" s="34"/>
      <c r="H24" s="34"/>
      <c r="I24" s="34"/>
      <c r="J24" s="3">
        <v>15093190.814809319</v>
      </c>
      <c r="K24" s="3">
        <v>57732.152845592165</v>
      </c>
      <c r="L24" s="3">
        <v>12470166.402345091</v>
      </c>
      <c r="M24" s="4">
        <f t="shared" si="2"/>
        <v>27621089.370000001</v>
      </c>
      <c r="N24" s="4">
        <f t="shared" si="1"/>
        <v>0</v>
      </c>
    </row>
    <row r="25" spans="1:14" x14ac:dyDescent="0.25">
      <c r="A25" s="25">
        <v>105433</v>
      </c>
      <c r="B25" s="21">
        <v>45430</v>
      </c>
      <c r="C25" s="33">
        <v>27621089.370000001</v>
      </c>
      <c r="G25" s="34"/>
      <c r="H25" s="34"/>
      <c r="I25" s="34"/>
      <c r="J25" s="3">
        <v>15093190.814809319</v>
      </c>
      <c r="K25" s="3">
        <v>57732.152845592165</v>
      </c>
      <c r="L25" s="3">
        <v>12470166.402345091</v>
      </c>
      <c r="M25" s="4">
        <f t="shared" si="2"/>
        <v>27621089.370000001</v>
      </c>
      <c r="N25" s="4">
        <f t="shared" si="1"/>
        <v>0</v>
      </c>
    </row>
    <row r="26" spans="1:14" x14ac:dyDescent="0.25">
      <c r="A26" s="25">
        <v>105433</v>
      </c>
      <c r="B26" s="21">
        <v>45431</v>
      </c>
      <c r="C26" s="33">
        <v>27621089.370000001</v>
      </c>
      <c r="G26" s="34"/>
      <c r="H26" s="34"/>
      <c r="I26" s="34"/>
      <c r="J26" s="3">
        <v>15093190.814809319</v>
      </c>
      <c r="K26" s="3">
        <v>57732.152845592165</v>
      </c>
      <c r="L26" s="3">
        <v>12470166.402345091</v>
      </c>
      <c r="M26" s="4">
        <f t="shared" si="2"/>
        <v>27621089.370000001</v>
      </c>
      <c r="N26" s="4">
        <f t="shared" si="1"/>
        <v>0</v>
      </c>
    </row>
    <row r="27" spans="1:14" x14ac:dyDescent="0.25">
      <c r="A27" s="25">
        <v>105433</v>
      </c>
      <c r="B27" s="2">
        <v>45432</v>
      </c>
      <c r="C27" s="33">
        <v>27585622.09</v>
      </c>
      <c r="G27" s="10"/>
      <c r="J27" s="3">
        <v>15073810.173533682</v>
      </c>
      <c r="K27" s="3">
        <v>57658.020996462372</v>
      </c>
      <c r="L27" s="3">
        <v>12454153.895469856</v>
      </c>
      <c r="M27" s="4">
        <f t="shared" si="2"/>
        <v>27585622.09</v>
      </c>
      <c r="N27" s="4">
        <f t="shared" si="1"/>
        <v>0</v>
      </c>
    </row>
    <row r="28" spans="1:14" x14ac:dyDescent="0.25">
      <c r="A28" s="25">
        <v>105433</v>
      </c>
      <c r="B28" s="2">
        <v>45433</v>
      </c>
      <c r="C28" s="33">
        <v>27608897.32</v>
      </c>
      <c r="G28" s="34"/>
      <c r="H28" s="34"/>
      <c r="I28" s="34"/>
      <c r="J28" s="3">
        <v>15086528.625110401</v>
      </c>
      <c r="K28" s="3">
        <v>57706.669661903339</v>
      </c>
      <c r="L28" s="3">
        <v>12464662.025227696</v>
      </c>
      <c r="M28" s="4">
        <f t="shared" si="2"/>
        <v>27608897.32</v>
      </c>
      <c r="N28" s="4">
        <f t="shared" si="1"/>
        <v>0</v>
      </c>
    </row>
    <row r="29" spans="1:14" x14ac:dyDescent="0.25">
      <c r="A29" s="25">
        <v>105433</v>
      </c>
      <c r="B29" s="2">
        <v>45434</v>
      </c>
      <c r="C29" s="33">
        <v>27683147.120000001</v>
      </c>
      <c r="G29" s="34"/>
      <c r="H29" s="34"/>
      <c r="I29" s="34"/>
      <c r="J29" s="3">
        <v>15127101.478134027</v>
      </c>
      <c r="K29" s="3">
        <v>57861.862700995072</v>
      </c>
      <c r="L29" s="3">
        <v>12498183.779164979</v>
      </c>
      <c r="M29" s="4">
        <f t="shared" si="2"/>
        <v>27683147.120000001</v>
      </c>
      <c r="N29" s="4">
        <f t="shared" si="1"/>
        <v>0</v>
      </c>
    </row>
    <row r="30" spans="1:14" x14ac:dyDescent="0.25">
      <c r="A30" s="25">
        <v>105433</v>
      </c>
      <c r="B30" s="2">
        <v>45435</v>
      </c>
      <c r="C30" s="33">
        <v>27648246.120000001</v>
      </c>
      <c r="G30" s="34"/>
      <c r="H30" s="34"/>
      <c r="I30" s="34"/>
      <c r="J30" s="3">
        <v>15108030.273317616</v>
      </c>
      <c r="K30" s="3">
        <v>57788.914460631589</v>
      </c>
      <c r="L30" s="3">
        <v>12482426.932221754</v>
      </c>
      <c r="M30" s="4">
        <f t="shared" si="2"/>
        <v>27648246.120000001</v>
      </c>
      <c r="N30" s="4">
        <f t="shared" si="1"/>
        <v>0</v>
      </c>
    </row>
    <row r="31" spans="1:14" x14ac:dyDescent="0.25">
      <c r="A31" s="25">
        <v>105433</v>
      </c>
      <c r="B31" s="2">
        <v>45436</v>
      </c>
      <c r="C31" s="33">
        <v>27612388.620000001</v>
      </c>
      <c r="G31" s="34"/>
      <c r="H31" s="34"/>
      <c r="I31" s="34"/>
      <c r="J31" s="3">
        <v>15088436.401316686</v>
      </c>
      <c r="K31" s="3">
        <v>57713.966994116774</v>
      </c>
      <c r="L31" s="3">
        <v>12466238.251689199</v>
      </c>
      <c r="M31" s="4">
        <f t="shared" si="2"/>
        <v>27612388.620000001</v>
      </c>
      <c r="N31" s="4">
        <f t="shared" si="1"/>
        <v>0</v>
      </c>
    </row>
    <row r="32" spans="1:14" x14ac:dyDescent="0.25">
      <c r="A32" s="25">
        <v>105433</v>
      </c>
      <c r="B32" s="21">
        <v>45437</v>
      </c>
      <c r="C32" s="33">
        <v>27612388.620000001</v>
      </c>
      <c r="G32" s="34"/>
      <c r="H32" s="34"/>
      <c r="I32" s="34"/>
      <c r="J32" s="3">
        <v>15088436.401316686</v>
      </c>
      <c r="K32" s="3">
        <v>57713.966994116774</v>
      </c>
      <c r="L32" s="3">
        <v>12466238.251689199</v>
      </c>
      <c r="M32" s="4">
        <f t="shared" si="2"/>
        <v>27612388.620000001</v>
      </c>
      <c r="N32" s="4">
        <f t="shared" si="1"/>
        <v>0</v>
      </c>
    </row>
    <row r="33" spans="1:14" x14ac:dyDescent="0.25">
      <c r="A33" s="25">
        <v>105433</v>
      </c>
      <c r="B33" s="21">
        <v>45438</v>
      </c>
      <c r="C33" s="33">
        <v>27612388.620000001</v>
      </c>
      <c r="G33" s="34"/>
      <c r="H33" s="34"/>
      <c r="I33" s="34"/>
      <c r="J33" s="3">
        <v>15088436.401316686</v>
      </c>
      <c r="K33" s="3">
        <v>57713.966994116774</v>
      </c>
      <c r="L33" s="3">
        <v>12466238.251689199</v>
      </c>
      <c r="M33" s="4">
        <f t="shared" si="2"/>
        <v>27612388.620000001</v>
      </c>
      <c r="N33" s="4">
        <f t="shared" si="1"/>
        <v>0</v>
      </c>
    </row>
    <row r="34" spans="1:14" x14ac:dyDescent="0.25">
      <c r="A34" s="25">
        <v>105433</v>
      </c>
      <c r="B34" s="2">
        <v>45439</v>
      </c>
      <c r="C34" s="33">
        <v>27610534.16</v>
      </c>
      <c r="J34" s="3">
        <v>15087423.055381501</v>
      </c>
      <c r="K34" s="3">
        <v>57710.090899052891</v>
      </c>
      <c r="L34" s="3">
        <v>12465401.013719445</v>
      </c>
      <c r="M34" s="4">
        <f t="shared" si="2"/>
        <v>27610534.159999996</v>
      </c>
      <c r="N34" s="4">
        <f t="shared" si="1"/>
        <v>0</v>
      </c>
    </row>
    <row r="35" spans="1:14" x14ac:dyDescent="0.25">
      <c r="A35" s="25">
        <v>105433</v>
      </c>
      <c r="B35" s="2">
        <v>45440</v>
      </c>
      <c r="C35" s="33">
        <v>27625344.16</v>
      </c>
      <c r="G35" s="34"/>
      <c r="H35" s="34"/>
      <c r="I35" s="34"/>
      <c r="J35" s="3">
        <v>15095515.7903556</v>
      </c>
      <c r="K35" s="3">
        <v>57741.045984574317</v>
      </c>
      <c r="L35" s="3">
        <v>12472087.323659824</v>
      </c>
      <c r="M35" s="4">
        <f t="shared" si="2"/>
        <v>27625344.159999996</v>
      </c>
      <c r="N35" s="4">
        <f t="shared" si="1"/>
        <v>0</v>
      </c>
    </row>
    <row r="36" spans="1:14" x14ac:dyDescent="0.25">
      <c r="A36" s="1">
        <v>105433</v>
      </c>
      <c r="B36" s="2">
        <v>45441</v>
      </c>
      <c r="C36" s="33">
        <v>27648939.609999999</v>
      </c>
      <c r="G36" s="34"/>
      <c r="H36" s="34"/>
      <c r="I36" s="34"/>
      <c r="J36" s="3">
        <v>15108409.222053414</v>
      </c>
      <c r="K36" s="3">
        <v>57790.36395707036</v>
      </c>
      <c r="L36" s="3">
        <v>12482740.023989515</v>
      </c>
      <c r="M36" s="4">
        <f t="shared" si="2"/>
        <v>27648939.609999999</v>
      </c>
      <c r="N36" s="4">
        <f t="shared" si="1"/>
        <v>0</v>
      </c>
    </row>
    <row r="37" spans="1:14" x14ac:dyDescent="0.25">
      <c r="A37" s="1">
        <v>105433</v>
      </c>
      <c r="B37" s="2">
        <v>45442</v>
      </c>
      <c r="C37" s="33">
        <v>27705618.879999999</v>
      </c>
      <c r="G37" s="34"/>
      <c r="H37" s="34"/>
      <c r="I37" s="34"/>
      <c r="J37" s="3">
        <v>15139380.883811377</v>
      </c>
      <c r="K37" s="3">
        <v>57908.831995567445</v>
      </c>
      <c r="L37" s="3">
        <v>12508329.164193055</v>
      </c>
      <c r="M37" s="4">
        <f t="shared" si="2"/>
        <v>27705618.879999999</v>
      </c>
      <c r="N37" s="4">
        <f t="shared" si="1"/>
        <v>0</v>
      </c>
    </row>
    <row r="38" spans="1:14" x14ac:dyDescent="0.25">
      <c r="A38" s="1">
        <v>105434</v>
      </c>
      <c r="B38" s="2">
        <v>45443</v>
      </c>
      <c r="C38" s="33">
        <v>27739258.780000001</v>
      </c>
      <c r="G38" s="34"/>
      <c r="H38" s="34"/>
      <c r="I38" s="34"/>
      <c r="J38" s="3">
        <v>15157762.976671284</v>
      </c>
      <c r="K38" s="3">
        <v>57979.144350829578</v>
      </c>
      <c r="L38" s="3">
        <v>12523516.658977889</v>
      </c>
      <c r="M38" s="4">
        <f t="shared" si="2"/>
        <v>27739258.780000001</v>
      </c>
      <c r="N38" s="4">
        <f t="shared" si="1"/>
        <v>0</v>
      </c>
    </row>
    <row r="39" spans="1:14" x14ac:dyDescent="0.25">
      <c r="A39" s="5"/>
      <c r="B39" s="6"/>
      <c r="J39" s="7"/>
    </row>
    <row r="40" spans="1:14" x14ac:dyDescent="0.25">
      <c r="A40" s="19" t="s">
        <v>8</v>
      </c>
      <c r="B40" s="8">
        <f>COUNT(B8:B38)</f>
        <v>31</v>
      </c>
      <c r="C40" s="4">
        <f>AVERAGE(C8:C38)</f>
        <v>27604153.842580646</v>
      </c>
      <c r="J40" s="4">
        <f>AVERAGE(J8:J38)</f>
        <v>15083936.612577623</v>
      </c>
      <c r="K40" s="4">
        <f>AVERAGE(K8:K38)</f>
        <v>57696.7550940988</v>
      </c>
      <c r="L40" s="4">
        <f>AVERAGE(L8:L38)</f>
        <v>12462520.474908924</v>
      </c>
      <c r="M40" s="4">
        <f>SUM(J40:L40)</f>
        <v>27604153.842580646</v>
      </c>
      <c r="N40" s="4">
        <f>M40-C40</f>
        <v>0</v>
      </c>
    </row>
    <row r="41" spans="1:14" x14ac:dyDescent="0.25">
      <c r="A41" s="19" t="s">
        <v>9</v>
      </c>
      <c r="B41" s="8">
        <v>1.62</v>
      </c>
      <c r="C41" s="9">
        <f>+C40*$B$42</f>
        <v>38507.794610400008</v>
      </c>
      <c r="D41" s="10">
        <f>C41*1.16</f>
        <v>44669.041748064003</v>
      </c>
      <c r="J41" s="20">
        <f>(+J40*$B$42)</f>
        <v>21042.091574545786</v>
      </c>
      <c r="K41" s="20">
        <f>(+K40*$B$42)</f>
        <v>80.486973356267839</v>
      </c>
      <c r="L41" s="20">
        <f>(+L40*$B$42)</f>
        <v>17385.216062497951</v>
      </c>
      <c r="M41" s="4">
        <f>SUM(J41:L41)</f>
        <v>38507.7946104</v>
      </c>
      <c r="N41" s="4">
        <f>+C41/M41</f>
        <v>1.0000000000000002</v>
      </c>
    </row>
    <row r="42" spans="1:14" x14ac:dyDescent="0.25">
      <c r="A42" s="19" t="s">
        <v>10</v>
      </c>
      <c r="B42" s="11">
        <f>B41/360*B40/100</f>
        <v>1.3950000000000002E-3</v>
      </c>
      <c r="D42" s="10">
        <f>D41-C41</f>
        <v>6161.2471376639951</v>
      </c>
      <c r="M42" s="32">
        <f>C41/M41</f>
        <v>1.0000000000000002</v>
      </c>
    </row>
  </sheetData>
  <mergeCells count="1">
    <mergeCell ref="A6:C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42D58-F9FE-47B7-85CE-6382F4DBA5B6}">
  <dimension ref="A1:N46"/>
  <sheetViews>
    <sheetView topLeftCell="A25" workbookViewId="0">
      <selection activeCell="C46" sqref="C46"/>
    </sheetView>
  </sheetViews>
  <sheetFormatPr baseColWidth="10" defaultRowHeight="15" x14ac:dyDescent="0.25"/>
  <cols>
    <col min="3" max="3" width="15.140625" bestFit="1" customWidth="1"/>
    <col min="6" max="6" width="14.140625" bestFit="1" customWidth="1"/>
    <col min="8" max="9" width="14.140625" bestFit="1" customWidth="1"/>
    <col min="10" max="12" width="17" bestFit="1" customWidth="1"/>
    <col min="13" max="14" width="15.140625" bestFit="1" customWidth="1"/>
  </cols>
  <sheetData>
    <row r="1" spans="1:14" x14ac:dyDescent="0.25">
      <c r="D1" s="38" t="s">
        <v>15</v>
      </c>
      <c r="E1" s="35">
        <v>45443</v>
      </c>
      <c r="F1" s="36">
        <v>15174652.228399999</v>
      </c>
      <c r="G1" s="36">
        <v>57176.543899999997</v>
      </c>
      <c r="H1" s="36">
        <v>12540922.6427</v>
      </c>
      <c r="I1" s="37">
        <f>+F1+G1+H1</f>
        <v>27772751.414999999</v>
      </c>
    </row>
    <row r="2" spans="1:14" x14ac:dyDescent="0.25">
      <c r="D2" s="38" t="s">
        <v>16</v>
      </c>
      <c r="E2" s="35">
        <v>45473</v>
      </c>
      <c r="F2" s="36">
        <v>15576607.3191</v>
      </c>
      <c r="G2" s="36">
        <v>56795.0746</v>
      </c>
      <c r="H2" s="36">
        <v>12671188.146299999</v>
      </c>
      <c r="I2" s="37">
        <f>+F2+G2+H2</f>
        <v>28304590.539999999</v>
      </c>
    </row>
    <row r="3" spans="1:14" x14ac:dyDescent="0.25">
      <c r="E3" s="38"/>
      <c r="F3" s="37"/>
    </row>
    <row r="4" spans="1:14" x14ac:dyDescent="0.25">
      <c r="E4" s="35">
        <f>+E1</f>
        <v>45443</v>
      </c>
      <c r="F4" s="13">
        <f t="shared" ref="F4:H5" si="0">+F1/$I1</f>
        <v>0.54638634831852506</v>
      </c>
      <c r="G4" s="13">
        <f t="shared" si="0"/>
        <v>2.0587281053154522E-3</v>
      </c>
      <c r="H4" s="13">
        <f t="shared" si="0"/>
        <v>0.45155492357615951</v>
      </c>
      <c r="I4" s="12">
        <f>+F4+G4+H4</f>
        <v>1</v>
      </c>
    </row>
    <row r="5" spans="1:14" x14ac:dyDescent="0.25">
      <c r="E5" s="35">
        <f>+E2</f>
        <v>45473</v>
      </c>
      <c r="F5" s="13">
        <f t="shared" si="0"/>
        <v>0.55032088512593624</v>
      </c>
      <c r="G5" s="13">
        <f t="shared" si="0"/>
        <v>2.0065676102870062E-3</v>
      </c>
      <c r="H5" s="13">
        <f t="shared" si="0"/>
        <v>0.44767254726377681</v>
      </c>
      <c r="I5" s="12">
        <f>+F5+G5+H5</f>
        <v>1</v>
      </c>
    </row>
    <row r="6" spans="1:14" x14ac:dyDescent="0.25">
      <c r="A6" s="46" t="s">
        <v>0</v>
      </c>
      <c r="B6" s="46"/>
      <c r="C6" s="46"/>
      <c r="E6" s="39" t="s">
        <v>17</v>
      </c>
      <c r="F6" s="40">
        <f>AVERAGE(F4:F5)</f>
        <v>0.54835361672223071</v>
      </c>
      <c r="G6" s="40">
        <f>AVERAGE(G4:G5)</f>
        <v>2.0326478578012292E-3</v>
      </c>
      <c r="H6" s="40">
        <f>AVERAGE(H4:H5)</f>
        <v>0.44961373541996819</v>
      </c>
      <c r="I6" s="12"/>
    </row>
    <row r="7" spans="1:14" x14ac:dyDescent="0.25">
      <c r="A7" s="16" t="s">
        <v>1</v>
      </c>
      <c r="B7" s="17" t="s">
        <v>2</v>
      </c>
      <c r="C7" s="18" t="s">
        <v>3</v>
      </c>
      <c r="E7" s="35"/>
      <c r="F7" s="13"/>
      <c r="G7" s="13"/>
      <c r="H7" s="13"/>
      <c r="I7" s="12"/>
      <c r="J7" s="28" t="s">
        <v>4</v>
      </c>
      <c r="K7" s="14" t="s">
        <v>5</v>
      </c>
      <c r="L7" s="15" t="s">
        <v>6</v>
      </c>
    </row>
    <row r="8" spans="1:14" x14ac:dyDescent="0.25">
      <c r="A8" s="1">
        <v>105433</v>
      </c>
      <c r="B8" s="21">
        <v>45444</v>
      </c>
      <c r="C8" s="33">
        <v>27739258.780000001</v>
      </c>
      <c r="J8" s="3">
        <v>15210922.877206894</v>
      </c>
      <c r="K8" s="3">
        <v>56384.144936160941</v>
      </c>
      <c r="L8" s="3">
        <v>12471951.75785695</v>
      </c>
      <c r="M8" s="4">
        <f>SUM(J8:L8)</f>
        <v>27739258.780000005</v>
      </c>
      <c r="N8" s="4">
        <f>+C8-M8</f>
        <v>0</v>
      </c>
    </row>
    <row r="9" spans="1:14" x14ac:dyDescent="0.25">
      <c r="A9" s="25">
        <v>105433</v>
      </c>
      <c r="B9" s="21">
        <v>45445</v>
      </c>
      <c r="C9" s="33">
        <v>27739258.780000001</v>
      </c>
      <c r="J9" s="3">
        <v>15210922.877206894</v>
      </c>
      <c r="K9" s="3">
        <v>56384.144936160941</v>
      </c>
      <c r="L9" s="3">
        <v>12471951.75785695</v>
      </c>
      <c r="M9" s="4">
        <f>SUM(J9:L9)</f>
        <v>27739258.780000005</v>
      </c>
      <c r="N9" s="4">
        <f t="shared" ref="N9:N37" si="1">+C9-M9</f>
        <v>0</v>
      </c>
    </row>
    <row r="10" spans="1:14" x14ac:dyDescent="0.25">
      <c r="A10" s="25">
        <v>105433</v>
      </c>
      <c r="B10" s="2">
        <v>45446</v>
      </c>
      <c r="C10" s="33">
        <v>27949036.550000001</v>
      </c>
      <c r="J10" s="3">
        <v>15325955.276094317</v>
      </c>
      <c r="K10" s="3">
        <v>56810.549270965756</v>
      </c>
      <c r="L10" s="3">
        <v>12566270.72463472</v>
      </c>
      <c r="M10" s="4">
        <f>SUM(J10:L10)</f>
        <v>27949036.550000004</v>
      </c>
      <c r="N10" s="4">
        <f t="shared" si="1"/>
        <v>0</v>
      </c>
    </row>
    <row r="11" spans="1:14" x14ac:dyDescent="0.25">
      <c r="A11" s="25">
        <v>105433</v>
      </c>
      <c r="B11" s="2">
        <v>45447</v>
      </c>
      <c r="C11" s="33">
        <v>28035927.510000002</v>
      </c>
      <c r="J11" s="3">
        <v>15373602.248270785</v>
      </c>
      <c r="K11" s="3">
        <v>56987.167994672054</v>
      </c>
      <c r="L11" s="3">
        <v>12605338.093734547</v>
      </c>
      <c r="M11" s="4">
        <f t="shared" ref="M11:M37" si="2">SUM(J11:L11)</f>
        <v>28035927.510000005</v>
      </c>
      <c r="N11" s="4">
        <f t="shared" si="1"/>
        <v>0</v>
      </c>
    </row>
    <row r="12" spans="1:14" x14ac:dyDescent="0.25">
      <c r="A12" s="25">
        <v>105433</v>
      </c>
      <c r="B12" s="2">
        <v>45448</v>
      </c>
      <c r="C12" s="33">
        <v>28017687.809999999</v>
      </c>
      <c r="J12" s="3">
        <v>15363600.442807855</v>
      </c>
      <c r="K12" s="3">
        <v>56950.093107540109</v>
      </c>
      <c r="L12" s="3">
        <v>12597137.274084607</v>
      </c>
      <c r="M12" s="4">
        <f t="shared" si="2"/>
        <v>28017687.810000002</v>
      </c>
      <c r="N12" s="4">
        <f t="shared" si="1"/>
        <v>0</v>
      </c>
    </row>
    <row r="13" spans="1:14" x14ac:dyDescent="0.25">
      <c r="A13" s="25">
        <v>105433</v>
      </c>
      <c r="B13" s="2">
        <v>45449</v>
      </c>
      <c r="C13" s="33">
        <v>28094715.489999998</v>
      </c>
      <c r="E13" t="s">
        <v>7</v>
      </c>
      <c r="J13" s="3">
        <v>15405838.849723577</v>
      </c>
      <c r="K13" s="3">
        <v>57106.663256283508</v>
      </c>
      <c r="L13" s="3">
        <v>12631769.977020141</v>
      </c>
      <c r="M13" s="4">
        <f t="shared" si="2"/>
        <v>28094715.490000002</v>
      </c>
      <c r="N13" s="4">
        <f t="shared" si="1"/>
        <v>0</v>
      </c>
    </row>
    <row r="14" spans="1:14" x14ac:dyDescent="0.25">
      <c r="A14" s="25">
        <v>105433</v>
      </c>
      <c r="B14" s="2">
        <v>45450</v>
      </c>
      <c r="C14" s="33">
        <v>28233021.98</v>
      </c>
      <c r="J14" s="3">
        <v>15481679.713731235</v>
      </c>
      <c r="K14" s="3">
        <v>57387.79164690202</v>
      </c>
      <c r="L14" s="3">
        <v>12693954.474621866</v>
      </c>
      <c r="M14" s="4">
        <f t="shared" si="2"/>
        <v>28233021.980000004</v>
      </c>
      <c r="N14" s="4">
        <f t="shared" si="1"/>
        <v>0</v>
      </c>
    </row>
    <row r="15" spans="1:14" x14ac:dyDescent="0.25">
      <c r="A15" s="25">
        <v>105433</v>
      </c>
      <c r="B15" s="21">
        <v>45451</v>
      </c>
      <c r="C15" s="33">
        <v>28233021.98</v>
      </c>
      <c r="J15" s="3">
        <v>15481679.713731235</v>
      </c>
      <c r="K15" s="3">
        <v>57387.79164690202</v>
      </c>
      <c r="L15" s="3">
        <v>12693954.474621866</v>
      </c>
      <c r="M15" s="4">
        <f t="shared" si="2"/>
        <v>28233021.980000004</v>
      </c>
      <c r="N15" s="4">
        <f t="shared" si="1"/>
        <v>0</v>
      </c>
    </row>
    <row r="16" spans="1:14" x14ac:dyDescent="0.25">
      <c r="A16" s="25">
        <v>105433</v>
      </c>
      <c r="B16" s="21">
        <v>45452</v>
      </c>
      <c r="C16" s="33">
        <v>28233021.98</v>
      </c>
      <c r="J16" s="3">
        <v>15481679.713731235</v>
      </c>
      <c r="K16" s="3">
        <v>57387.79164690202</v>
      </c>
      <c r="L16" s="3">
        <v>12693954.474621866</v>
      </c>
      <c r="M16" s="4">
        <f t="shared" si="2"/>
        <v>28233021.980000004</v>
      </c>
      <c r="N16" s="4">
        <f t="shared" si="1"/>
        <v>0</v>
      </c>
    </row>
    <row r="17" spans="1:14" x14ac:dyDescent="0.25">
      <c r="A17" s="25">
        <v>105433</v>
      </c>
      <c r="B17" s="2">
        <v>45453</v>
      </c>
      <c r="C17" s="33">
        <v>28170250.57</v>
      </c>
      <c r="J17" s="3">
        <v>15447258.784030981</v>
      </c>
      <c r="K17" s="3">
        <v>57260.199474834357</v>
      </c>
      <c r="L17" s="3">
        <v>12665731.586494189</v>
      </c>
      <c r="M17" s="4">
        <f t="shared" si="2"/>
        <v>28170250.570000004</v>
      </c>
      <c r="N17" s="4">
        <f t="shared" si="1"/>
        <v>0</v>
      </c>
    </row>
    <row r="18" spans="1:14" x14ac:dyDescent="0.25">
      <c r="A18" s="25">
        <v>105433</v>
      </c>
      <c r="B18" s="2">
        <v>45454</v>
      </c>
      <c r="C18" s="33">
        <v>28271452.699999999</v>
      </c>
      <c r="J18" s="3">
        <v>15502753.338036474</v>
      </c>
      <c r="K18" s="3">
        <v>57465.907767583776</v>
      </c>
      <c r="L18" s="3">
        <v>12711233.454195945</v>
      </c>
      <c r="M18" s="4">
        <f t="shared" si="2"/>
        <v>28271452.700000003</v>
      </c>
      <c r="N18" s="4">
        <f t="shared" si="1"/>
        <v>0</v>
      </c>
    </row>
    <row r="19" spans="1:14" x14ac:dyDescent="0.25">
      <c r="A19" s="25">
        <v>105433</v>
      </c>
      <c r="B19" s="2">
        <v>45455</v>
      </c>
      <c r="C19" s="33">
        <v>28379085.100000001</v>
      </c>
      <c r="J19" s="3">
        <v>15561773.953852968</v>
      </c>
      <c r="K19" s="3">
        <v>57684.686534873785</v>
      </c>
      <c r="L19" s="3">
        <v>12759626.459612163</v>
      </c>
      <c r="M19" s="4">
        <f t="shared" si="2"/>
        <v>28379085.100000005</v>
      </c>
      <c r="N19" s="4">
        <f t="shared" si="1"/>
        <v>0</v>
      </c>
    </row>
    <row r="20" spans="1:14" x14ac:dyDescent="0.25">
      <c r="A20" s="25">
        <v>105433</v>
      </c>
      <c r="B20" s="2">
        <v>45456</v>
      </c>
      <c r="C20" s="33">
        <v>28201729.780000001</v>
      </c>
      <c r="J20" s="3">
        <v>15464520.52268604</v>
      </c>
      <c r="K20" s="3">
        <v>57324.185623606136</v>
      </c>
      <c r="L20" s="3">
        <v>12679885.071690358</v>
      </c>
      <c r="M20" s="4">
        <f t="shared" si="2"/>
        <v>28201729.780000005</v>
      </c>
      <c r="N20" s="4">
        <f t="shared" si="1"/>
        <v>0</v>
      </c>
    </row>
    <row r="21" spans="1:14" x14ac:dyDescent="0.25">
      <c r="A21" s="25">
        <v>105433</v>
      </c>
      <c r="B21" s="2">
        <v>45457</v>
      </c>
      <c r="C21" s="33">
        <v>28210066.66</v>
      </c>
      <c r="G21" s="34"/>
      <c r="H21" s="34"/>
      <c r="I21" s="34"/>
      <c r="J21" s="3">
        <v>15469092.080986219</v>
      </c>
      <c r="K21" s="3">
        <v>57341.13156487888</v>
      </c>
      <c r="L21" s="3">
        <v>12683633.447448906</v>
      </c>
      <c r="M21" s="4">
        <f t="shared" si="2"/>
        <v>28210066.660000004</v>
      </c>
      <c r="N21" s="4">
        <f t="shared" si="1"/>
        <v>0</v>
      </c>
    </row>
    <row r="22" spans="1:14" x14ac:dyDescent="0.25">
      <c r="A22" s="25">
        <v>105433</v>
      </c>
      <c r="B22" s="21">
        <v>45458</v>
      </c>
      <c r="C22" s="33">
        <v>28210066.66</v>
      </c>
      <c r="G22" s="34"/>
      <c r="H22" s="34"/>
      <c r="I22" s="34"/>
      <c r="J22" s="3">
        <v>15469092.080986219</v>
      </c>
      <c r="K22" s="3">
        <v>57341.13156487888</v>
      </c>
      <c r="L22" s="3">
        <v>12683633.447448906</v>
      </c>
      <c r="M22" s="4">
        <f t="shared" si="2"/>
        <v>28210066.660000004</v>
      </c>
      <c r="N22" s="4">
        <f t="shared" si="1"/>
        <v>0</v>
      </c>
    </row>
    <row r="23" spans="1:14" x14ac:dyDescent="0.25">
      <c r="A23" s="25">
        <v>105433</v>
      </c>
      <c r="B23" s="21">
        <v>45459</v>
      </c>
      <c r="C23" s="33">
        <v>28210066.66</v>
      </c>
      <c r="G23" s="34"/>
      <c r="H23" s="34"/>
      <c r="I23" s="34"/>
      <c r="J23" s="3">
        <v>15469092.080986219</v>
      </c>
      <c r="K23" s="3">
        <v>57341.13156487888</v>
      </c>
      <c r="L23" s="3">
        <v>12683633.447448906</v>
      </c>
      <c r="M23" s="4">
        <f t="shared" si="2"/>
        <v>28210066.660000004</v>
      </c>
      <c r="N23" s="4">
        <f t="shared" si="1"/>
        <v>0</v>
      </c>
    </row>
    <row r="24" spans="1:14" x14ac:dyDescent="0.25">
      <c r="A24" s="25">
        <v>105433</v>
      </c>
      <c r="B24" s="2">
        <v>45460</v>
      </c>
      <c r="C24" s="33">
        <v>28262431.420000002</v>
      </c>
      <c r="G24" s="34"/>
      <c r="H24" s="34"/>
      <c r="I24" s="34"/>
      <c r="J24" s="3">
        <v>15497806.486521011</v>
      </c>
      <c r="K24" s="3">
        <v>57447.570682117155</v>
      </c>
      <c r="L24" s="3">
        <v>12707177.362796877</v>
      </c>
      <c r="M24" s="4">
        <f t="shared" si="2"/>
        <v>28262431.420000006</v>
      </c>
      <c r="N24" s="4">
        <f t="shared" si="1"/>
        <v>0</v>
      </c>
    </row>
    <row r="25" spans="1:14" x14ac:dyDescent="0.25">
      <c r="A25" s="25">
        <v>105433</v>
      </c>
      <c r="B25" s="2">
        <v>45461</v>
      </c>
      <c r="C25" s="33">
        <v>28239030.57</v>
      </c>
      <c r="G25" s="34"/>
      <c r="H25" s="34"/>
      <c r="I25" s="34"/>
      <c r="J25" s="3">
        <v>15484974.545789136</v>
      </c>
      <c r="K25" s="3">
        <v>57400.004994493924</v>
      </c>
      <c r="L25" s="3">
        <v>12696656.019216374</v>
      </c>
      <c r="M25" s="4">
        <f t="shared" si="2"/>
        <v>28239030.570000004</v>
      </c>
      <c r="N25" s="4">
        <f t="shared" si="1"/>
        <v>0</v>
      </c>
    </row>
    <row r="26" spans="1:14" x14ac:dyDescent="0.25">
      <c r="A26" s="25">
        <v>105433</v>
      </c>
      <c r="B26" s="2">
        <v>45462</v>
      </c>
      <c r="C26" s="33">
        <v>28261960.260000002</v>
      </c>
      <c r="G26" s="34"/>
      <c r="H26" s="34"/>
      <c r="I26" s="34"/>
      <c r="J26" s="3">
        <v>15497548.124230957</v>
      </c>
      <c r="K26" s="3">
        <v>57446.612979752477</v>
      </c>
      <c r="L26" s="3">
        <v>12706965.522789296</v>
      </c>
      <c r="M26" s="4">
        <f t="shared" si="2"/>
        <v>28261960.260000005</v>
      </c>
      <c r="N26" s="4">
        <f t="shared" si="1"/>
        <v>0</v>
      </c>
    </row>
    <row r="27" spans="1:14" x14ac:dyDescent="0.25">
      <c r="A27" s="25">
        <v>105433</v>
      </c>
      <c r="B27" s="2">
        <v>45463</v>
      </c>
      <c r="C27" s="33">
        <v>28259052.300000001</v>
      </c>
      <c r="G27" s="10"/>
      <c r="J27" s="3">
        <v>15495953.533847673</v>
      </c>
      <c r="K27" s="3">
        <v>57440.702121087903</v>
      </c>
      <c r="L27" s="3">
        <v>12705658.064031243</v>
      </c>
      <c r="M27" s="4">
        <f t="shared" si="2"/>
        <v>28259052.300000004</v>
      </c>
      <c r="N27" s="4">
        <f t="shared" si="1"/>
        <v>0</v>
      </c>
    </row>
    <row r="28" spans="1:14" x14ac:dyDescent="0.25">
      <c r="A28" s="25">
        <v>105433</v>
      </c>
      <c r="B28" s="2">
        <v>45464</v>
      </c>
      <c r="C28" s="33">
        <v>28131750.109999999</v>
      </c>
      <c r="G28" s="34"/>
      <c r="H28" s="34"/>
      <c r="I28" s="34"/>
      <c r="J28" s="3">
        <v>15426146.917544512</v>
      </c>
      <c r="K28" s="3">
        <v>57181.941597290992</v>
      </c>
      <c r="L28" s="3">
        <v>12648421.250858201</v>
      </c>
      <c r="M28" s="4">
        <f t="shared" si="2"/>
        <v>28131750.110000003</v>
      </c>
      <c r="N28" s="4">
        <f t="shared" si="1"/>
        <v>0</v>
      </c>
    </row>
    <row r="29" spans="1:14" x14ac:dyDescent="0.25">
      <c r="A29" s="25">
        <v>105433</v>
      </c>
      <c r="B29" s="21">
        <v>45465</v>
      </c>
      <c r="C29" s="33">
        <v>28131750.109999999</v>
      </c>
      <c r="G29" s="34"/>
      <c r="H29" s="34"/>
      <c r="I29" s="34"/>
      <c r="J29" s="3">
        <v>15426146.917544512</v>
      </c>
      <c r="K29" s="3">
        <v>57181.941597290992</v>
      </c>
      <c r="L29" s="3">
        <v>12648421.250858201</v>
      </c>
      <c r="M29" s="4">
        <f t="shared" si="2"/>
        <v>28131750.110000003</v>
      </c>
      <c r="N29" s="4">
        <f t="shared" si="1"/>
        <v>0</v>
      </c>
    </row>
    <row r="30" spans="1:14" x14ac:dyDescent="0.25">
      <c r="A30" s="25">
        <v>105433</v>
      </c>
      <c r="B30" s="21">
        <v>45466</v>
      </c>
      <c r="C30" s="33">
        <v>28131750.109999999</v>
      </c>
      <c r="G30" s="34"/>
      <c r="H30" s="34"/>
      <c r="I30" s="34"/>
      <c r="J30" s="3">
        <v>15426146.917544512</v>
      </c>
      <c r="K30" s="3">
        <v>57181.941597290992</v>
      </c>
      <c r="L30" s="3">
        <v>12648421.250858201</v>
      </c>
      <c r="M30" s="4">
        <f t="shared" si="2"/>
        <v>28131750.110000003</v>
      </c>
      <c r="N30" s="4">
        <f t="shared" si="1"/>
        <v>0</v>
      </c>
    </row>
    <row r="31" spans="1:14" x14ac:dyDescent="0.25">
      <c r="A31" s="25">
        <v>105433</v>
      </c>
      <c r="B31" s="2">
        <v>45467</v>
      </c>
      <c r="C31" s="33">
        <v>28119780.780000001</v>
      </c>
      <c r="G31" s="34"/>
      <c r="H31" s="34"/>
      <c r="I31" s="34"/>
      <c r="J31" s="3">
        <v>15419583.492149271</v>
      </c>
      <c r="K31" s="3">
        <v>57157.612164307182</v>
      </c>
      <c r="L31" s="3">
        <v>12643039.675686426</v>
      </c>
      <c r="M31" s="4">
        <f t="shared" si="2"/>
        <v>28119780.780000005</v>
      </c>
      <c r="N31" s="4">
        <f t="shared" si="1"/>
        <v>0</v>
      </c>
    </row>
    <row r="32" spans="1:14" x14ac:dyDescent="0.25">
      <c r="A32" s="25">
        <v>105433</v>
      </c>
      <c r="B32" s="2">
        <v>45468</v>
      </c>
      <c r="C32" s="33">
        <v>28178563.719999999</v>
      </c>
      <c r="G32" s="34"/>
      <c r="H32" s="34"/>
      <c r="I32" s="34"/>
      <c r="J32" s="3">
        <v>15451817.329899834</v>
      </c>
      <c r="K32" s="3">
        <v>57277.097181373436</v>
      </c>
      <c r="L32" s="3">
        <v>12669469.292918794</v>
      </c>
      <c r="M32" s="4">
        <f t="shared" si="2"/>
        <v>28178563.720000003</v>
      </c>
      <c r="N32" s="4">
        <f t="shared" si="1"/>
        <v>0</v>
      </c>
    </row>
    <row r="33" spans="1:14" x14ac:dyDescent="0.25">
      <c r="A33" s="25">
        <v>105433</v>
      </c>
      <c r="B33" s="2">
        <v>45469</v>
      </c>
      <c r="C33" s="33">
        <v>28182265.66</v>
      </c>
      <c r="G33" s="34"/>
      <c r="H33" s="34"/>
      <c r="I33" s="34"/>
      <c r="J33" s="3">
        <v>15453847.302087724</v>
      </c>
      <c r="K33" s="3">
        <v>57284.621921784143</v>
      </c>
      <c r="L33" s="3">
        <v>12671133.735990494</v>
      </c>
      <c r="M33" s="4">
        <f t="shared" si="2"/>
        <v>28182265.660000004</v>
      </c>
      <c r="N33" s="4">
        <f t="shared" si="1"/>
        <v>0</v>
      </c>
    </row>
    <row r="34" spans="1:14" x14ac:dyDescent="0.25">
      <c r="A34" s="25">
        <v>105433</v>
      </c>
      <c r="B34" s="2">
        <v>45470</v>
      </c>
      <c r="C34" s="33">
        <v>28264069.460000001</v>
      </c>
      <c r="J34" s="3">
        <v>15498704.711679347</v>
      </c>
      <c r="K34" s="3">
        <v>57450.900240614144</v>
      </c>
      <c r="L34" s="3">
        <v>12707913.848080043</v>
      </c>
      <c r="M34" s="4">
        <f t="shared" si="2"/>
        <v>28264069.460000005</v>
      </c>
      <c r="N34" s="4">
        <f t="shared" si="1"/>
        <v>0</v>
      </c>
    </row>
    <row r="35" spans="1:14" x14ac:dyDescent="0.25">
      <c r="A35" s="25">
        <v>105433</v>
      </c>
      <c r="B35" s="2">
        <v>45471</v>
      </c>
      <c r="C35" s="33">
        <v>28338887.59</v>
      </c>
      <c r="G35" s="34"/>
      <c r="H35" s="34"/>
      <c r="I35" s="34"/>
      <c r="J35" s="3">
        <v>15539731.503861241</v>
      </c>
      <c r="K35" s="3">
        <v>57602.97915228334</v>
      </c>
      <c r="L35" s="3">
        <v>12741553.10698648</v>
      </c>
      <c r="M35" s="4">
        <f t="shared" si="2"/>
        <v>28338887.590000004</v>
      </c>
      <c r="N35" s="4">
        <f t="shared" si="1"/>
        <v>0</v>
      </c>
    </row>
    <row r="36" spans="1:14" x14ac:dyDescent="0.25">
      <c r="A36" s="1">
        <v>105433</v>
      </c>
      <c r="B36" s="21">
        <v>45472</v>
      </c>
      <c r="C36" s="33">
        <v>28338887.59</v>
      </c>
      <c r="G36" s="34"/>
      <c r="H36" s="34"/>
      <c r="I36" s="34"/>
      <c r="J36" s="3">
        <v>15539731.503861241</v>
      </c>
      <c r="K36" s="3">
        <v>57602.97915228334</v>
      </c>
      <c r="L36" s="3">
        <v>12741553.10698648</v>
      </c>
      <c r="M36" s="4">
        <f t="shared" si="2"/>
        <v>28338887.590000004</v>
      </c>
      <c r="N36" s="4">
        <f t="shared" si="1"/>
        <v>0</v>
      </c>
    </row>
    <row r="37" spans="1:14" x14ac:dyDescent="0.25">
      <c r="A37" s="1">
        <v>105433</v>
      </c>
      <c r="B37" s="21">
        <v>45473</v>
      </c>
      <c r="C37" s="33">
        <v>28338887.59</v>
      </c>
      <c r="G37" s="34"/>
      <c r="H37" s="34"/>
      <c r="I37" s="34"/>
      <c r="J37" s="3">
        <v>15539731.503861241</v>
      </c>
      <c r="K37" s="3">
        <v>57602.97915228334</v>
      </c>
      <c r="L37" s="3">
        <v>12741553.10698648</v>
      </c>
      <c r="M37" s="4">
        <f t="shared" si="2"/>
        <v>28338887.590000004</v>
      </c>
      <c r="N37" s="4">
        <f t="shared" si="1"/>
        <v>0</v>
      </c>
    </row>
    <row r="38" spans="1:14" x14ac:dyDescent="0.25">
      <c r="A38" s="1"/>
      <c r="B38" s="2"/>
      <c r="C38" s="33"/>
      <c r="G38" s="34"/>
      <c r="H38" s="34"/>
      <c r="I38" s="34"/>
      <c r="J38" s="3"/>
      <c r="K38" s="3"/>
      <c r="L38" s="3"/>
      <c r="M38" s="4"/>
      <c r="N38" s="4"/>
    </row>
    <row r="39" spans="1:14" x14ac:dyDescent="0.25">
      <c r="A39" s="5"/>
      <c r="B39" s="6"/>
      <c r="J39" s="7"/>
    </row>
    <row r="40" spans="1:14" x14ac:dyDescent="0.25">
      <c r="A40" s="19" t="s">
        <v>8</v>
      </c>
      <c r="B40" s="8">
        <f>COUNT(B8:B38)</f>
        <v>30</v>
      </c>
      <c r="C40" s="4">
        <f>AVERAGE(C8:C38)</f>
        <v>28170224.542000007</v>
      </c>
      <c r="J40" s="4">
        <f>AVERAGE(J8:J38)</f>
        <v>15447244.511483047</v>
      </c>
      <c r="K40" s="4">
        <f>AVERAGE(K8:K38)</f>
        <v>57260.146569075914</v>
      </c>
      <c r="L40" s="4">
        <f>AVERAGE(L8:L38)</f>
        <v>12665719.883947879</v>
      </c>
      <c r="M40" s="4">
        <f>SUM(J40:L40)</f>
        <v>28170224.542000003</v>
      </c>
      <c r="N40" s="4">
        <f>M40-C40</f>
        <v>0</v>
      </c>
    </row>
    <row r="41" spans="1:14" x14ac:dyDescent="0.25">
      <c r="A41" s="19" t="s">
        <v>9</v>
      </c>
      <c r="B41" s="8">
        <v>1.62</v>
      </c>
      <c r="C41" s="9">
        <f>+C40*$B$42</f>
        <v>38029.803131700013</v>
      </c>
      <c r="D41" s="10">
        <f>C41*1.16</f>
        <v>44114.571632772015</v>
      </c>
      <c r="J41" s="20">
        <f>(+J40*$B$42)</f>
        <v>20853.780090502114</v>
      </c>
      <c r="K41" s="20">
        <f>(+K40*$B$42)</f>
        <v>77.301197868252487</v>
      </c>
      <c r="L41" s="20">
        <f>(+L40*$B$42)</f>
        <v>17098.721843329637</v>
      </c>
      <c r="M41" s="4">
        <f>SUM(J41:L41)</f>
        <v>38029.803131699999</v>
      </c>
      <c r="N41" s="4">
        <f>+C41/M41</f>
        <v>1.0000000000000004</v>
      </c>
    </row>
    <row r="42" spans="1:14" x14ac:dyDescent="0.25">
      <c r="A42" s="19" t="s">
        <v>10</v>
      </c>
      <c r="B42" s="11">
        <f>B41/360*B40/100</f>
        <v>1.3500000000000001E-3</v>
      </c>
      <c r="D42" s="10">
        <f>D41-C41</f>
        <v>6084.7685010720015</v>
      </c>
      <c r="M42" s="32">
        <f>C41/M41</f>
        <v>1.0000000000000004</v>
      </c>
    </row>
    <row r="46" spans="1:14" x14ac:dyDescent="0.25">
      <c r="C46" s="10">
        <f>+C41+'JUL24'!C41+'AGO24'!C41</f>
        <v>118291.25585745001</v>
      </c>
    </row>
  </sheetData>
  <mergeCells count="1">
    <mergeCell ref="A6:C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3D7FD-1AF6-4724-B09C-2D78C7F2FA5D}">
  <dimension ref="A1:N42"/>
  <sheetViews>
    <sheetView workbookViewId="0">
      <selection activeCell="J8" sqref="J8"/>
    </sheetView>
  </sheetViews>
  <sheetFormatPr baseColWidth="10" defaultRowHeight="15" x14ac:dyDescent="0.25"/>
  <cols>
    <col min="3" max="3" width="15.140625" bestFit="1" customWidth="1"/>
    <col min="6" max="6" width="14.140625" bestFit="1" customWidth="1"/>
    <col min="8" max="9" width="14.140625" bestFit="1" customWidth="1"/>
    <col min="10" max="12" width="17" bestFit="1" customWidth="1"/>
    <col min="13" max="14" width="15.140625" bestFit="1" customWidth="1"/>
  </cols>
  <sheetData>
    <row r="1" spans="1:14" x14ac:dyDescent="0.25">
      <c r="D1" s="38" t="s">
        <v>15</v>
      </c>
      <c r="E1" s="35">
        <v>45473</v>
      </c>
      <c r="F1" s="36">
        <v>15576607.3191</v>
      </c>
      <c r="G1" s="36">
        <v>56795.0746</v>
      </c>
      <c r="H1" s="36">
        <v>12671188.146299999</v>
      </c>
      <c r="I1" s="37">
        <f>+F1+G1+H1</f>
        <v>28304590.539999999</v>
      </c>
    </row>
    <row r="2" spans="1:14" x14ac:dyDescent="0.25">
      <c r="D2" s="38" t="s">
        <v>16</v>
      </c>
      <c r="E2" s="35">
        <v>45504</v>
      </c>
      <c r="F2" s="36">
        <v>15865800.970799999</v>
      </c>
      <c r="G2" s="36">
        <v>56293.67</v>
      </c>
      <c r="H2" s="36">
        <v>12858360.8442</v>
      </c>
      <c r="I2" s="37">
        <f>+F2+G2+H2</f>
        <v>28780455.484999999</v>
      </c>
    </row>
    <row r="3" spans="1:14" x14ac:dyDescent="0.25">
      <c r="E3" s="38"/>
      <c r="F3" s="37"/>
    </row>
    <row r="4" spans="1:14" x14ac:dyDescent="0.25">
      <c r="E4" s="35">
        <f>+E1</f>
        <v>45473</v>
      </c>
      <c r="F4" s="13">
        <f t="shared" ref="F4:H5" si="0">+F1/$I1</f>
        <v>0.55032088512593624</v>
      </c>
      <c r="G4" s="13">
        <f t="shared" si="0"/>
        <v>2.0065676102870062E-3</v>
      </c>
      <c r="H4" s="13">
        <f t="shared" si="0"/>
        <v>0.44767254726377681</v>
      </c>
      <c r="I4" s="12">
        <f>+F4+G4+H4</f>
        <v>1</v>
      </c>
    </row>
    <row r="5" spans="1:14" x14ac:dyDescent="0.25">
      <c r="E5" s="35">
        <f>+E2</f>
        <v>45504</v>
      </c>
      <c r="F5" s="13">
        <f t="shared" si="0"/>
        <v>0.55126997482958706</v>
      </c>
      <c r="G5" s="13">
        <f t="shared" si="0"/>
        <v>1.955968696511406E-3</v>
      </c>
      <c r="H5" s="13">
        <f t="shared" si="0"/>
        <v>0.44677405647390156</v>
      </c>
      <c r="I5" s="12">
        <f>+F5+G5+H5</f>
        <v>1</v>
      </c>
    </row>
    <row r="6" spans="1:14" x14ac:dyDescent="0.25">
      <c r="A6" s="46" t="s">
        <v>0</v>
      </c>
      <c r="B6" s="46"/>
      <c r="C6" s="46"/>
      <c r="E6" s="39" t="s">
        <v>17</v>
      </c>
      <c r="F6" s="40">
        <f>AVERAGE(F4:F5)</f>
        <v>0.55079542997776165</v>
      </c>
      <c r="G6" s="40">
        <f>AVERAGE(G4:G5)</f>
        <v>1.9812681533992061E-3</v>
      </c>
      <c r="H6" s="40">
        <f>AVERAGE(H4:H5)</f>
        <v>0.44722330186883918</v>
      </c>
      <c r="I6" s="12"/>
    </row>
    <row r="7" spans="1:14" x14ac:dyDescent="0.25">
      <c r="A7" s="16" t="s">
        <v>1</v>
      </c>
      <c r="B7" s="17" t="s">
        <v>2</v>
      </c>
      <c r="C7" s="18" t="s">
        <v>3</v>
      </c>
      <c r="E7" s="35"/>
      <c r="F7" s="13"/>
      <c r="G7" s="13"/>
      <c r="H7" s="13"/>
      <c r="I7" s="12"/>
      <c r="J7" s="28" t="s">
        <v>4</v>
      </c>
      <c r="K7" s="14" t="s">
        <v>5</v>
      </c>
      <c r="L7" s="15" t="s">
        <v>6</v>
      </c>
    </row>
    <row r="8" spans="1:14" x14ac:dyDescent="0.25">
      <c r="A8" s="1">
        <v>105433</v>
      </c>
      <c r="B8" s="2">
        <v>45474</v>
      </c>
      <c r="C8" s="33">
        <v>28354830.079999998</v>
      </c>
      <c r="J8" s="3">
        <v>15617710.825859969</v>
      </c>
      <c r="K8" s="3">
        <v>56178.521832549857</v>
      </c>
      <c r="L8" s="3">
        <v>12680940.732307481</v>
      </c>
      <c r="M8" s="4">
        <f>SUM(J8:L8)</f>
        <v>28354830.079999998</v>
      </c>
      <c r="N8" s="4">
        <f>+C8-M8</f>
        <v>0</v>
      </c>
    </row>
    <row r="9" spans="1:14" x14ac:dyDescent="0.25">
      <c r="A9" s="25">
        <v>105433</v>
      </c>
      <c r="B9" s="2">
        <v>45475</v>
      </c>
      <c r="C9" s="33">
        <v>28270303.579999998</v>
      </c>
      <c r="J9" s="3">
        <v>15571154.015947953</v>
      </c>
      <c r="K9" s="3">
        <v>56011.052169981565</v>
      </c>
      <c r="L9" s="3">
        <v>12643138.511882065</v>
      </c>
      <c r="M9" s="4">
        <f>SUM(J9:L9)</f>
        <v>28270303.579999998</v>
      </c>
      <c r="N9" s="4">
        <f t="shared" ref="N9:N37" si="1">+C9-M9</f>
        <v>0</v>
      </c>
    </row>
    <row r="10" spans="1:14" x14ac:dyDescent="0.25">
      <c r="A10" s="25">
        <v>105433</v>
      </c>
      <c r="B10" s="2">
        <v>45476</v>
      </c>
      <c r="C10" s="33">
        <v>28262802.030000001</v>
      </c>
      <c r="J10" s="3">
        <v>15567022.196490206</v>
      </c>
      <c r="K10" s="3">
        <v>55996.18958786544</v>
      </c>
      <c r="L10" s="3">
        <v>12639783.643921932</v>
      </c>
      <c r="M10" s="4">
        <f>SUM(J10:L10)</f>
        <v>28262802.030000001</v>
      </c>
      <c r="N10" s="4">
        <f t="shared" si="1"/>
        <v>0</v>
      </c>
    </row>
    <row r="11" spans="1:14" x14ac:dyDescent="0.25">
      <c r="A11" s="25">
        <v>105433</v>
      </c>
      <c r="B11" s="2">
        <v>45477</v>
      </c>
      <c r="C11" s="33">
        <v>28184374.93</v>
      </c>
      <c r="J11" s="3">
        <v>15523824.908223797</v>
      </c>
      <c r="K11" s="3">
        <v>55840.804472271979</v>
      </c>
      <c r="L11" s="3">
        <v>12604709.217303934</v>
      </c>
      <c r="M11" s="4">
        <f t="shared" ref="M11:M38" si="2">SUM(J11:L11)</f>
        <v>28184374.93</v>
      </c>
      <c r="N11" s="4">
        <f t="shared" si="1"/>
        <v>0</v>
      </c>
    </row>
    <row r="12" spans="1:14" x14ac:dyDescent="0.25">
      <c r="A12" s="25">
        <v>105433</v>
      </c>
      <c r="B12" s="2">
        <v>45478</v>
      </c>
      <c r="C12" s="33">
        <v>28209245.140000001</v>
      </c>
      <c r="J12" s="3">
        <v>15537523.306234384</v>
      </c>
      <c r="K12" s="3">
        <v>55890.079027313332</v>
      </c>
      <c r="L12" s="3">
        <v>12615831.754738305</v>
      </c>
      <c r="M12" s="4">
        <f t="shared" si="2"/>
        <v>28209245.140000001</v>
      </c>
      <c r="N12" s="4">
        <f t="shared" si="1"/>
        <v>0</v>
      </c>
    </row>
    <row r="13" spans="1:14" x14ac:dyDescent="0.25">
      <c r="A13" s="25">
        <v>105433</v>
      </c>
      <c r="B13" s="21">
        <v>45479</v>
      </c>
      <c r="C13" s="33">
        <v>28209245.140000001</v>
      </c>
      <c r="E13" t="s">
        <v>7</v>
      </c>
      <c r="J13" s="3">
        <v>15537523.306234384</v>
      </c>
      <c r="K13" s="3">
        <v>55890.079027313332</v>
      </c>
      <c r="L13" s="3">
        <v>12615831.754738305</v>
      </c>
      <c r="M13" s="4">
        <f t="shared" si="2"/>
        <v>28209245.140000001</v>
      </c>
      <c r="N13" s="4">
        <f t="shared" si="1"/>
        <v>0</v>
      </c>
    </row>
    <row r="14" spans="1:14" x14ac:dyDescent="0.25">
      <c r="A14" s="25">
        <v>105433</v>
      </c>
      <c r="B14" s="21">
        <v>45480</v>
      </c>
      <c r="C14" s="33">
        <v>28209245.140000001</v>
      </c>
      <c r="J14" s="3">
        <v>15537523.306234384</v>
      </c>
      <c r="K14" s="3">
        <v>55890.079027313332</v>
      </c>
      <c r="L14" s="3">
        <v>12615831.754738305</v>
      </c>
      <c r="M14" s="4">
        <f t="shared" si="2"/>
        <v>28209245.140000001</v>
      </c>
      <c r="N14" s="4">
        <f t="shared" si="1"/>
        <v>0</v>
      </c>
    </row>
    <row r="15" spans="1:14" x14ac:dyDescent="0.25">
      <c r="A15" s="25">
        <v>105433</v>
      </c>
      <c r="B15" s="2">
        <v>45481</v>
      </c>
      <c r="C15" s="33">
        <v>28217620.370000001</v>
      </c>
      <c r="J15" s="3">
        <v>15542136.344643397</v>
      </c>
      <c r="K15" s="3">
        <v>55906.672603789724</v>
      </c>
      <c r="L15" s="3">
        <v>12619577.352752816</v>
      </c>
      <c r="M15" s="4">
        <f t="shared" si="2"/>
        <v>28217620.370000005</v>
      </c>
      <c r="N15" s="4">
        <f t="shared" si="1"/>
        <v>0</v>
      </c>
    </row>
    <row r="16" spans="1:14" x14ac:dyDescent="0.25">
      <c r="A16" s="25">
        <v>105433</v>
      </c>
      <c r="B16" s="2">
        <v>45482</v>
      </c>
      <c r="C16" s="33">
        <v>28182063.98</v>
      </c>
      <c r="J16" s="3">
        <v>15522552.04752489</v>
      </c>
      <c r="K16" s="3">
        <v>55836.225860632883</v>
      </c>
      <c r="L16" s="3">
        <v>12603675.706614479</v>
      </c>
      <c r="M16" s="4">
        <f t="shared" si="2"/>
        <v>28182063.980000004</v>
      </c>
      <c r="N16" s="4">
        <f t="shared" si="1"/>
        <v>0</v>
      </c>
    </row>
    <row r="17" spans="1:14" x14ac:dyDescent="0.25">
      <c r="A17" s="25">
        <v>105433</v>
      </c>
      <c r="B17" s="2">
        <v>45483</v>
      </c>
      <c r="C17" s="33">
        <v>28211553.300000001</v>
      </c>
      <c r="J17" s="3">
        <v>15538794.630214041</v>
      </c>
      <c r="K17" s="3">
        <v>55894.65211121428</v>
      </c>
      <c r="L17" s="3">
        <v>12616864.017674746</v>
      </c>
      <c r="M17" s="4">
        <f t="shared" si="2"/>
        <v>28211553.300000001</v>
      </c>
      <c r="N17" s="4">
        <f t="shared" si="1"/>
        <v>0</v>
      </c>
    </row>
    <row r="18" spans="1:14" x14ac:dyDescent="0.25">
      <c r="A18" s="25">
        <v>105433</v>
      </c>
      <c r="B18" s="2">
        <v>45484</v>
      </c>
      <c r="C18" s="33">
        <v>28241699.050000001</v>
      </c>
      <c r="J18" s="3">
        <v>15555398.771547293</v>
      </c>
      <c r="K18" s="3">
        <v>55954.378925649617</v>
      </c>
      <c r="L18" s="3">
        <v>12630345.89952706</v>
      </c>
      <c r="M18" s="4">
        <f t="shared" si="2"/>
        <v>28241699.050000004</v>
      </c>
      <c r="N18" s="4">
        <f t="shared" si="1"/>
        <v>0</v>
      </c>
    </row>
    <row r="19" spans="1:14" x14ac:dyDescent="0.25">
      <c r="A19" s="25">
        <v>105433</v>
      </c>
      <c r="B19" s="2">
        <v>45485</v>
      </c>
      <c r="C19" s="33">
        <v>28239343.859999999</v>
      </c>
      <c r="J19" s="3">
        <v>15554101.543658564</v>
      </c>
      <c r="K19" s="3">
        <v>55949.71266270741</v>
      </c>
      <c r="L19" s="3">
        <v>12629292.603678729</v>
      </c>
      <c r="M19" s="4">
        <f t="shared" si="2"/>
        <v>28239343.859999999</v>
      </c>
      <c r="N19" s="4">
        <f t="shared" si="1"/>
        <v>0</v>
      </c>
    </row>
    <row r="20" spans="1:14" x14ac:dyDescent="0.25">
      <c r="A20" s="25">
        <v>105433</v>
      </c>
      <c r="B20" s="21">
        <v>45486</v>
      </c>
      <c r="C20" s="33">
        <v>28239343.859999999</v>
      </c>
      <c r="J20" s="3">
        <v>15554101.543658564</v>
      </c>
      <c r="K20" s="3">
        <v>55949.71266270741</v>
      </c>
      <c r="L20" s="3">
        <v>12629292.603678729</v>
      </c>
      <c r="M20" s="4">
        <f t="shared" si="2"/>
        <v>28239343.859999999</v>
      </c>
      <c r="N20" s="4">
        <f t="shared" si="1"/>
        <v>0</v>
      </c>
    </row>
    <row r="21" spans="1:14" x14ac:dyDescent="0.25">
      <c r="A21" s="25">
        <v>105433</v>
      </c>
      <c r="B21" s="21">
        <v>45487</v>
      </c>
      <c r="C21" s="33">
        <v>28239343.859999999</v>
      </c>
      <c r="G21" s="34"/>
      <c r="H21" s="34"/>
      <c r="I21" s="34"/>
      <c r="J21" s="3">
        <v>15554101.543658564</v>
      </c>
      <c r="K21" s="3">
        <v>55949.71266270741</v>
      </c>
      <c r="L21" s="3">
        <v>12629292.603678729</v>
      </c>
      <c r="M21" s="4">
        <f t="shared" si="2"/>
        <v>28239343.859999999</v>
      </c>
      <c r="N21" s="4">
        <f t="shared" si="1"/>
        <v>0</v>
      </c>
    </row>
    <row r="22" spans="1:14" x14ac:dyDescent="0.25">
      <c r="A22" s="25">
        <v>105433</v>
      </c>
      <c r="B22" s="2">
        <v>45488</v>
      </c>
      <c r="C22" s="33">
        <v>28311439.18</v>
      </c>
      <c r="G22" s="34"/>
      <c r="H22" s="34"/>
      <c r="I22" s="34"/>
      <c r="J22" s="3">
        <v>15593811.316437347</v>
      </c>
      <c r="K22" s="3">
        <v>56092.552824232531</v>
      </c>
      <c r="L22" s="3">
        <v>12661535.31073842</v>
      </c>
      <c r="M22" s="4">
        <f t="shared" si="2"/>
        <v>28311439.18</v>
      </c>
      <c r="N22" s="4">
        <f t="shared" si="1"/>
        <v>0</v>
      </c>
    </row>
    <row r="23" spans="1:14" x14ac:dyDescent="0.25">
      <c r="A23" s="25">
        <v>105433</v>
      </c>
      <c r="B23" s="2">
        <v>45489</v>
      </c>
      <c r="C23" s="33">
        <v>28311934.77</v>
      </c>
      <c r="G23" s="34"/>
      <c r="H23" s="34"/>
      <c r="I23" s="34"/>
      <c r="J23" s="3">
        <v>15594084.285144491</v>
      </c>
      <c r="K23" s="3">
        <v>56093.534720916679</v>
      </c>
      <c r="L23" s="3">
        <v>12661756.950134594</v>
      </c>
      <c r="M23" s="4">
        <f t="shared" si="2"/>
        <v>28311934.770000003</v>
      </c>
      <c r="N23" s="4">
        <f t="shared" si="1"/>
        <v>0</v>
      </c>
    </row>
    <row r="24" spans="1:14" x14ac:dyDescent="0.25">
      <c r="A24" s="25">
        <v>105433</v>
      </c>
      <c r="B24" s="2">
        <v>45490</v>
      </c>
      <c r="C24" s="33">
        <v>28356071.530000001</v>
      </c>
      <c r="G24" s="34"/>
      <c r="H24" s="34"/>
      <c r="I24" s="34"/>
      <c r="J24" s="3">
        <v>15618394.610846516</v>
      </c>
      <c r="K24" s="3">
        <v>56180.981477898902</v>
      </c>
      <c r="L24" s="3">
        <v>12681495.937675588</v>
      </c>
      <c r="M24" s="4">
        <f t="shared" si="2"/>
        <v>28356071.530000001</v>
      </c>
      <c r="N24" s="4">
        <f t="shared" si="1"/>
        <v>0</v>
      </c>
    </row>
    <row r="25" spans="1:14" x14ac:dyDescent="0.25">
      <c r="A25" s="25">
        <v>105433</v>
      </c>
      <c r="B25" s="2">
        <v>45491</v>
      </c>
      <c r="C25" s="33">
        <v>28454328.280000001</v>
      </c>
      <c r="G25" s="34"/>
      <c r="H25" s="34"/>
      <c r="I25" s="34"/>
      <c r="J25" s="3">
        <v>15672513.979710983</v>
      </c>
      <c r="K25" s="3">
        <v>56375.654447530411</v>
      </c>
      <c r="L25" s="3">
        <v>12725438.645841489</v>
      </c>
      <c r="M25" s="4">
        <f t="shared" si="2"/>
        <v>28454328.280000001</v>
      </c>
      <c r="N25" s="4">
        <f t="shared" si="1"/>
        <v>0</v>
      </c>
    </row>
    <row r="26" spans="1:14" x14ac:dyDescent="0.25">
      <c r="A26" s="25">
        <v>105433</v>
      </c>
      <c r="B26" s="2">
        <v>45492</v>
      </c>
      <c r="C26" s="33">
        <v>28491837.780000001</v>
      </c>
      <c r="G26" s="34"/>
      <c r="H26" s="34"/>
      <c r="I26" s="34"/>
      <c r="J26" s="3">
        <v>15693174.040891735</v>
      </c>
      <c r="K26" s="3">
        <v>56449.97082533034</v>
      </c>
      <c r="L26" s="3">
        <v>12742213.768282937</v>
      </c>
      <c r="M26" s="4">
        <f t="shared" si="2"/>
        <v>28491837.780000001</v>
      </c>
      <c r="N26" s="4">
        <f t="shared" si="1"/>
        <v>0</v>
      </c>
    </row>
    <row r="27" spans="1:14" x14ac:dyDescent="0.25">
      <c r="A27" s="25">
        <v>105433</v>
      </c>
      <c r="B27" s="21">
        <v>45493</v>
      </c>
      <c r="C27" s="33">
        <v>28491837.780000001</v>
      </c>
      <c r="G27" s="10"/>
      <c r="J27" s="3">
        <v>15693174.040891735</v>
      </c>
      <c r="K27" s="3">
        <v>56449.97082533034</v>
      </c>
      <c r="L27" s="3">
        <v>12742213.768282937</v>
      </c>
      <c r="M27" s="4">
        <f t="shared" si="2"/>
        <v>28491837.780000001</v>
      </c>
      <c r="N27" s="4">
        <f t="shared" si="1"/>
        <v>0</v>
      </c>
    </row>
    <row r="28" spans="1:14" x14ac:dyDescent="0.25">
      <c r="A28" s="25">
        <v>105433</v>
      </c>
      <c r="B28" s="21">
        <v>45494</v>
      </c>
      <c r="C28" s="33">
        <v>28491837.780000001</v>
      </c>
      <c r="G28" s="34"/>
      <c r="H28" s="34"/>
      <c r="I28" s="34"/>
      <c r="J28" s="3">
        <v>15693174.040891735</v>
      </c>
      <c r="K28" s="3">
        <v>56449.97082533034</v>
      </c>
      <c r="L28" s="3">
        <v>12742213.768282937</v>
      </c>
      <c r="M28" s="4">
        <f t="shared" si="2"/>
        <v>28491837.780000001</v>
      </c>
      <c r="N28" s="4">
        <f t="shared" si="1"/>
        <v>0</v>
      </c>
    </row>
    <row r="29" spans="1:14" x14ac:dyDescent="0.25">
      <c r="A29" s="25">
        <v>105433</v>
      </c>
      <c r="B29" s="2">
        <v>45495</v>
      </c>
      <c r="C29" s="33">
        <v>28492552.550000001</v>
      </c>
      <c r="G29" s="34"/>
      <c r="H29" s="34"/>
      <c r="I29" s="34"/>
      <c r="J29" s="3">
        <v>15693567.73294122</v>
      </c>
      <c r="K29" s="3">
        <v>56451.38697636834</v>
      </c>
      <c r="L29" s="3">
        <v>12742533.430082414</v>
      </c>
      <c r="M29" s="4">
        <f t="shared" si="2"/>
        <v>28492552.550000004</v>
      </c>
      <c r="N29" s="4">
        <f t="shared" si="1"/>
        <v>0</v>
      </c>
    </row>
    <row r="30" spans="1:14" x14ac:dyDescent="0.25">
      <c r="A30" s="25">
        <v>105433</v>
      </c>
      <c r="B30" s="2">
        <v>45496</v>
      </c>
      <c r="C30" s="33">
        <v>28511113.170000002</v>
      </c>
      <c r="G30" s="34"/>
      <c r="H30" s="34"/>
      <c r="I30" s="34"/>
      <c r="J30" s="3">
        <v>15703790.837614775</v>
      </c>
      <c r="K30" s="3">
        <v>56488.160541681689</v>
      </c>
      <c r="L30" s="3">
        <v>12750834.171843547</v>
      </c>
      <c r="M30" s="4">
        <f t="shared" si="2"/>
        <v>28511113.170000002</v>
      </c>
      <c r="N30" s="4">
        <f t="shared" si="1"/>
        <v>0</v>
      </c>
    </row>
    <row r="31" spans="1:14" x14ac:dyDescent="0.25">
      <c r="A31" s="25">
        <v>105433</v>
      </c>
      <c r="B31" s="2">
        <v>45497</v>
      </c>
      <c r="C31" s="33">
        <v>28597553.850000001</v>
      </c>
      <c r="G31" s="34"/>
      <c r="H31" s="34"/>
      <c r="I31" s="34"/>
      <c r="J31" s="3">
        <v>15751401.969122944</v>
      </c>
      <c r="K31" s="3">
        <v>56659.422708123857</v>
      </c>
      <c r="L31" s="3">
        <v>12789492.458168935</v>
      </c>
      <c r="M31" s="4">
        <f t="shared" si="2"/>
        <v>28597553.850000001</v>
      </c>
      <c r="N31" s="4">
        <f t="shared" si="1"/>
        <v>0</v>
      </c>
    </row>
    <row r="32" spans="1:14" x14ac:dyDescent="0.25">
      <c r="A32" s="25">
        <v>105433</v>
      </c>
      <c r="B32" s="2">
        <v>45498</v>
      </c>
      <c r="C32" s="33">
        <v>28683136.190000001</v>
      </c>
      <c r="G32" s="34"/>
      <c r="H32" s="34"/>
      <c r="I32" s="34"/>
      <c r="J32" s="3">
        <v>15798540.330881746</v>
      </c>
      <c r="K32" s="3">
        <v>56828.984272859241</v>
      </c>
      <c r="L32" s="3">
        <v>12827766.874845397</v>
      </c>
      <c r="M32" s="4">
        <f t="shared" si="2"/>
        <v>28683136.190000005</v>
      </c>
      <c r="N32" s="4">
        <f t="shared" si="1"/>
        <v>0</v>
      </c>
    </row>
    <row r="33" spans="1:14" x14ac:dyDescent="0.25">
      <c r="A33" s="25">
        <v>105433</v>
      </c>
      <c r="B33" s="2">
        <v>45499</v>
      </c>
      <c r="C33" s="33">
        <v>28656839.309999999</v>
      </c>
      <c r="G33" s="34"/>
      <c r="H33" s="34"/>
      <c r="I33" s="34"/>
      <c r="J33" s="3">
        <v>15784056.129555073</v>
      </c>
      <c r="K33" s="3">
        <v>56776.883101981475</v>
      </c>
      <c r="L33" s="3">
        <v>12816006.297342947</v>
      </c>
      <c r="M33" s="4">
        <f t="shared" si="2"/>
        <v>28656839.310000002</v>
      </c>
      <c r="N33" s="4">
        <f t="shared" si="1"/>
        <v>0</v>
      </c>
    </row>
    <row r="34" spans="1:14" x14ac:dyDescent="0.25">
      <c r="A34" s="25">
        <v>105433</v>
      </c>
      <c r="B34" s="21">
        <v>45500</v>
      </c>
      <c r="C34" s="33">
        <v>28656839.309999999</v>
      </c>
      <c r="J34" s="3">
        <v>15784056.129555073</v>
      </c>
      <c r="K34" s="3">
        <v>56776.883101981475</v>
      </c>
      <c r="L34" s="3">
        <v>12816006.297342947</v>
      </c>
      <c r="M34" s="4">
        <f t="shared" si="2"/>
        <v>28656839.310000002</v>
      </c>
      <c r="N34" s="4">
        <f t="shared" si="1"/>
        <v>0</v>
      </c>
    </row>
    <row r="35" spans="1:14" x14ac:dyDescent="0.25">
      <c r="A35" s="25">
        <v>105433</v>
      </c>
      <c r="B35" s="21">
        <v>45501</v>
      </c>
      <c r="C35" s="33">
        <v>28656839.309999999</v>
      </c>
      <c r="G35" s="34"/>
      <c r="H35" s="34"/>
      <c r="I35" s="34"/>
      <c r="J35" s="3">
        <v>15784056.129555073</v>
      </c>
      <c r="K35" s="3">
        <v>56776.883101981475</v>
      </c>
      <c r="L35" s="3">
        <v>12816006.297342947</v>
      </c>
      <c r="M35" s="4">
        <f t="shared" si="2"/>
        <v>28656839.310000002</v>
      </c>
      <c r="N35" s="4">
        <f t="shared" si="1"/>
        <v>0</v>
      </c>
    </row>
    <row r="36" spans="1:14" x14ac:dyDescent="0.25">
      <c r="A36" s="1">
        <v>105433</v>
      </c>
      <c r="B36" s="2">
        <v>45502</v>
      </c>
      <c r="C36" s="33">
        <v>28726946.050000001</v>
      </c>
      <c r="G36" s="34"/>
      <c r="H36" s="34"/>
      <c r="I36" s="34"/>
      <c r="J36" s="3">
        <v>15822670.601557713</v>
      </c>
      <c r="K36" s="3">
        <v>56915.783353282117</v>
      </c>
      <c r="L36" s="3">
        <v>12847359.665089007</v>
      </c>
      <c r="M36" s="4">
        <f t="shared" si="2"/>
        <v>28726946.050000004</v>
      </c>
      <c r="N36" s="4">
        <f t="shared" si="1"/>
        <v>0</v>
      </c>
    </row>
    <row r="37" spans="1:14" x14ac:dyDescent="0.25">
      <c r="A37" s="1">
        <v>105434</v>
      </c>
      <c r="B37" s="2">
        <v>45503</v>
      </c>
      <c r="C37" s="33">
        <v>28827612.670000002</v>
      </c>
      <c r="G37" s="34"/>
      <c r="H37" s="34"/>
      <c r="I37" s="34"/>
      <c r="J37" s="3">
        <v>15878117.31580502</v>
      </c>
      <c r="K37" s="3">
        <v>57115.230921598464</v>
      </c>
      <c r="L37" s="3">
        <v>12892380.123273384</v>
      </c>
      <c r="M37" s="4">
        <f t="shared" si="2"/>
        <v>28827612.670000002</v>
      </c>
      <c r="N37" s="4">
        <f t="shared" si="1"/>
        <v>0</v>
      </c>
    </row>
    <row r="38" spans="1:14" x14ac:dyDescent="0.25">
      <c r="A38" s="1">
        <v>105435</v>
      </c>
      <c r="B38" s="2">
        <v>45504</v>
      </c>
      <c r="C38" s="33">
        <v>28781250.629999999</v>
      </c>
      <c r="G38" s="34"/>
      <c r="H38" s="34"/>
      <c r="I38" s="34"/>
      <c r="J38" s="3">
        <v>15852581.316048574</v>
      </c>
      <c r="K38" s="3">
        <v>57023.375288219839</v>
      </c>
      <c r="L38" s="3">
        <v>12871645.938663207</v>
      </c>
      <c r="M38" s="4">
        <f t="shared" si="2"/>
        <v>28781250.630000003</v>
      </c>
      <c r="N38" s="4"/>
    </row>
    <row r="39" spans="1:14" x14ac:dyDescent="0.25">
      <c r="A39" s="5"/>
      <c r="B39" s="6"/>
      <c r="J39" s="7"/>
    </row>
    <row r="40" spans="1:14" x14ac:dyDescent="0.25">
      <c r="A40" s="19" t="s">
        <v>8</v>
      </c>
      <c r="B40" s="8">
        <f>COUNT(B8:B38)</f>
        <v>31</v>
      </c>
      <c r="C40" s="4">
        <f>AVERAGE(C8:C38)</f>
        <v>28411967.240645148</v>
      </c>
      <c r="J40" s="4">
        <f>AVERAGE(J8:J38)</f>
        <v>15649181.712825226</v>
      </c>
      <c r="K40" s="4">
        <f>AVERAGE(K8:K38)</f>
        <v>56291.725869311769</v>
      </c>
      <c r="L40" s="4">
        <f>AVERAGE(L8:L38)</f>
        <v>12706493.801950622</v>
      </c>
      <c r="M40" s="4">
        <f>SUM(J40:L40)</f>
        <v>28411967.240645159</v>
      </c>
      <c r="N40" s="4">
        <f>M40-C40</f>
        <v>0</v>
      </c>
    </row>
    <row r="41" spans="1:14" x14ac:dyDescent="0.25">
      <c r="A41" s="19" t="s">
        <v>9</v>
      </c>
      <c r="B41" s="8">
        <v>1.62</v>
      </c>
      <c r="C41" s="9">
        <f>+C40*$B$42</f>
        <v>39634.694300699986</v>
      </c>
      <c r="D41" s="10">
        <f>C41*1.16</f>
        <v>45976.245388811978</v>
      </c>
      <c r="J41" s="20">
        <f>(+J40*$B$42)</f>
        <v>21830.608489391194</v>
      </c>
      <c r="K41" s="20">
        <f>(+K40*$B$42)</f>
        <v>78.526957587689935</v>
      </c>
      <c r="L41" s="20">
        <f>(+L40*$B$42)</f>
        <v>17725.558853721119</v>
      </c>
      <c r="M41" s="4">
        <f>SUM(J41:L41)</f>
        <v>39634.694300700001</v>
      </c>
      <c r="N41" s="4">
        <f>+C41/M41</f>
        <v>0.99999999999999967</v>
      </c>
    </row>
    <row r="42" spans="1:14" x14ac:dyDescent="0.25">
      <c r="A42" s="19" t="s">
        <v>10</v>
      </c>
      <c r="B42" s="11">
        <f>B41/360*B40/100</f>
        <v>1.3950000000000002E-3</v>
      </c>
      <c r="D42" s="10">
        <f>D41-C41</f>
        <v>6341.5510881119917</v>
      </c>
      <c r="M42" s="32">
        <f>C41/M41</f>
        <v>0.99999999999999967</v>
      </c>
    </row>
  </sheetData>
  <mergeCells count="1">
    <mergeCell ref="A6:C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1AF63-8D8E-4F88-B106-3135845C909C}">
  <dimension ref="A1:N46"/>
  <sheetViews>
    <sheetView topLeftCell="A34" workbookViewId="0">
      <selection activeCell="E1" sqref="E1:I1"/>
    </sheetView>
  </sheetViews>
  <sheetFormatPr baseColWidth="10" defaultRowHeight="15" x14ac:dyDescent="0.25"/>
  <cols>
    <col min="3" max="3" width="15.140625" bestFit="1" customWidth="1"/>
    <col min="6" max="6" width="14.140625" bestFit="1" customWidth="1"/>
    <col min="8" max="9" width="14.140625" bestFit="1" customWidth="1"/>
    <col min="10" max="12" width="17" bestFit="1" customWidth="1"/>
    <col min="13" max="14" width="15.140625" bestFit="1" customWidth="1"/>
  </cols>
  <sheetData>
    <row r="1" spans="1:14" x14ac:dyDescent="0.25">
      <c r="D1" s="38" t="s">
        <v>15</v>
      </c>
      <c r="E1" s="35">
        <v>45504</v>
      </c>
      <c r="F1" s="36">
        <v>15865800.970799999</v>
      </c>
      <c r="G1" s="36">
        <v>56293.67</v>
      </c>
      <c r="H1" s="36">
        <v>12858360.8442</v>
      </c>
      <c r="I1" s="37">
        <f>+F1+G1+H1</f>
        <v>28780455.484999999</v>
      </c>
    </row>
    <row r="2" spans="1:14" x14ac:dyDescent="0.25">
      <c r="D2" s="38" t="s">
        <v>16</v>
      </c>
      <c r="E2" s="35">
        <v>45535</v>
      </c>
      <c r="F2" s="36">
        <v>16388707.939999999</v>
      </c>
      <c r="G2" s="36">
        <v>57026.26</v>
      </c>
      <c r="H2" s="36">
        <v>13177046.630000001</v>
      </c>
      <c r="I2" s="37">
        <f>+F2+G2+H2</f>
        <v>29622780.829999998</v>
      </c>
    </row>
    <row r="3" spans="1:14" x14ac:dyDescent="0.25">
      <c r="E3" s="38"/>
      <c r="F3" s="37"/>
    </row>
    <row r="4" spans="1:14" x14ac:dyDescent="0.25">
      <c r="E4" s="35">
        <f>+E1</f>
        <v>45504</v>
      </c>
      <c r="F4" s="13">
        <f t="shared" ref="F4:H5" si="0">+F1/$I1</f>
        <v>0.55126997482958706</v>
      </c>
      <c r="G4" s="13">
        <f t="shared" si="0"/>
        <v>1.955968696511406E-3</v>
      </c>
      <c r="H4" s="13">
        <f t="shared" si="0"/>
        <v>0.44677405647390156</v>
      </c>
      <c r="I4" s="12">
        <f>+F4+G4+H4</f>
        <v>1</v>
      </c>
    </row>
    <row r="5" spans="1:14" x14ac:dyDescent="0.25">
      <c r="E5" s="35">
        <f>+E2</f>
        <v>45535</v>
      </c>
      <c r="F5" s="13">
        <f t="shared" si="0"/>
        <v>0.55324677430022362</v>
      </c>
      <c r="G5" s="13">
        <f t="shared" si="0"/>
        <v>1.9250812517320308E-3</v>
      </c>
      <c r="H5" s="13">
        <f t="shared" si="0"/>
        <v>0.44482814444804442</v>
      </c>
      <c r="I5" s="12">
        <f>+F5+G5+H5</f>
        <v>1</v>
      </c>
    </row>
    <row r="6" spans="1:14" x14ac:dyDescent="0.25">
      <c r="A6" s="46" t="s">
        <v>0</v>
      </c>
      <c r="B6" s="46"/>
      <c r="C6" s="46"/>
      <c r="E6" s="39" t="s">
        <v>17</v>
      </c>
      <c r="F6" s="40">
        <f>AVERAGE(F4:F5)</f>
        <v>0.55225837456490534</v>
      </c>
      <c r="G6" s="40">
        <f>AVERAGE(G4:G5)</f>
        <v>1.9405249741217185E-3</v>
      </c>
      <c r="H6" s="40">
        <f>AVERAGE(H4:H5)</f>
        <v>0.44580110046097299</v>
      </c>
      <c r="I6" s="12"/>
    </row>
    <row r="7" spans="1:14" x14ac:dyDescent="0.25">
      <c r="A7" s="16" t="s">
        <v>1</v>
      </c>
      <c r="B7" s="17" t="s">
        <v>2</v>
      </c>
      <c r="C7" s="18" t="s">
        <v>3</v>
      </c>
      <c r="E7" s="35"/>
      <c r="F7" s="13"/>
      <c r="G7" s="13"/>
      <c r="H7" s="13"/>
      <c r="I7" s="12"/>
      <c r="J7" s="28" t="s">
        <v>4</v>
      </c>
      <c r="K7" s="14" t="s">
        <v>5</v>
      </c>
      <c r="L7" s="15" t="s">
        <v>6</v>
      </c>
    </row>
    <row r="8" spans="1:14" x14ac:dyDescent="0.25">
      <c r="A8" s="1">
        <v>105433</v>
      </c>
      <c r="B8" s="2">
        <v>45505</v>
      </c>
      <c r="C8" s="33">
        <v>28812795.649999999</v>
      </c>
      <c r="J8" s="3">
        <v>15912107.692339774</v>
      </c>
      <c r="K8" s="3">
        <v>55911.949533090614</v>
      </c>
      <c r="L8" s="3">
        <v>12844776.008127134</v>
      </c>
      <c r="M8" s="4">
        <f>SUM(J8:L8)</f>
        <v>28812795.649999999</v>
      </c>
      <c r="N8" s="4">
        <f>+C8-M8</f>
        <v>0</v>
      </c>
    </row>
    <row r="9" spans="1:14" x14ac:dyDescent="0.25">
      <c r="A9" s="25">
        <v>105433</v>
      </c>
      <c r="B9" s="2">
        <v>45506</v>
      </c>
      <c r="C9" s="33">
        <v>28992189.890000001</v>
      </c>
      <c r="J9" s="3">
        <v>16011179.663728483</v>
      </c>
      <c r="K9" s="3">
        <v>56260.068536024199</v>
      </c>
      <c r="L9" s="3">
        <v>12924750.157735495</v>
      </c>
      <c r="M9" s="4">
        <f>SUM(J9:L9)</f>
        <v>28992189.890000001</v>
      </c>
      <c r="N9" s="4">
        <f t="shared" ref="N9:N37" si="1">+C9-M9</f>
        <v>0</v>
      </c>
    </row>
    <row r="10" spans="1:14" x14ac:dyDescent="0.25">
      <c r="A10" s="25">
        <v>105433</v>
      </c>
      <c r="B10" s="2">
        <v>45507</v>
      </c>
      <c r="C10" s="33">
        <v>28992189.890000001</v>
      </c>
      <c r="J10" s="3">
        <v>16011179.663728483</v>
      </c>
      <c r="K10" s="3">
        <v>56260.068536024199</v>
      </c>
      <c r="L10" s="3">
        <v>12924750.157735495</v>
      </c>
      <c r="M10" s="4">
        <f>SUM(J10:L10)</f>
        <v>28992189.890000001</v>
      </c>
      <c r="N10" s="4">
        <f t="shared" si="1"/>
        <v>0</v>
      </c>
    </row>
    <row r="11" spans="1:14" x14ac:dyDescent="0.25">
      <c r="A11" s="25">
        <v>105433</v>
      </c>
      <c r="B11" s="2">
        <v>45508</v>
      </c>
      <c r="C11" s="33">
        <v>28992189.890000001</v>
      </c>
      <c r="J11" s="3">
        <v>16011179.663728483</v>
      </c>
      <c r="K11" s="3">
        <v>56260.068536024199</v>
      </c>
      <c r="L11" s="3">
        <v>12924750.157735495</v>
      </c>
      <c r="M11" s="4">
        <f t="shared" ref="M11:M38" si="2">SUM(J11:L11)</f>
        <v>28992189.890000001</v>
      </c>
      <c r="N11" s="4">
        <f t="shared" si="1"/>
        <v>0</v>
      </c>
    </row>
    <row r="12" spans="1:14" x14ac:dyDescent="0.25">
      <c r="A12" s="25">
        <v>105433</v>
      </c>
      <c r="B12" s="2">
        <v>45509</v>
      </c>
      <c r="C12" s="33">
        <v>29106426.48</v>
      </c>
      <c r="J12" s="3">
        <v>16074267.777237719</v>
      </c>
      <c r="K12" s="3">
        <v>56481.747491877701</v>
      </c>
      <c r="L12" s="3">
        <v>12975676.955270404</v>
      </c>
      <c r="M12" s="4">
        <f t="shared" si="2"/>
        <v>29106426.48</v>
      </c>
      <c r="N12" s="4">
        <f t="shared" si="1"/>
        <v>0</v>
      </c>
    </row>
    <row r="13" spans="1:14" x14ac:dyDescent="0.25">
      <c r="A13" s="25">
        <v>105433</v>
      </c>
      <c r="B13" s="21">
        <v>45510</v>
      </c>
      <c r="C13" s="33">
        <v>29125017.670000002</v>
      </c>
      <c r="E13" t="s">
        <v>7</v>
      </c>
      <c r="J13" s="3">
        <v>16084534.917608347</v>
      </c>
      <c r="K13" s="3">
        <v>56517.824160371347</v>
      </c>
      <c r="L13" s="3">
        <v>12983964.928231284</v>
      </c>
      <c r="M13" s="4">
        <f t="shared" si="2"/>
        <v>29125017.670000002</v>
      </c>
      <c r="N13" s="4">
        <f t="shared" si="1"/>
        <v>0</v>
      </c>
    </row>
    <row r="14" spans="1:14" x14ac:dyDescent="0.25">
      <c r="A14" s="25">
        <v>105433</v>
      </c>
      <c r="B14" s="21">
        <v>45511</v>
      </c>
      <c r="C14" s="33">
        <v>29025425.16</v>
      </c>
      <c r="J14" s="3">
        <v>16029534.119916908</v>
      </c>
      <c r="K14" s="3">
        <v>56324.56240748088</v>
      </c>
      <c r="L14" s="3">
        <v>12939566.477675613</v>
      </c>
      <c r="M14" s="4">
        <f t="shared" si="2"/>
        <v>29025425.160000004</v>
      </c>
      <c r="N14" s="4">
        <f t="shared" si="1"/>
        <v>0</v>
      </c>
    </row>
    <row r="15" spans="1:14" x14ac:dyDescent="0.25">
      <c r="A15" s="25">
        <v>105433</v>
      </c>
      <c r="B15" s="2">
        <v>45512</v>
      </c>
      <c r="C15" s="33">
        <v>28935857.09</v>
      </c>
      <c r="J15" s="3">
        <v>15980069.403165791</v>
      </c>
      <c r="K15" s="3">
        <v>56150.753330761996</v>
      </c>
      <c r="L15" s="3">
        <v>12899636.933503447</v>
      </c>
      <c r="M15" s="4">
        <f t="shared" si="2"/>
        <v>28935857.09</v>
      </c>
      <c r="N15" s="4">
        <f t="shared" si="1"/>
        <v>0</v>
      </c>
    </row>
    <row r="16" spans="1:14" x14ac:dyDescent="0.25">
      <c r="A16" s="25">
        <v>105433</v>
      </c>
      <c r="B16" s="2">
        <v>45513</v>
      </c>
      <c r="C16" s="33">
        <v>28903281.16</v>
      </c>
      <c r="J16" s="3">
        <v>15962079.073014053</v>
      </c>
      <c r="K16" s="3">
        <v>56087.538925041757</v>
      </c>
      <c r="L16" s="3">
        <v>12885114.548060907</v>
      </c>
      <c r="M16" s="4">
        <f t="shared" si="2"/>
        <v>28903281.160000004</v>
      </c>
      <c r="N16" s="4">
        <f t="shared" si="1"/>
        <v>0</v>
      </c>
    </row>
    <row r="17" spans="1:14" x14ac:dyDescent="0.25">
      <c r="A17" s="25">
        <v>105433</v>
      </c>
      <c r="B17" s="2">
        <v>45514</v>
      </c>
      <c r="C17" s="33">
        <v>28903281.16</v>
      </c>
      <c r="J17" s="3">
        <v>15962079.073014053</v>
      </c>
      <c r="K17" s="3">
        <v>56087.538925041757</v>
      </c>
      <c r="L17" s="3">
        <v>12885114.548060907</v>
      </c>
      <c r="M17" s="4">
        <f t="shared" si="2"/>
        <v>28903281.160000004</v>
      </c>
      <c r="N17" s="4">
        <f t="shared" si="1"/>
        <v>0</v>
      </c>
    </row>
    <row r="18" spans="1:14" x14ac:dyDescent="0.25">
      <c r="A18" s="25">
        <v>105433</v>
      </c>
      <c r="B18" s="2">
        <v>45515</v>
      </c>
      <c r="C18" s="33">
        <v>28903281.16</v>
      </c>
      <c r="J18" s="3">
        <v>15962079.073014053</v>
      </c>
      <c r="K18" s="3">
        <v>56087.538925041757</v>
      </c>
      <c r="L18" s="3">
        <v>12885114.548060907</v>
      </c>
      <c r="M18" s="4">
        <f t="shared" si="2"/>
        <v>28903281.160000004</v>
      </c>
      <c r="N18" s="4">
        <f t="shared" si="1"/>
        <v>0</v>
      </c>
    </row>
    <row r="19" spans="1:14" x14ac:dyDescent="0.25">
      <c r="A19" s="25">
        <v>105433</v>
      </c>
      <c r="B19" s="2">
        <v>45516</v>
      </c>
      <c r="C19" s="33">
        <v>29007726.289999999</v>
      </c>
      <c r="J19" s="3">
        <v>16019759.770739071</v>
      </c>
      <c r="K19" s="3">
        <v>56290.217308232139</v>
      </c>
      <c r="L19" s="3">
        <v>12931676.301952697</v>
      </c>
      <c r="M19" s="4">
        <f t="shared" si="2"/>
        <v>29007726.289999999</v>
      </c>
      <c r="N19" s="4">
        <f t="shared" si="1"/>
        <v>0</v>
      </c>
    </row>
    <row r="20" spans="1:14" x14ac:dyDescent="0.25">
      <c r="A20" s="25">
        <v>105433</v>
      </c>
      <c r="B20" s="21">
        <v>45517</v>
      </c>
      <c r="C20" s="33">
        <v>29029138.899999999</v>
      </c>
      <c r="J20" s="3">
        <v>16031585.063932864</v>
      </c>
      <c r="K20" s="3">
        <v>56331.769012698271</v>
      </c>
      <c r="L20" s="3">
        <v>12941222.067054437</v>
      </c>
      <c r="M20" s="4">
        <f t="shared" si="2"/>
        <v>29029138.899999999</v>
      </c>
      <c r="N20" s="4">
        <f t="shared" si="1"/>
        <v>0</v>
      </c>
    </row>
    <row r="21" spans="1:14" x14ac:dyDescent="0.25">
      <c r="A21" s="25">
        <v>105433</v>
      </c>
      <c r="B21" s="21">
        <v>45518</v>
      </c>
      <c r="C21" s="33">
        <v>28983826.079999998</v>
      </c>
      <c r="G21" s="34"/>
      <c r="H21" s="34"/>
      <c r="I21" s="34"/>
      <c r="J21" s="3">
        <v>16006560.679612711</v>
      </c>
      <c r="K21" s="3">
        <v>56243.838353840387</v>
      </c>
      <c r="L21" s="3">
        <v>12921021.562033448</v>
      </c>
      <c r="M21" s="4">
        <f t="shared" si="2"/>
        <v>28983826.079999998</v>
      </c>
      <c r="N21" s="4">
        <f t="shared" si="1"/>
        <v>0</v>
      </c>
    </row>
    <row r="22" spans="1:14" x14ac:dyDescent="0.25">
      <c r="A22" s="25">
        <v>105433</v>
      </c>
      <c r="B22" s="2">
        <v>45519</v>
      </c>
      <c r="C22" s="33">
        <v>28894713.629999999</v>
      </c>
      <c r="G22" s="34"/>
      <c r="H22" s="34"/>
      <c r="I22" s="34"/>
      <c r="J22" s="3">
        <v>15957347.582822215</v>
      </c>
      <c r="K22" s="3">
        <v>56070.913419110213</v>
      </c>
      <c r="L22" s="3">
        <v>12881295.133758675</v>
      </c>
      <c r="M22" s="4">
        <f t="shared" si="2"/>
        <v>28894713.630000003</v>
      </c>
      <c r="N22" s="4">
        <f t="shared" si="1"/>
        <v>0</v>
      </c>
    </row>
    <row r="23" spans="1:14" x14ac:dyDescent="0.25">
      <c r="A23" s="25">
        <v>105433</v>
      </c>
      <c r="B23" s="2">
        <v>45520</v>
      </c>
      <c r="C23" s="33">
        <v>28873903.91</v>
      </c>
      <c r="G23" s="34"/>
      <c r="H23" s="34"/>
      <c r="I23" s="34"/>
      <c r="J23" s="3">
        <v>15945855.240679866</v>
      </c>
      <c r="K23" s="3">
        <v>56030.531637745735</v>
      </c>
      <c r="L23" s="3">
        <v>12872018.137682391</v>
      </c>
      <c r="M23" s="4">
        <f t="shared" si="2"/>
        <v>28873903.910000004</v>
      </c>
      <c r="N23" s="4">
        <f t="shared" si="1"/>
        <v>0</v>
      </c>
    </row>
    <row r="24" spans="1:14" x14ac:dyDescent="0.25">
      <c r="A24" s="25">
        <v>105433</v>
      </c>
      <c r="B24" s="2">
        <v>45521</v>
      </c>
      <c r="C24" s="33">
        <v>28873903.91</v>
      </c>
      <c r="G24" s="34"/>
      <c r="H24" s="34"/>
      <c r="I24" s="34"/>
      <c r="J24" s="3">
        <v>15945855.240679866</v>
      </c>
      <c r="K24" s="3">
        <v>56030.531637745735</v>
      </c>
      <c r="L24" s="3">
        <v>12872018.137682391</v>
      </c>
      <c r="M24" s="4">
        <f t="shared" si="2"/>
        <v>28873903.910000004</v>
      </c>
      <c r="N24" s="4">
        <f t="shared" si="1"/>
        <v>0</v>
      </c>
    </row>
    <row r="25" spans="1:14" x14ac:dyDescent="0.25">
      <c r="A25" s="25">
        <v>105433</v>
      </c>
      <c r="B25" s="2">
        <v>45522</v>
      </c>
      <c r="C25" s="33">
        <v>28873903.91</v>
      </c>
      <c r="G25" s="34"/>
      <c r="H25" s="34"/>
      <c r="I25" s="34"/>
      <c r="J25" s="3">
        <v>15945855.240679866</v>
      </c>
      <c r="K25" s="3">
        <v>56030.531637745735</v>
      </c>
      <c r="L25" s="3">
        <v>12872018.137682391</v>
      </c>
      <c r="M25" s="4">
        <f t="shared" si="2"/>
        <v>28873903.910000004</v>
      </c>
      <c r="N25" s="4">
        <f t="shared" si="1"/>
        <v>0</v>
      </c>
    </row>
    <row r="26" spans="1:14" x14ac:dyDescent="0.25">
      <c r="A26" s="25">
        <v>105433</v>
      </c>
      <c r="B26" s="2">
        <v>45523</v>
      </c>
      <c r="C26" s="33">
        <v>28972746.829999998</v>
      </c>
      <c r="G26" s="34"/>
      <c r="H26" s="34"/>
      <c r="I26" s="34"/>
      <c r="J26" s="3">
        <v>16000442.071016314</v>
      </c>
      <c r="K26" s="3">
        <v>56222.338792520852</v>
      </c>
      <c r="L26" s="3">
        <v>12916082.420191165</v>
      </c>
      <c r="M26" s="4">
        <f t="shared" si="2"/>
        <v>28972746.829999998</v>
      </c>
      <c r="N26" s="4">
        <f t="shared" si="1"/>
        <v>0</v>
      </c>
    </row>
    <row r="27" spans="1:14" x14ac:dyDescent="0.25">
      <c r="A27" s="25">
        <v>105433</v>
      </c>
      <c r="B27" s="21">
        <v>45524</v>
      </c>
      <c r="C27" s="33">
        <v>29097961.890000001</v>
      </c>
      <c r="G27" s="10"/>
      <c r="J27" s="3">
        <v>16069593.136522962</v>
      </c>
      <c r="K27" s="3">
        <v>56465.321743587003</v>
      </c>
      <c r="L27" s="3">
        <v>12971903.431733454</v>
      </c>
      <c r="M27" s="4">
        <f t="shared" si="2"/>
        <v>29097961.890000001</v>
      </c>
      <c r="N27" s="4">
        <f t="shared" si="1"/>
        <v>0</v>
      </c>
    </row>
    <row r="28" spans="1:14" x14ac:dyDescent="0.25">
      <c r="A28" s="25">
        <v>105433</v>
      </c>
      <c r="B28" s="21">
        <v>45525</v>
      </c>
      <c r="C28" s="33">
        <v>29268013.59</v>
      </c>
      <c r="G28" s="34"/>
      <c r="H28" s="34"/>
      <c r="I28" s="34"/>
      <c r="J28" s="3">
        <v>16163505.61195696</v>
      </c>
      <c r="K28" s="3">
        <v>56795.311314328857</v>
      </c>
      <c r="L28" s="3">
        <v>13047712.666728713</v>
      </c>
      <c r="M28" s="4">
        <f t="shared" si="2"/>
        <v>29268013.590000004</v>
      </c>
      <c r="N28" s="4">
        <f t="shared" si="1"/>
        <v>0</v>
      </c>
    </row>
    <row r="29" spans="1:14" x14ac:dyDescent="0.25">
      <c r="A29" s="25">
        <v>105433</v>
      </c>
      <c r="B29" s="2">
        <v>45526</v>
      </c>
      <c r="C29" s="33">
        <v>29300139.890000001</v>
      </c>
      <c r="G29" s="34"/>
      <c r="H29" s="34"/>
      <c r="I29" s="34"/>
      <c r="J29" s="3">
        <v>16181247.630175745</v>
      </c>
      <c r="K29" s="3">
        <v>56857.653201804984</v>
      </c>
      <c r="L29" s="3">
        <v>13062034.606622452</v>
      </c>
      <c r="M29" s="4">
        <f t="shared" si="2"/>
        <v>29300139.890000001</v>
      </c>
      <c r="N29" s="4">
        <f t="shared" si="1"/>
        <v>0</v>
      </c>
    </row>
    <row r="30" spans="1:14" x14ac:dyDescent="0.25">
      <c r="A30" s="25">
        <v>105433</v>
      </c>
      <c r="B30" s="2">
        <v>45527</v>
      </c>
      <c r="C30" s="33">
        <v>29145320.129999999</v>
      </c>
      <c r="G30" s="10"/>
      <c r="H30" s="34"/>
      <c r="I30" s="34"/>
      <c r="J30" s="3">
        <v>16095747.121167615</v>
      </c>
      <c r="K30" s="3">
        <v>56557.221591037451</v>
      </c>
      <c r="L30" s="3">
        <v>12993015.787241347</v>
      </c>
      <c r="M30" s="4">
        <f t="shared" si="2"/>
        <v>29145320.129999999</v>
      </c>
      <c r="N30" s="4">
        <f t="shared" si="1"/>
        <v>0</v>
      </c>
    </row>
    <row r="31" spans="1:14" x14ac:dyDescent="0.25">
      <c r="A31" s="25">
        <v>105433</v>
      </c>
      <c r="B31" s="2">
        <v>45528</v>
      </c>
      <c r="C31" s="33">
        <v>29145320.129999999</v>
      </c>
      <c r="G31" s="34"/>
      <c r="H31" s="34"/>
      <c r="I31" s="34"/>
      <c r="J31" s="3">
        <v>16095747.121167615</v>
      </c>
      <c r="K31" s="3">
        <v>56557.221591037451</v>
      </c>
      <c r="L31" s="3">
        <v>12993015.787241347</v>
      </c>
      <c r="M31" s="4">
        <f t="shared" si="2"/>
        <v>29145320.129999999</v>
      </c>
      <c r="N31" s="4">
        <f t="shared" si="1"/>
        <v>0</v>
      </c>
    </row>
    <row r="32" spans="1:14" x14ac:dyDescent="0.25">
      <c r="A32" s="25">
        <v>105433</v>
      </c>
      <c r="B32" s="2">
        <v>45529</v>
      </c>
      <c r="C32" s="33">
        <v>29145320.129999999</v>
      </c>
      <c r="G32" s="34"/>
      <c r="H32" s="34"/>
      <c r="I32" s="34"/>
      <c r="J32" s="3">
        <v>16095747.121167615</v>
      </c>
      <c r="K32" s="3">
        <v>56557.221591037451</v>
      </c>
      <c r="L32" s="3">
        <v>12993015.787241347</v>
      </c>
      <c r="M32" s="4">
        <f t="shared" si="2"/>
        <v>29145320.129999999</v>
      </c>
      <c r="N32" s="4">
        <f t="shared" si="1"/>
        <v>0</v>
      </c>
    </row>
    <row r="33" spans="1:14" x14ac:dyDescent="0.25">
      <c r="A33" s="25">
        <v>105433</v>
      </c>
      <c r="B33" s="2">
        <v>45530</v>
      </c>
      <c r="C33" s="33">
        <v>29330195</v>
      </c>
      <c r="G33" s="34"/>
      <c r="H33" s="34"/>
      <c r="I33" s="34"/>
      <c r="J33" s="3">
        <v>16197845.816371715</v>
      </c>
      <c r="K33" s="3">
        <v>56915.975893359959</v>
      </c>
      <c r="L33" s="3">
        <v>13075433.207734928</v>
      </c>
      <c r="M33" s="4">
        <f t="shared" si="2"/>
        <v>29330195</v>
      </c>
      <c r="N33" s="4">
        <f t="shared" si="1"/>
        <v>0</v>
      </c>
    </row>
    <row r="34" spans="1:14" x14ac:dyDescent="0.25">
      <c r="A34" s="25">
        <v>105433</v>
      </c>
      <c r="B34" s="21">
        <v>45531</v>
      </c>
      <c r="C34" s="33">
        <v>29599673.949999999</v>
      </c>
      <c r="J34" s="3">
        <v>16346667.82327817</v>
      </c>
      <c r="K34" s="3">
        <v>57438.906525835053</v>
      </c>
      <c r="L34" s="3">
        <v>13195567.220195996</v>
      </c>
      <c r="M34" s="4">
        <f t="shared" si="2"/>
        <v>29599673.950000003</v>
      </c>
      <c r="N34" s="4">
        <f t="shared" si="1"/>
        <v>0</v>
      </c>
    </row>
    <row r="35" spans="1:14" x14ac:dyDescent="0.25">
      <c r="A35" s="25">
        <v>105433</v>
      </c>
      <c r="B35" s="21">
        <v>45532</v>
      </c>
      <c r="C35" s="33">
        <v>29576748.48</v>
      </c>
      <c r="G35" s="34"/>
      <c r="H35" s="34"/>
      <c r="I35" s="34"/>
      <c r="J35" s="3">
        <v>16334007.040479835</v>
      </c>
      <c r="K35" s="3">
        <v>57394.419078756575</v>
      </c>
      <c r="L35" s="3">
        <v>13185347.020441411</v>
      </c>
      <c r="M35" s="4">
        <f t="shared" si="2"/>
        <v>29576748.480000004</v>
      </c>
      <c r="N35" s="4">
        <f t="shared" si="1"/>
        <v>0</v>
      </c>
    </row>
    <row r="36" spans="1:14" x14ac:dyDescent="0.25">
      <c r="A36" s="1">
        <v>105433</v>
      </c>
      <c r="B36" s="2">
        <v>45533</v>
      </c>
      <c r="C36" s="33">
        <v>29726931.16</v>
      </c>
      <c r="G36" s="34"/>
      <c r="H36" s="34"/>
      <c r="I36" s="34"/>
      <c r="J36" s="3">
        <v>16416946.683224436</v>
      </c>
      <c r="K36" s="3">
        <v>57685.852319977108</v>
      </c>
      <c r="L36" s="3">
        <v>13252298.624455588</v>
      </c>
      <c r="M36" s="4">
        <f t="shared" si="2"/>
        <v>29726931.16</v>
      </c>
      <c r="N36" s="4">
        <f t="shared" si="1"/>
        <v>0</v>
      </c>
    </row>
    <row r="37" spans="1:14" x14ac:dyDescent="0.25">
      <c r="A37" s="1">
        <v>105434</v>
      </c>
      <c r="B37" s="2">
        <v>45534</v>
      </c>
      <c r="C37" s="33">
        <v>29639715.440000001</v>
      </c>
      <c r="G37" s="34"/>
      <c r="H37" s="34"/>
      <c r="I37" s="34"/>
      <c r="J37" s="3">
        <v>16368781.071460729</v>
      </c>
      <c r="K37" s="3">
        <v>57516.608037181104</v>
      </c>
      <c r="L37" s="3">
        <v>13213417.760502093</v>
      </c>
      <c r="M37" s="4">
        <f t="shared" si="2"/>
        <v>29639715.440000005</v>
      </c>
      <c r="N37" s="4">
        <f t="shared" si="1"/>
        <v>0</v>
      </c>
    </row>
    <row r="38" spans="1:14" x14ac:dyDescent="0.25">
      <c r="A38" s="1">
        <v>105435</v>
      </c>
      <c r="B38" s="2">
        <v>45535</v>
      </c>
      <c r="C38" s="33">
        <v>29639715.440000001</v>
      </c>
      <c r="G38" s="34"/>
      <c r="H38" s="34"/>
      <c r="I38" s="34"/>
      <c r="J38" s="3">
        <v>16368781.071460729</v>
      </c>
      <c r="K38" s="3">
        <v>57516.608037181104</v>
      </c>
      <c r="L38" s="3">
        <v>13213417.760502093</v>
      </c>
      <c r="M38" s="4">
        <f t="shared" si="2"/>
        <v>29639715.440000005</v>
      </c>
      <c r="N38" s="4"/>
    </row>
    <row r="39" spans="1:14" x14ac:dyDescent="0.25">
      <c r="A39" s="5"/>
      <c r="B39" s="6"/>
      <c r="J39" s="7"/>
    </row>
    <row r="40" spans="1:14" x14ac:dyDescent="0.25">
      <c r="A40" s="19" t="s">
        <v>8</v>
      </c>
      <c r="B40" s="8">
        <f>COUNT(B8:B38)</f>
        <v>31</v>
      </c>
      <c r="C40" s="4">
        <f>AVERAGE(C8:C38)</f>
        <v>29123124.319032267</v>
      </c>
      <c r="J40" s="4">
        <f>AVERAGE(J8:J38)</f>
        <v>16083489.298680421</v>
      </c>
      <c r="K40" s="4">
        <f>AVERAGE(K8:K38)</f>
        <v>56514.150065533664</v>
      </c>
      <c r="L40" s="4">
        <f>AVERAGE(L8:L38)</f>
        <v>12983120.870286305</v>
      </c>
      <c r="M40" s="4">
        <f>SUM(J40:L40)</f>
        <v>29123124.319032259</v>
      </c>
      <c r="N40" s="4">
        <f>M40-C40</f>
        <v>0</v>
      </c>
    </row>
    <row r="41" spans="1:14" x14ac:dyDescent="0.25">
      <c r="A41" s="19" t="s">
        <v>9</v>
      </c>
      <c r="B41" s="8">
        <v>1.62</v>
      </c>
      <c r="C41" s="9">
        <f>+C40*$B$42</f>
        <v>40626.758425050015</v>
      </c>
      <c r="D41" s="10">
        <f>C41*1.16</f>
        <v>47127.039773058015</v>
      </c>
      <c r="J41" s="20">
        <f>(+J40*$B$42)</f>
        <v>22436.467571659192</v>
      </c>
      <c r="K41" s="20">
        <f>(+K40*$B$42)</f>
        <v>78.837239341419476</v>
      </c>
      <c r="L41" s="20">
        <f>(+L40*$B$42)</f>
        <v>18111.453614049398</v>
      </c>
      <c r="M41" s="4">
        <f>SUM(J41:L41)</f>
        <v>40626.758425050008</v>
      </c>
      <c r="N41" s="4">
        <f>+C41/M41</f>
        <v>1.0000000000000002</v>
      </c>
    </row>
    <row r="42" spans="1:14" x14ac:dyDescent="0.25">
      <c r="A42" s="19" t="s">
        <v>10</v>
      </c>
      <c r="B42" s="11">
        <f>B41/360*B40/100</f>
        <v>1.3950000000000002E-3</v>
      </c>
      <c r="D42" s="10">
        <f>D41-C41</f>
        <v>6500.2813480080004</v>
      </c>
      <c r="M42" s="32">
        <f>C41/M41</f>
        <v>1.0000000000000002</v>
      </c>
    </row>
    <row r="46" spans="1:14" x14ac:dyDescent="0.25">
      <c r="M46" s="10">
        <f>+'JUL24'!M41+'AGO24'!M41+41000</f>
        <v>121261.45272575002</v>
      </c>
    </row>
  </sheetData>
  <mergeCells count="1">
    <mergeCell ref="A6:C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F05C8-2DA6-4E57-8C29-50588459AB95}">
  <dimension ref="A1:N47"/>
  <sheetViews>
    <sheetView topLeftCell="A25" workbookViewId="0">
      <selection activeCell="C47" sqref="C47"/>
    </sheetView>
  </sheetViews>
  <sheetFormatPr baseColWidth="10" defaultRowHeight="15" x14ac:dyDescent="0.25"/>
  <cols>
    <col min="3" max="3" width="15.140625" bestFit="1" customWidth="1"/>
    <col min="6" max="6" width="14.140625" bestFit="1" customWidth="1"/>
    <col min="8" max="9" width="14.140625" bestFit="1" customWidth="1"/>
    <col min="10" max="12" width="17" bestFit="1" customWidth="1"/>
    <col min="13" max="14" width="15.140625" bestFit="1" customWidth="1"/>
  </cols>
  <sheetData>
    <row r="1" spans="1:14" x14ac:dyDescent="0.25">
      <c r="D1" s="38" t="s">
        <v>15</v>
      </c>
      <c r="E1" s="35">
        <v>45535</v>
      </c>
      <c r="F1" s="36">
        <v>16388707.939999999</v>
      </c>
      <c r="G1" s="36">
        <v>57026.26</v>
      </c>
      <c r="H1" s="36">
        <v>13177046.630000001</v>
      </c>
      <c r="I1" s="37">
        <f>+F1+G1+H1</f>
        <v>29622780.829999998</v>
      </c>
    </row>
    <row r="2" spans="1:14" x14ac:dyDescent="0.25">
      <c r="D2" s="38" t="s">
        <v>16</v>
      </c>
      <c r="E2" s="35">
        <v>45565</v>
      </c>
      <c r="F2" s="36">
        <v>16529993.8805</v>
      </c>
      <c r="G2" s="36">
        <v>57263.004200000003</v>
      </c>
      <c r="H2" s="36">
        <v>13222887.5701</v>
      </c>
      <c r="I2" s="37">
        <f>+F2+G2+H2</f>
        <v>29810144.454800002</v>
      </c>
    </row>
    <row r="3" spans="1:14" x14ac:dyDescent="0.25">
      <c r="E3" s="38"/>
      <c r="F3" s="37"/>
    </row>
    <row r="4" spans="1:14" x14ac:dyDescent="0.25">
      <c r="E4" s="35">
        <f>+E1</f>
        <v>45535</v>
      </c>
      <c r="F4" s="13">
        <f t="shared" ref="F4:H5" si="0">+F1/$I1</f>
        <v>0.55324677430022362</v>
      </c>
      <c r="G4" s="13">
        <f t="shared" si="0"/>
        <v>1.9250812517320308E-3</v>
      </c>
      <c r="H4" s="13">
        <f t="shared" si="0"/>
        <v>0.44482814444804442</v>
      </c>
      <c r="I4" s="12">
        <f>+F4+G4+H4</f>
        <v>1</v>
      </c>
    </row>
    <row r="5" spans="1:14" x14ac:dyDescent="0.25">
      <c r="E5" s="35">
        <f>+E2</f>
        <v>45565</v>
      </c>
      <c r="F5" s="13">
        <f t="shared" si="0"/>
        <v>0.5545090164042582</v>
      </c>
      <c r="G5" s="13">
        <f t="shared" si="0"/>
        <v>1.9209234053469864E-3</v>
      </c>
      <c r="H5" s="13">
        <f t="shared" si="0"/>
        <v>0.4435700601903948</v>
      </c>
      <c r="I5" s="12">
        <f>+F5+G5+H5</f>
        <v>1</v>
      </c>
    </row>
    <row r="6" spans="1:14" x14ac:dyDescent="0.25">
      <c r="A6" s="46" t="s">
        <v>0</v>
      </c>
      <c r="B6" s="46"/>
      <c r="C6" s="46"/>
      <c r="E6" s="39" t="s">
        <v>17</v>
      </c>
      <c r="F6" s="40">
        <f>AVERAGE(F4:F5)</f>
        <v>0.55387789535224097</v>
      </c>
      <c r="G6" s="40">
        <f>AVERAGE(G4:G5)</f>
        <v>1.9230023285395086E-3</v>
      </c>
      <c r="H6" s="40">
        <f>AVERAGE(H4:H5)</f>
        <v>0.44419910231921961</v>
      </c>
      <c r="I6" s="12"/>
    </row>
    <row r="7" spans="1:14" x14ac:dyDescent="0.25">
      <c r="A7" s="16" t="s">
        <v>1</v>
      </c>
      <c r="B7" s="17" t="s">
        <v>2</v>
      </c>
      <c r="C7" s="18" t="s">
        <v>3</v>
      </c>
      <c r="E7" s="35"/>
      <c r="F7" s="13"/>
      <c r="G7" s="13"/>
      <c r="H7" s="13"/>
      <c r="I7" s="12"/>
      <c r="J7" s="28" t="s">
        <v>4</v>
      </c>
      <c r="K7" s="14" t="s">
        <v>5</v>
      </c>
      <c r="L7" s="15" t="s">
        <v>6</v>
      </c>
    </row>
    <row r="8" spans="1:14" x14ac:dyDescent="0.25">
      <c r="A8" s="1">
        <v>105433</v>
      </c>
      <c r="B8" s="2">
        <v>45536</v>
      </c>
      <c r="C8" s="33">
        <v>29639715.440000001</v>
      </c>
      <c r="J8" s="3">
        <v>16416783.206746522</v>
      </c>
      <c r="K8" s="3">
        <v>56997.241808368424</v>
      </c>
      <c r="L8" s="3">
        <v>13165934.991445113</v>
      </c>
      <c r="M8" s="4">
        <f>SUM(J8:L8)</f>
        <v>29639715.440000005</v>
      </c>
      <c r="N8" s="4">
        <f>+C8-M8</f>
        <v>0</v>
      </c>
    </row>
    <row r="9" spans="1:14" x14ac:dyDescent="0.25">
      <c r="A9" s="25">
        <v>105433</v>
      </c>
      <c r="B9" s="2">
        <v>45537</v>
      </c>
      <c r="C9" s="33">
        <v>29709633.280000001</v>
      </c>
      <c r="J9" s="3">
        <v>16455509.152813297</v>
      </c>
      <c r="K9" s="3">
        <v>57131.693977494877</v>
      </c>
      <c r="L9" s="3">
        <v>13196992.433209212</v>
      </c>
      <c r="M9" s="4">
        <f>SUM(J9:L9)</f>
        <v>29709633.280000005</v>
      </c>
      <c r="N9" s="4">
        <f t="shared" ref="N9:N37" si="1">+C9-M9</f>
        <v>0</v>
      </c>
    </row>
    <row r="10" spans="1:14" x14ac:dyDescent="0.25">
      <c r="A10" s="25">
        <v>105433</v>
      </c>
      <c r="B10" s="2">
        <v>45538</v>
      </c>
      <c r="C10" s="33">
        <v>29661163.640000001</v>
      </c>
      <c r="J10" s="3">
        <v>16428662.890621616</v>
      </c>
      <c r="K10" s="3">
        <v>57038.486746911411</v>
      </c>
      <c r="L10" s="3">
        <v>13175462.262631476</v>
      </c>
      <c r="M10" s="4">
        <f>SUM(J10:L10)</f>
        <v>29661163.640000001</v>
      </c>
      <c r="N10" s="4">
        <f t="shared" si="1"/>
        <v>0</v>
      </c>
    </row>
    <row r="11" spans="1:14" x14ac:dyDescent="0.25">
      <c r="A11" s="25">
        <v>105433</v>
      </c>
      <c r="B11" s="2">
        <v>45539</v>
      </c>
      <c r="C11" s="33">
        <v>29766906.489999998</v>
      </c>
      <c r="J11" s="3">
        <v>16487231.517828161</v>
      </c>
      <c r="K11" s="3">
        <v>57241.830493687805</v>
      </c>
      <c r="L11" s="3">
        <v>13222433.141678151</v>
      </c>
      <c r="M11" s="4">
        <f t="shared" ref="M11:M37" si="2">SUM(J11:L11)</f>
        <v>29766906.490000002</v>
      </c>
      <c r="N11" s="4">
        <f t="shared" si="1"/>
        <v>0</v>
      </c>
    </row>
    <row r="12" spans="1:14" x14ac:dyDescent="0.25">
      <c r="A12" s="25">
        <v>105433</v>
      </c>
      <c r="B12" s="2">
        <v>45540</v>
      </c>
      <c r="C12" s="33">
        <v>29807900.91</v>
      </c>
      <c r="J12" s="3">
        <v>16509937.420898948</v>
      </c>
      <c r="K12" s="3">
        <v>57320.662858804935</v>
      </c>
      <c r="L12" s="3">
        <v>13240642.826242249</v>
      </c>
      <c r="M12" s="4">
        <f t="shared" si="2"/>
        <v>29807900.910000004</v>
      </c>
      <c r="N12" s="4">
        <f t="shared" si="1"/>
        <v>0</v>
      </c>
    </row>
    <row r="13" spans="1:14" x14ac:dyDescent="0.25">
      <c r="A13" s="25">
        <v>105433</v>
      </c>
      <c r="B13" s="2">
        <v>45541</v>
      </c>
      <c r="C13" s="33">
        <v>29844048.43</v>
      </c>
      <c r="E13" t="s">
        <v>7</v>
      </c>
      <c r="J13" s="3">
        <v>16529958.733198751</v>
      </c>
      <c r="K13" s="3">
        <v>57390.174623935862</v>
      </c>
      <c r="L13" s="3">
        <v>13256699.522177314</v>
      </c>
      <c r="M13" s="4">
        <f t="shared" si="2"/>
        <v>29844048.43</v>
      </c>
      <c r="N13" s="4">
        <f t="shared" si="1"/>
        <v>0</v>
      </c>
    </row>
    <row r="14" spans="1:14" x14ac:dyDescent="0.25">
      <c r="A14" s="25">
        <v>105433</v>
      </c>
      <c r="B14" s="21">
        <v>45542</v>
      </c>
      <c r="C14" s="33">
        <v>29844048.43</v>
      </c>
      <c r="J14" s="3">
        <v>16529958.733198751</v>
      </c>
      <c r="K14" s="3">
        <v>57390.174623935862</v>
      </c>
      <c r="L14" s="3">
        <v>13256699.522177314</v>
      </c>
      <c r="M14" s="4">
        <f t="shared" si="2"/>
        <v>29844048.43</v>
      </c>
      <c r="N14" s="4">
        <f t="shared" si="1"/>
        <v>0</v>
      </c>
    </row>
    <row r="15" spans="1:14" x14ac:dyDescent="0.25">
      <c r="A15" s="25">
        <v>105433</v>
      </c>
      <c r="B15" s="21">
        <v>45543</v>
      </c>
      <c r="C15" s="33">
        <v>29844048.43</v>
      </c>
      <c r="J15" s="3">
        <v>16529958.733198751</v>
      </c>
      <c r="K15" s="3">
        <v>57390.174623935862</v>
      </c>
      <c r="L15" s="3">
        <v>13256699.522177314</v>
      </c>
      <c r="M15" s="4">
        <f t="shared" si="2"/>
        <v>29844048.43</v>
      </c>
      <c r="N15" s="4">
        <f t="shared" si="1"/>
        <v>0</v>
      </c>
    </row>
    <row r="16" spans="1:14" x14ac:dyDescent="0.25">
      <c r="A16" s="25">
        <v>105433</v>
      </c>
      <c r="B16" s="2">
        <v>45544</v>
      </c>
      <c r="C16" s="33">
        <v>29896532.699999999</v>
      </c>
      <c r="J16" s="3">
        <v>16559028.610205449</v>
      </c>
      <c r="K16" s="3">
        <v>57491.10199735756</v>
      </c>
      <c r="L16" s="3">
        <v>13280012.987797195</v>
      </c>
      <c r="M16" s="4">
        <f t="shared" si="2"/>
        <v>29896532.700000003</v>
      </c>
      <c r="N16" s="4">
        <f t="shared" si="1"/>
        <v>0</v>
      </c>
    </row>
    <row r="17" spans="1:14" x14ac:dyDescent="0.25">
      <c r="A17" s="25">
        <v>105433</v>
      </c>
      <c r="B17" s="2">
        <v>45545</v>
      </c>
      <c r="C17" s="33">
        <v>30024029.91</v>
      </c>
      <c r="J17" s="3">
        <v>16629646.496543532</v>
      </c>
      <c r="K17" s="3">
        <v>57736.279429069851</v>
      </c>
      <c r="L17" s="3">
        <v>13336647.134027399</v>
      </c>
      <c r="M17" s="4">
        <f t="shared" si="2"/>
        <v>30024029.910000004</v>
      </c>
      <c r="N17" s="4">
        <f t="shared" si="1"/>
        <v>0</v>
      </c>
    </row>
    <row r="18" spans="1:14" x14ac:dyDescent="0.25">
      <c r="A18" s="25">
        <v>105433</v>
      </c>
      <c r="B18" s="2">
        <v>45546</v>
      </c>
      <c r="C18" s="33">
        <v>29773840.170000002</v>
      </c>
      <c r="J18" s="3">
        <v>16491071.92991361</v>
      </c>
      <c r="K18" s="3">
        <v>57255.163976473159</v>
      </c>
      <c r="L18" s="3">
        <v>13225513.076109922</v>
      </c>
      <c r="M18" s="4">
        <f t="shared" si="2"/>
        <v>29773840.170000006</v>
      </c>
      <c r="N18" s="4">
        <f t="shared" si="1"/>
        <v>0</v>
      </c>
    </row>
    <row r="19" spans="1:14" x14ac:dyDescent="0.25">
      <c r="A19" s="25">
        <v>105433</v>
      </c>
      <c r="B19" s="2">
        <v>45547</v>
      </c>
      <c r="C19" s="33">
        <v>29510787.41</v>
      </c>
      <c r="J19" s="3">
        <v>16345372.820838211</v>
      </c>
      <c r="K19" s="3">
        <v>56749.312906464416</v>
      </c>
      <c r="L19" s="3">
        <v>13108665.276255328</v>
      </c>
      <c r="M19" s="4">
        <f t="shared" si="2"/>
        <v>29510787.410000004</v>
      </c>
      <c r="N19" s="4">
        <f t="shared" si="1"/>
        <v>0</v>
      </c>
    </row>
    <row r="20" spans="1:14" x14ac:dyDescent="0.25">
      <c r="A20" s="25">
        <v>105433</v>
      </c>
      <c r="B20" s="2">
        <v>45548</v>
      </c>
      <c r="C20" s="33">
        <v>29302685.940000001</v>
      </c>
      <c r="J20" s="3">
        <v>16230110.016614903</v>
      </c>
      <c r="K20" s="3">
        <v>56349.13329508192</v>
      </c>
      <c r="L20" s="3">
        <v>13016226.790090019</v>
      </c>
      <c r="M20" s="4">
        <f t="shared" si="2"/>
        <v>29302685.940000005</v>
      </c>
      <c r="N20" s="4">
        <f t="shared" si="1"/>
        <v>0</v>
      </c>
    </row>
    <row r="21" spans="1:14" x14ac:dyDescent="0.25">
      <c r="A21" s="25">
        <v>105433</v>
      </c>
      <c r="B21" s="21">
        <v>45549</v>
      </c>
      <c r="C21" s="33">
        <v>29302685.940000001</v>
      </c>
      <c r="G21" s="34"/>
      <c r="H21" s="34"/>
      <c r="I21" s="34"/>
      <c r="J21" s="3">
        <v>16230110.016614903</v>
      </c>
      <c r="K21" s="3">
        <v>56349.13329508192</v>
      </c>
      <c r="L21" s="3">
        <v>13016226.790090019</v>
      </c>
      <c r="M21" s="4">
        <f t="shared" si="2"/>
        <v>29302685.940000005</v>
      </c>
      <c r="N21" s="4">
        <f t="shared" si="1"/>
        <v>0</v>
      </c>
    </row>
    <row r="22" spans="1:14" x14ac:dyDescent="0.25">
      <c r="A22" s="25">
        <v>105433</v>
      </c>
      <c r="B22" s="21">
        <v>45550</v>
      </c>
      <c r="C22" s="33">
        <v>29302685.940000001</v>
      </c>
      <c r="G22" s="34"/>
      <c r="H22" s="34"/>
      <c r="I22" s="34"/>
      <c r="J22" s="3">
        <v>16230110.016614903</v>
      </c>
      <c r="K22" s="3">
        <v>56349.13329508192</v>
      </c>
      <c r="L22" s="3">
        <v>13016226.790090019</v>
      </c>
      <c r="M22" s="4">
        <f t="shared" si="2"/>
        <v>29302685.940000005</v>
      </c>
      <c r="N22" s="4">
        <f t="shared" si="1"/>
        <v>0</v>
      </c>
    </row>
    <row r="23" spans="1:14" x14ac:dyDescent="0.25">
      <c r="A23" s="25">
        <v>105433</v>
      </c>
      <c r="B23" s="21">
        <v>45551</v>
      </c>
      <c r="C23" s="33">
        <v>29302685.940000001</v>
      </c>
      <c r="G23" s="34"/>
      <c r="H23" s="34"/>
      <c r="I23" s="34"/>
      <c r="J23" s="3">
        <v>16230110.016614903</v>
      </c>
      <c r="K23" s="3">
        <v>56349.13329508192</v>
      </c>
      <c r="L23" s="3">
        <v>13016226.790090019</v>
      </c>
      <c r="M23" s="4">
        <f t="shared" si="2"/>
        <v>29302685.940000005</v>
      </c>
      <c r="N23" s="4">
        <f t="shared" si="1"/>
        <v>0</v>
      </c>
    </row>
    <row r="24" spans="1:14" x14ac:dyDescent="0.25">
      <c r="A24" s="25">
        <v>105433</v>
      </c>
      <c r="B24" s="2">
        <v>45552</v>
      </c>
      <c r="C24" s="33">
        <v>29287457.280000001</v>
      </c>
      <c r="G24" s="34"/>
      <c r="H24" s="34"/>
      <c r="I24" s="34"/>
      <c r="J24" s="3">
        <v>16221675.198465068</v>
      </c>
      <c r="K24" s="3">
        <v>56319.848546441382</v>
      </c>
      <c r="L24" s="3">
        <v>13009462.232988494</v>
      </c>
      <c r="M24" s="4">
        <f t="shared" si="2"/>
        <v>29287457.280000001</v>
      </c>
      <c r="N24" s="4">
        <f t="shared" si="1"/>
        <v>0</v>
      </c>
    </row>
    <row r="25" spans="1:14" x14ac:dyDescent="0.25">
      <c r="A25" s="25">
        <v>105433</v>
      </c>
      <c r="B25" s="2">
        <v>45553</v>
      </c>
      <c r="C25" s="33">
        <v>29454939.48</v>
      </c>
      <c r="G25" s="34"/>
      <c r="H25" s="34"/>
      <c r="I25" s="34"/>
      <c r="J25" s="3">
        <v>16314439.886910031</v>
      </c>
      <c r="K25" s="3">
        <v>56641.917207030303</v>
      </c>
      <c r="L25" s="3">
        <v>13083857.675882941</v>
      </c>
      <c r="M25" s="4">
        <f t="shared" si="2"/>
        <v>29454939.480000004</v>
      </c>
      <c r="N25" s="4">
        <f t="shared" si="1"/>
        <v>0</v>
      </c>
    </row>
    <row r="26" spans="1:14" x14ac:dyDescent="0.25">
      <c r="A26" s="25">
        <v>105433</v>
      </c>
      <c r="B26" s="2">
        <v>45554</v>
      </c>
      <c r="C26" s="33">
        <v>29455862.73</v>
      </c>
      <c r="G26" s="34"/>
      <c r="H26" s="34"/>
      <c r="I26" s="34"/>
      <c r="J26" s="3">
        <v>16314951.254676916</v>
      </c>
      <c r="K26" s="3">
        <v>56643.69261893013</v>
      </c>
      <c r="L26" s="3">
        <v>13084267.782704158</v>
      </c>
      <c r="M26" s="4">
        <f t="shared" si="2"/>
        <v>29455862.730000004</v>
      </c>
      <c r="N26" s="4">
        <f t="shared" si="1"/>
        <v>0</v>
      </c>
    </row>
    <row r="27" spans="1:14" x14ac:dyDescent="0.25">
      <c r="A27" s="25">
        <v>105433</v>
      </c>
      <c r="B27" s="2">
        <v>45555</v>
      </c>
      <c r="C27" s="33">
        <v>29574497.620000001</v>
      </c>
      <c r="G27" s="10"/>
      <c r="J27" s="3">
        <v>16380660.497865461</v>
      </c>
      <c r="K27" s="3">
        <v>56871.827788646158</v>
      </c>
      <c r="L27" s="3">
        <v>13136965.294345897</v>
      </c>
      <c r="M27" s="4">
        <f t="shared" si="2"/>
        <v>29574497.620000005</v>
      </c>
      <c r="N27" s="4">
        <f t="shared" si="1"/>
        <v>0</v>
      </c>
    </row>
    <row r="28" spans="1:14" x14ac:dyDescent="0.25">
      <c r="A28" s="25">
        <v>105433</v>
      </c>
      <c r="B28" s="21">
        <v>45556</v>
      </c>
      <c r="C28" s="33">
        <v>29574497.620000001</v>
      </c>
      <c r="G28" s="34"/>
      <c r="H28" s="34"/>
      <c r="I28" s="34"/>
      <c r="J28" s="3">
        <v>16380660.497865461</v>
      </c>
      <c r="K28" s="3">
        <v>56871.827788646158</v>
      </c>
      <c r="L28" s="3">
        <v>13136965.294345897</v>
      </c>
      <c r="M28" s="4">
        <f t="shared" si="2"/>
        <v>29574497.620000005</v>
      </c>
      <c r="N28" s="4">
        <f t="shared" si="1"/>
        <v>0</v>
      </c>
    </row>
    <row r="29" spans="1:14" x14ac:dyDescent="0.25">
      <c r="A29" s="25">
        <v>105433</v>
      </c>
      <c r="B29" s="21">
        <v>45557</v>
      </c>
      <c r="C29" s="33">
        <v>29574497.620000001</v>
      </c>
      <c r="G29" s="34"/>
      <c r="H29" s="34"/>
      <c r="I29" s="34"/>
      <c r="J29" s="3">
        <v>16380660.497865461</v>
      </c>
      <c r="K29" s="3">
        <v>56871.827788646158</v>
      </c>
      <c r="L29" s="3">
        <v>13136965.294345897</v>
      </c>
      <c r="M29" s="4">
        <f t="shared" si="2"/>
        <v>29574497.620000005</v>
      </c>
      <c r="N29" s="4">
        <f t="shared" si="1"/>
        <v>0</v>
      </c>
    </row>
    <row r="30" spans="1:14" x14ac:dyDescent="0.25">
      <c r="A30" s="25">
        <v>105433</v>
      </c>
      <c r="B30" s="2">
        <v>45558</v>
      </c>
      <c r="C30" s="33">
        <v>29555573.02</v>
      </c>
      <c r="G30" s="10"/>
      <c r="H30" s="34"/>
      <c r="I30" s="34"/>
      <c r="J30" s="3">
        <v>16370178.580247076</v>
      </c>
      <c r="K30" s="3">
        <v>56835.435738779473</v>
      </c>
      <c r="L30" s="3">
        <v>13128559.004014146</v>
      </c>
      <c r="M30" s="4">
        <f t="shared" si="2"/>
        <v>29555573.020000003</v>
      </c>
      <c r="N30" s="4">
        <f t="shared" si="1"/>
        <v>0</v>
      </c>
    </row>
    <row r="31" spans="1:14" x14ac:dyDescent="0.25">
      <c r="A31" s="25">
        <v>105433</v>
      </c>
      <c r="B31" s="2">
        <v>45559</v>
      </c>
      <c r="C31" s="33">
        <v>29600777.350000001</v>
      </c>
      <c r="G31" s="34"/>
      <c r="H31" s="34"/>
      <c r="I31" s="34"/>
      <c r="J31" s="3">
        <v>16395216.259408286</v>
      </c>
      <c r="K31" s="3">
        <v>56922.363770629549</v>
      </c>
      <c r="L31" s="3">
        <v>13148638.726821089</v>
      </c>
      <c r="M31" s="4">
        <f t="shared" si="2"/>
        <v>29600777.350000005</v>
      </c>
      <c r="N31" s="4">
        <f t="shared" si="1"/>
        <v>0</v>
      </c>
    </row>
    <row r="32" spans="1:14" x14ac:dyDescent="0.25">
      <c r="A32" s="25">
        <v>105433</v>
      </c>
      <c r="B32" s="2">
        <v>45560</v>
      </c>
      <c r="C32" s="33">
        <v>29804072.73</v>
      </c>
      <c r="G32" s="34"/>
      <c r="H32" s="34"/>
      <c r="I32" s="34"/>
      <c r="J32" s="3">
        <v>16507817.076617518</v>
      </c>
      <c r="K32" s="3">
        <v>57313.301259750871</v>
      </c>
      <c r="L32" s="3">
        <v>13238942.352122733</v>
      </c>
      <c r="M32" s="4">
        <f t="shared" si="2"/>
        <v>29804072.730000004</v>
      </c>
      <c r="N32" s="4">
        <f t="shared" si="1"/>
        <v>0</v>
      </c>
    </row>
    <row r="33" spans="1:14" x14ac:dyDescent="0.25">
      <c r="A33" s="25">
        <v>105433</v>
      </c>
      <c r="B33" s="2">
        <v>45561</v>
      </c>
      <c r="C33" s="33">
        <v>29825110.32</v>
      </c>
      <c r="G33" s="34"/>
      <c r="H33" s="34"/>
      <c r="I33" s="34"/>
      <c r="J33" s="3">
        <v>16519469.332690002</v>
      </c>
      <c r="K33" s="3">
        <v>57353.756594307728</v>
      </c>
      <c r="L33" s="3">
        <v>13248287.230715692</v>
      </c>
      <c r="M33" s="4">
        <f t="shared" si="2"/>
        <v>29825110.32</v>
      </c>
      <c r="N33" s="4">
        <f t="shared" si="1"/>
        <v>0</v>
      </c>
    </row>
    <row r="34" spans="1:14" x14ac:dyDescent="0.25">
      <c r="A34" s="25">
        <v>105433</v>
      </c>
      <c r="B34" s="2">
        <v>45562</v>
      </c>
      <c r="C34" s="33">
        <v>29858092.93</v>
      </c>
      <c r="J34" s="3">
        <v>16537737.671300026</v>
      </c>
      <c r="K34" s="3">
        <v>57417.182230139035</v>
      </c>
      <c r="L34" s="3">
        <v>13262938.076469837</v>
      </c>
      <c r="M34" s="4">
        <f t="shared" si="2"/>
        <v>29858092.93</v>
      </c>
      <c r="N34" s="4">
        <f t="shared" si="1"/>
        <v>0</v>
      </c>
    </row>
    <row r="35" spans="1:14" x14ac:dyDescent="0.25">
      <c r="A35" s="25">
        <v>105433</v>
      </c>
      <c r="B35" s="21">
        <v>45563</v>
      </c>
      <c r="C35" s="33">
        <v>29858092.93</v>
      </c>
      <c r="G35" s="34"/>
      <c r="H35" s="34"/>
      <c r="I35" s="34"/>
      <c r="J35" s="3">
        <v>16537737.671300026</v>
      </c>
      <c r="K35" s="3">
        <v>57417.182230139035</v>
      </c>
      <c r="L35" s="3">
        <v>13262938.076469837</v>
      </c>
      <c r="M35" s="4">
        <f t="shared" si="2"/>
        <v>29858092.93</v>
      </c>
      <c r="N35" s="4">
        <f t="shared" si="1"/>
        <v>0</v>
      </c>
    </row>
    <row r="36" spans="1:14" x14ac:dyDescent="0.25">
      <c r="A36" s="1">
        <v>105433</v>
      </c>
      <c r="B36" s="21">
        <v>45564</v>
      </c>
      <c r="C36" s="33">
        <v>29858092.93</v>
      </c>
      <c r="G36" s="34"/>
      <c r="H36" s="34"/>
      <c r="I36" s="34"/>
      <c r="J36" s="3">
        <v>16537737.671300026</v>
      </c>
      <c r="K36" s="3">
        <v>57417.182230139035</v>
      </c>
      <c r="L36" s="3">
        <v>13262938.076469837</v>
      </c>
      <c r="M36" s="4">
        <f t="shared" si="2"/>
        <v>29858092.93</v>
      </c>
      <c r="N36" s="4">
        <f t="shared" si="1"/>
        <v>0</v>
      </c>
    </row>
    <row r="37" spans="1:14" x14ac:dyDescent="0.25">
      <c r="A37" s="1">
        <v>105434</v>
      </c>
      <c r="B37" s="2">
        <v>45565</v>
      </c>
      <c r="C37" s="33">
        <v>29846323</v>
      </c>
      <c r="G37" s="34"/>
      <c r="H37" s="34"/>
      <c r="I37" s="34"/>
      <c r="J37" s="3">
        <v>16531218.567243183</v>
      </c>
      <c r="K37" s="3">
        <v>57394.548627342294</v>
      </c>
      <c r="L37" s="3">
        <v>13257709.884129478</v>
      </c>
      <c r="M37" s="4">
        <f t="shared" si="2"/>
        <v>29846323.000000004</v>
      </c>
      <c r="N37" s="4">
        <f t="shared" si="1"/>
        <v>0</v>
      </c>
    </row>
    <row r="38" spans="1:14" x14ac:dyDescent="0.25">
      <c r="A38" s="5"/>
      <c r="B38" s="6"/>
      <c r="J38" s="7"/>
    </row>
    <row r="39" spans="1:14" x14ac:dyDescent="0.25">
      <c r="A39" s="19" t="s">
        <v>8</v>
      </c>
      <c r="B39" s="8">
        <f>COUNT(B8:B37)</f>
        <v>30</v>
      </c>
      <c r="C39" s="4">
        <f>AVERAGE(C8:C37)</f>
        <v>29655376.218666669</v>
      </c>
      <c r="J39" s="4">
        <f>AVERAGE(J8:J37)</f>
        <v>16425457.365873994</v>
      </c>
      <c r="K39" s="4">
        <f>AVERAGE(K8:K37)</f>
        <v>57027.357522211169</v>
      </c>
      <c r="L39" s="4">
        <f>AVERAGE(L8:L37)</f>
        <v>13172891.495270465</v>
      </c>
      <c r="M39" s="4">
        <f>SUM(J39:L39)</f>
        <v>29655376.218666673</v>
      </c>
      <c r="N39" s="4">
        <f>M39-C39</f>
        <v>0</v>
      </c>
    </row>
    <row r="40" spans="1:14" x14ac:dyDescent="0.25">
      <c r="A40" s="19" t="s">
        <v>9</v>
      </c>
      <c r="B40" s="8">
        <v>1.62</v>
      </c>
      <c r="C40" s="9">
        <f>+C39*$B$41</f>
        <v>40034.757895200004</v>
      </c>
      <c r="D40" s="10">
        <f>C40*1.16</f>
        <v>46440.319158432001</v>
      </c>
      <c r="J40" s="20">
        <f>(+J39*$B$41)</f>
        <v>22174.367443929892</v>
      </c>
      <c r="K40" s="20">
        <f>(+K39*$B$41)</f>
        <v>76.986932654985083</v>
      </c>
      <c r="L40" s="20">
        <f>(+L39*$B$41)</f>
        <v>17783.403518615127</v>
      </c>
      <c r="M40" s="4">
        <f>SUM(J40:L40)</f>
        <v>40034.757895200004</v>
      </c>
      <c r="N40" s="4">
        <f>+C40/M40</f>
        <v>1</v>
      </c>
    </row>
    <row r="41" spans="1:14" x14ac:dyDescent="0.25">
      <c r="A41" s="19" t="s">
        <v>10</v>
      </c>
      <c r="B41" s="11">
        <f>B40/360*B39/100</f>
        <v>1.3500000000000001E-3</v>
      </c>
      <c r="D41" s="10">
        <f>D40-C40</f>
        <v>6405.5612632319971</v>
      </c>
      <c r="M41" s="32">
        <f>C40/M40</f>
        <v>1</v>
      </c>
    </row>
    <row r="45" spans="1:14" x14ac:dyDescent="0.25">
      <c r="M45" s="10">
        <f>+'JUL24'!M41+'AGO24'!M41+'SEP24'!M40</f>
        <v>120296.21062095002</v>
      </c>
    </row>
    <row r="47" spans="1:14" x14ac:dyDescent="0.25">
      <c r="C47" s="10"/>
    </row>
  </sheetData>
  <mergeCells count="1">
    <mergeCell ref="A6:C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A1B8-875B-4799-BE63-0F42BC5F6C23}">
  <dimension ref="A1:N47"/>
  <sheetViews>
    <sheetView topLeftCell="A32" workbookViewId="0">
      <selection activeCell="D39" sqref="D39"/>
    </sheetView>
  </sheetViews>
  <sheetFormatPr baseColWidth="10" defaultRowHeight="15" x14ac:dyDescent="0.25"/>
  <cols>
    <col min="3" max="3" width="15.140625" bestFit="1" customWidth="1"/>
    <col min="6" max="6" width="14.140625" bestFit="1" customWidth="1"/>
    <col min="8" max="9" width="14.140625" bestFit="1" customWidth="1"/>
    <col min="10" max="12" width="17" bestFit="1" customWidth="1"/>
    <col min="13" max="14" width="15.140625" bestFit="1" customWidth="1"/>
  </cols>
  <sheetData>
    <row r="1" spans="1:14" x14ac:dyDescent="0.25">
      <c r="D1" s="38" t="s">
        <v>15</v>
      </c>
      <c r="E1" s="35">
        <v>45565</v>
      </c>
      <c r="F1" s="36">
        <v>16529993.8805</v>
      </c>
      <c r="G1" s="36">
        <v>57263.004200000003</v>
      </c>
      <c r="H1" s="36">
        <v>13222887.5701</v>
      </c>
      <c r="I1" s="37">
        <f>+F1+G1+H1</f>
        <v>29810144.454800002</v>
      </c>
    </row>
    <row r="2" spans="1:14" x14ac:dyDescent="0.25">
      <c r="D2" s="38" t="s">
        <v>16</v>
      </c>
      <c r="E2" s="35">
        <v>45596</v>
      </c>
      <c r="F2" s="36">
        <v>16684170.6184</v>
      </c>
      <c r="G2" s="36">
        <v>57381.073900000003</v>
      </c>
      <c r="H2" s="36">
        <v>13477509.9977</v>
      </c>
      <c r="I2" s="37">
        <f>+F2+G2+H2</f>
        <v>30219061.689999998</v>
      </c>
    </row>
    <row r="3" spans="1:14" x14ac:dyDescent="0.25">
      <c r="E3" s="38"/>
      <c r="F3" s="37"/>
    </row>
    <row r="4" spans="1:14" x14ac:dyDescent="0.25">
      <c r="E4" s="35">
        <f>+E1</f>
        <v>45565</v>
      </c>
      <c r="F4" s="13">
        <f t="shared" ref="F4:H5" si="0">+F1/$I1</f>
        <v>0.5545090164042582</v>
      </c>
      <c r="G4" s="13">
        <f t="shared" si="0"/>
        <v>1.9209234053469864E-3</v>
      </c>
      <c r="H4" s="13">
        <f t="shared" si="0"/>
        <v>0.4435700601903948</v>
      </c>
      <c r="I4" s="12">
        <f>+F4+G4+H4</f>
        <v>1</v>
      </c>
    </row>
    <row r="5" spans="1:14" x14ac:dyDescent="0.25">
      <c r="E5" s="35">
        <f>+E2</f>
        <v>45596</v>
      </c>
      <c r="F5" s="13">
        <f t="shared" si="0"/>
        <v>0.5521075005423175</v>
      </c>
      <c r="G5" s="13">
        <f t="shared" si="0"/>
        <v>1.89883704823927E-3</v>
      </c>
      <c r="H5" s="13">
        <f t="shared" si="0"/>
        <v>0.44599366240944333</v>
      </c>
      <c r="I5" s="12">
        <f>+F5+G5+H5</f>
        <v>1</v>
      </c>
    </row>
    <row r="6" spans="1:14" x14ac:dyDescent="0.25">
      <c r="A6" s="46" t="s">
        <v>0</v>
      </c>
      <c r="B6" s="46"/>
      <c r="C6" s="46"/>
      <c r="E6" s="39" t="s">
        <v>17</v>
      </c>
      <c r="F6" s="40">
        <f>AVERAGE(F4:F5)</f>
        <v>0.5533082584732878</v>
      </c>
      <c r="G6" s="40">
        <f>AVERAGE(G4:G5)</f>
        <v>1.9098802267931282E-3</v>
      </c>
      <c r="H6" s="40">
        <f>AVERAGE(H4:H5)</f>
        <v>0.44478186129991903</v>
      </c>
      <c r="I6" s="12"/>
    </row>
    <row r="7" spans="1:14" x14ac:dyDescent="0.25">
      <c r="A7" s="16" t="s">
        <v>1</v>
      </c>
      <c r="B7" s="17" t="s">
        <v>2</v>
      </c>
      <c r="C7" s="18" t="s">
        <v>3</v>
      </c>
      <c r="E7" s="35"/>
      <c r="F7" s="13"/>
      <c r="G7" s="13"/>
      <c r="H7" s="13"/>
      <c r="I7" s="12"/>
      <c r="J7" s="28" t="s">
        <v>4</v>
      </c>
      <c r="K7" s="14" t="s">
        <v>5</v>
      </c>
      <c r="L7" s="15" t="s">
        <v>6</v>
      </c>
    </row>
    <row r="8" spans="1:14" x14ac:dyDescent="0.25">
      <c r="A8" s="1">
        <v>105433</v>
      </c>
      <c r="B8" s="21">
        <v>45566</v>
      </c>
      <c r="C8" s="33">
        <v>29846323</v>
      </c>
      <c r="J8" s="3">
        <v>16514217.000961235</v>
      </c>
      <c r="K8" s="3">
        <v>57002.902140180959</v>
      </c>
      <c r="L8" s="3">
        <v>13275103.096898584</v>
      </c>
      <c r="M8" s="4">
        <f>SUM(J8:L8)</f>
        <v>29846323</v>
      </c>
      <c r="N8" s="4">
        <f>+C8-M8</f>
        <v>0</v>
      </c>
    </row>
    <row r="9" spans="1:14" x14ac:dyDescent="0.25">
      <c r="A9" s="25">
        <v>105433</v>
      </c>
      <c r="B9" s="2">
        <v>45567</v>
      </c>
      <c r="C9" s="33">
        <v>29518554.219999999</v>
      </c>
      <c r="J9" s="3">
        <v>16332859.82811752</v>
      </c>
      <c r="K9" s="3">
        <v>56376.903028298846</v>
      </c>
      <c r="L9" s="3">
        <v>13129317.488854179</v>
      </c>
      <c r="M9" s="4">
        <f>SUM(J9:L9)</f>
        <v>29518554.219999999</v>
      </c>
      <c r="N9" s="4">
        <f t="shared" ref="N9:N38" si="1">+C9-M9</f>
        <v>0</v>
      </c>
    </row>
    <row r="10" spans="1:14" x14ac:dyDescent="0.25">
      <c r="A10" s="25">
        <v>105433</v>
      </c>
      <c r="B10" s="2">
        <v>45568</v>
      </c>
      <c r="C10" s="33">
        <v>29424931.84</v>
      </c>
      <c r="J10" s="3">
        <v>16281057.792085595</v>
      </c>
      <c r="K10" s="3">
        <v>56198.095495951537</v>
      </c>
      <c r="L10" s="3">
        <v>13087675.952418452</v>
      </c>
      <c r="M10" s="4">
        <f>SUM(J10:L10)</f>
        <v>29424931.84</v>
      </c>
      <c r="N10" s="4">
        <f t="shared" si="1"/>
        <v>0</v>
      </c>
    </row>
    <row r="11" spans="1:14" x14ac:dyDescent="0.25">
      <c r="A11" s="25">
        <v>105433</v>
      </c>
      <c r="B11" s="2">
        <v>45569</v>
      </c>
      <c r="C11" s="33">
        <v>29426001.75</v>
      </c>
      <c r="J11" s="3">
        <v>16281649.782124419</v>
      </c>
      <c r="K11" s="3">
        <v>56200.138895904987</v>
      </c>
      <c r="L11" s="3">
        <v>13088151.828979675</v>
      </c>
      <c r="M11" s="4">
        <f t="shared" ref="M11:M38" si="2">SUM(J11:L11)</f>
        <v>29426001.75</v>
      </c>
      <c r="N11" s="4">
        <f t="shared" si="1"/>
        <v>0</v>
      </c>
    </row>
    <row r="12" spans="1:14" x14ac:dyDescent="0.25">
      <c r="A12" s="25">
        <v>105433</v>
      </c>
      <c r="B12" s="21">
        <v>45570</v>
      </c>
      <c r="C12" s="33">
        <v>29426001.75</v>
      </c>
      <c r="J12" s="3">
        <v>16281649.782124419</v>
      </c>
      <c r="K12" s="3">
        <v>56200.138895904987</v>
      </c>
      <c r="L12" s="3">
        <v>13088151.828979675</v>
      </c>
      <c r="M12" s="4">
        <f t="shared" si="2"/>
        <v>29426001.75</v>
      </c>
      <c r="N12" s="4">
        <f t="shared" si="1"/>
        <v>0</v>
      </c>
    </row>
    <row r="13" spans="1:14" x14ac:dyDescent="0.25">
      <c r="A13" s="25">
        <v>105433</v>
      </c>
      <c r="B13" s="21">
        <v>45571</v>
      </c>
      <c r="C13" s="33">
        <v>29426001.75</v>
      </c>
      <c r="E13" t="s">
        <v>7</v>
      </c>
      <c r="J13" s="3">
        <v>16281649.782124419</v>
      </c>
      <c r="K13" s="3">
        <v>56200.138895904987</v>
      </c>
      <c r="L13" s="3">
        <v>13088151.828979675</v>
      </c>
      <c r="M13" s="4">
        <f t="shared" si="2"/>
        <v>29426001.75</v>
      </c>
      <c r="N13" s="4">
        <f t="shared" si="1"/>
        <v>0</v>
      </c>
    </row>
    <row r="14" spans="1:14" x14ac:dyDescent="0.25">
      <c r="A14" s="25">
        <v>105433</v>
      </c>
      <c r="B14" s="2">
        <v>45572</v>
      </c>
      <c r="C14" s="33">
        <v>29434033.539999999</v>
      </c>
      <c r="J14" s="3">
        <v>16286093.837861741</v>
      </c>
      <c r="K14" s="3">
        <v>56215.47865281174</v>
      </c>
      <c r="L14" s="3">
        <v>13091724.223485444</v>
      </c>
      <c r="M14" s="4">
        <f t="shared" si="2"/>
        <v>29434033.539999999</v>
      </c>
      <c r="N14" s="4">
        <f t="shared" si="1"/>
        <v>0</v>
      </c>
    </row>
    <row r="15" spans="1:14" x14ac:dyDescent="0.25">
      <c r="A15" s="25">
        <v>105433</v>
      </c>
      <c r="B15" s="2">
        <v>45573</v>
      </c>
      <c r="C15" s="33">
        <v>29470455.510000002</v>
      </c>
      <c r="J15" s="3">
        <v>16306246.41465261</v>
      </c>
      <c r="K15" s="3">
        <v>56285.040253135601</v>
      </c>
      <c r="L15" s="3">
        <v>13107924.055094255</v>
      </c>
      <c r="M15" s="4">
        <f t="shared" si="2"/>
        <v>29470455.510000002</v>
      </c>
      <c r="N15" s="4">
        <f t="shared" si="1"/>
        <v>0</v>
      </c>
    </row>
    <row r="16" spans="1:14" x14ac:dyDescent="0.25">
      <c r="A16" s="25">
        <v>105433</v>
      </c>
      <c r="B16" s="2">
        <v>45574</v>
      </c>
      <c r="C16" s="33">
        <v>29700999.859999999</v>
      </c>
      <c r="J16" s="3">
        <v>16433808.507451965</v>
      </c>
      <c r="K16" s="3">
        <v>56725.352348599466</v>
      </c>
      <c r="L16" s="3">
        <v>13210466.000199435</v>
      </c>
      <c r="M16" s="4">
        <f t="shared" si="2"/>
        <v>29700999.859999999</v>
      </c>
      <c r="N16" s="4">
        <f t="shared" si="1"/>
        <v>0</v>
      </c>
    </row>
    <row r="17" spans="1:14" x14ac:dyDescent="0.25">
      <c r="A17" s="25">
        <v>105433</v>
      </c>
      <c r="B17" s="2">
        <v>45575</v>
      </c>
      <c r="C17" s="33">
        <v>29684115.559999999</v>
      </c>
      <c r="J17" s="3">
        <v>16424466.284823423</v>
      </c>
      <c r="K17" s="3">
        <v>56693.105357886227</v>
      </c>
      <c r="L17" s="3">
        <v>13202956.169818688</v>
      </c>
      <c r="M17" s="4">
        <f t="shared" si="2"/>
        <v>29684115.559999995</v>
      </c>
      <c r="N17" s="4">
        <f t="shared" si="1"/>
        <v>0</v>
      </c>
    </row>
    <row r="18" spans="1:14" x14ac:dyDescent="0.25">
      <c r="A18" s="25">
        <v>105433</v>
      </c>
      <c r="B18" s="2">
        <v>45576</v>
      </c>
      <c r="C18" s="33">
        <v>29483419.850000001</v>
      </c>
      <c r="J18" s="3">
        <v>16313419.691040264</v>
      </c>
      <c r="K18" s="3">
        <v>56309.800589755017</v>
      </c>
      <c r="L18" s="3">
        <v>13113690.35836998</v>
      </c>
      <c r="M18" s="4">
        <f t="shared" si="2"/>
        <v>29483419.850000001</v>
      </c>
      <c r="N18" s="4">
        <f t="shared" si="1"/>
        <v>0</v>
      </c>
    </row>
    <row r="19" spans="1:14" x14ac:dyDescent="0.25">
      <c r="A19" s="25">
        <v>105433</v>
      </c>
      <c r="B19" s="21">
        <v>45577</v>
      </c>
      <c r="C19" s="33">
        <v>29483419.850000001</v>
      </c>
      <c r="J19" s="3">
        <v>16313419.691040264</v>
      </c>
      <c r="K19" s="3">
        <v>56309.800589755017</v>
      </c>
      <c r="L19" s="3">
        <v>13113690.35836998</v>
      </c>
      <c r="M19" s="4">
        <f t="shared" si="2"/>
        <v>29483419.850000001</v>
      </c>
      <c r="N19" s="4">
        <f t="shared" si="1"/>
        <v>0</v>
      </c>
    </row>
    <row r="20" spans="1:14" x14ac:dyDescent="0.25">
      <c r="A20" s="25">
        <v>105433</v>
      </c>
      <c r="B20" s="21">
        <v>45578</v>
      </c>
      <c r="C20" s="33">
        <v>29483419.850000001</v>
      </c>
      <c r="J20" s="3">
        <v>16313419.691040264</v>
      </c>
      <c r="K20" s="3">
        <v>56309.800589755017</v>
      </c>
      <c r="L20" s="3">
        <v>13113690.35836998</v>
      </c>
      <c r="M20" s="4">
        <f t="shared" si="2"/>
        <v>29483419.850000001</v>
      </c>
      <c r="N20" s="4">
        <f t="shared" si="1"/>
        <v>0</v>
      </c>
    </row>
    <row r="21" spans="1:14" x14ac:dyDescent="0.25">
      <c r="A21" s="25">
        <v>105433</v>
      </c>
      <c r="B21" s="2">
        <v>45579</v>
      </c>
      <c r="C21" s="33">
        <v>29519575.73</v>
      </c>
      <c r="G21" s="34"/>
      <c r="H21" s="34"/>
      <c r="I21" s="34"/>
      <c r="J21" s="3">
        <v>16333425.038036633</v>
      </c>
      <c r="K21" s="3">
        <v>56378.853990049327</v>
      </c>
      <c r="L21" s="3">
        <v>13129771.837973317</v>
      </c>
      <c r="M21" s="4">
        <f t="shared" si="2"/>
        <v>29519575.73</v>
      </c>
      <c r="N21" s="4">
        <f t="shared" si="1"/>
        <v>0</v>
      </c>
    </row>
    <row r="22" spans="1:14" x14ac:dyDescent="0.25">
      <c r="A22" s="25">
        <v>105433</v>
      </c>
      <c r="B22" s="2">
        <v>45580</v>
      </c>
      <c r="C22" s="33">
        <v>29887914.809999999</v>
      </c>
      <c r="G22" s="34"/>
      <c r="H22" s="34"/>
      <c r="I22" s="34"/>
      <c r="J22" s="3">
        <v>16537230.092919085</v>
      </c>
      <c r="K22" s="3">
        <v>57082.33751569649</v>
      </c>
      <c r="L22" s="3">
        <v>13293602.379565215</v>
      </c>
      <c r="M22" s="4">
        <f t="shared" si="2"/>
        <v>29887914.809999995</v>
      </c>
      <c r="N22" s="4">
        <f t="shared" si="1"/>
        <v>0</v>
      </c>
    </row>
    <row r="23" spans="1:14" x14ac:dyDescent="0.25">
      <c r="A23" s="25">
        <v>105433</v>
      </c>
      <c r="B23" s="2">
        <v>45581</v>
      </c>
      <c r="C23" s="33">
        <v>30109874.920000002</v>
      </c>
      <c r="G23" s="34"/>
      <c r="H23" s="34"/>
      <c r="I23" s="34"/>
      <c r="J23" s="3">
        <v>16660042.454833727</v>
      </c>
      <c r="K23" s="3">
        <v>57506.254740922326</v>
      </c>
      <c r="L23" s="3">
        <v>13392326.210425351</v>
      </c>
      <c r="M23" s="4">
        <f t="shared" si="2"/>
        <v>30109874.920000002</v>
      </c>
      <c r="N23" s="4">
        <f t="shared" si="1"/>
        <v>0</v>
      </c>
    </row>
    <row r="24" spans="1:14" x14ac:dyDescent="0.25">
      <c r="A24" s="25">
        <v>105433</v>
      </c>
      <c r="B24" s="2">
        <v>45582</v>
      </c>
      <c r="C24" s="33">
        <v>30036853.09</v>
      </c>
      <c r="G24" s="34"/>
      <c r="H24" s="34"/>
      <c r="I24" s="34"/>
      <c r="J24" s="3">
        <v>16619638.873245893</v>
      </c>
      <c r="K24" s="3">
        <v>57366.791791681077</v>
      </c>
      <c r="L24" s="3">
        <v>13359847.424962424</v>
      </c>
      <c r="M24" s="4">
        <f t="shared" si="2"/>
        <v>30036853.089999996</v>
      </c>
      <c r="N24" s="4">
        <f t="shared" si="1"/>
        <v>0</v>
      </c>
    </row>
    <row r="25" spans="1:14" x14ac:dyDescent="0.25">
      <c r="A25" s="25">
        <v>105433</v>
      </c>
      <c r="B25" s="2">
        <v>45583</v>
      </c>
      <c r="C25" s="33">
        <v>30081061.449999999</v>
      </c>
      <c r="G25" s="34"/>
      <c r="H25" s="34"/>
      <c r="I25" s="34"/>
      <c r="J25" s="3">
        <v>16644099.723927453</v>
      </c>
      <c r="K25" s="3">
        <v>57451.224464304025</v>
      </c>
      <c r="L25" s="3">
        <v>13379510.501608241</v>
      </c>
      <c r="M25" s="4">
        <f t="shared" si="2"/>
        <v>30081061.449999999</v>
      </c>
      <c r="N25" s="4">
        <f t="shared" si="1"/>
        <v>0</v>
      </c>
    </row>
    <row r="26" spans="1:14" x14ac:dyDescent="0.25">
      <c r="A26" s="25">
        <v>105433</v>
      </c>
      <c r="B26" s="21">
        <v>45584</v>
      </c>
      <c r="C26" s="33">
        <v>30081061.449999999</v>
      </c>
      <c r="G26" s="34"/>
      <c r="H26" s="34"/>
      <c r="I26" s="34"/>
      <c r="J26" s="3">
        <v>16644099.723927453</v>
      </c>
      <c r="K26" s="3">
        <v>57451.224464304025</v>
      </c>
      <c r="L26" s="3">
        <v>13379510.501608241</v>
      </c>
      <c r="M26" s="4">
        <f t="shared" si="2"/>
        <v>30081061.449999999</v>
      </c>
      <c r="N26" s="4">
        <f t="shared" si="1"/>
        <v>0</v>
      </c>
    </row>
    <row r="27" spans="1:14" x14ac:dyDescent="0.25">
      <c r="A27" s="25">
        <v>105433</v>
      </c>
      <c r="B27" s="21">
        <v>45585</v>
      </c>
      <c r="C27" s="33">
        <v>30081061.449999999</v>
      </c>
      <c r="G27" s="10"/>
      <c r="J27" s="3">
        <v>16644099.723927453</v>
      </c>
      <c r="K27" s="3">
        <v>57451.224464304025</v>
      </c>
      <c r="L27" s="3">
        <v>13379510.501608241</v>
      </c>
      <c r="M27" s="4">
        <f t="shared" si="2"/>
        <v>30081061.449999999</v>
      </c>
      <c r="N27" s="4">
        <f t="shared" si="1"/>
        <v>0</v>
      </c>
    </row>
    <row r="28" spans="1:14" x14ac:dyDescent="0.25">
      <c r="A28" s="25">
        <v>105433</v>
      </c>
      <c r="B28" s="2">
        <v>45586</v>
      </c>
      <c r="C28" s="33">
        <v>30141405.129999999</v>
      </c>
      <c r="G28" s="34"/>
      <c r="H28" s="34"/>
      <c r="I28" s="34"/>
      <c r="J28" s="3">
        <v>16677488.380418122</v>
      </c>
      <c r="K28" s="3">
        <v>57566.473665547957</v>
      </c>
      <c r="L28" s="3">
        <v>13406350.275916327</v>
      </c>
      <c r="M28" s="4">
        <f t="shared" si="2"/>
        <v>30141405.129999995</v>
      </c>
      <c r="N28" s="4">
        <f t="shared" si="1"/>
        <v>0</v>
      </c>
    </row>
    <row r="29" spans="1:14" x14ac:dyDescent="0.25">
      <c r="A29" s="25">
        <v>105433</v>
      </c>
      <c r="B29" s="2">
        <v>45587</v>
      </c>
      <c r="C29" s="33">
        <v>30066796.510000002</v>
      </c>
      <c r="G29" s="34"/>
      <c r="H29" s="34"/>
      <c r="I29" s="34"/>
      <c r="J29" s="3">
        <v>16636206.814818827</v>
      </c>
      <c r="K29" s="3">
        <v>57423.980137461636</v>
      </c>
      <c r="L29" s="3">
        <v>13373165.715043711</v>
      </c>
      <c r="M29" s="4">
        <f t="shared" si="2"/>
        <v>30066796.509999998</v>
      </c>
      <c r="N29" s="4">
        <f t="shared" si="1"/>
        <v>0</v>
      </c>
    </row>
    <row r="30" spans="1:14" x14ac:dyDescent="0.25">
      <c r="A30" s="25">
        <v>105433</v>
      </c>
      <c r="B30" s="2">
        <v>45588</v>
      </c>
      <c r="C30" s="33">
        <v>30011172.68</v>
      </c>
      <c r="G30" s="10"/>
      <c r="H30" s="34"/>
      <c r="I30" s="34"/>
      <c r="J30" s="3">
        <v>16605429.690311912</v>
      </c>
      <c r="K30" s="3">
        <v>57317.745284406134</v>
      </c>
      <c r="L30" s="3">
        <v>13348425.244403679</v>
      </c>
      <c r="M30" s="4">
        <f t="shared" si="2"/>
        <v>30011172.68</v>
      </c>
      <c r="N30" s="4">
        <f t="shared" si="1"/>
        <v>0</v>
      </c>
    </row>
    <row r="31" spans="1:14" x14ac:dyDescent="0.25">
      <c r="A31" s="25">
        <v>105433</v>
      </c>
      <c r="B31" s="2">
        <v>45589</v>
      </c>
      <c r="C31" s="33">
        <v>29990887.25</v>
      </c>
      <c r="G31" s="34"/>
      <c r="H31" s="34"/>
      <c r="I31" s="34"/>
      <c r="J31" s="3">
        <v>16594205.594366232</v>
      </c>
      <c r="K31" s="3">
        <v>57279.002542757138</v>
      </c>
      <c r="L31" s="3">
        <v>13339402.65309101</v>
      </c>
      <c r="M31" s="4">
        <f t="shared" si="2"/>
        <v>29990887.25</v>
      </c>
      <c r="N31" s="4">
        <f t="shared" si="1"/>
        <v>0</v>
      </c>
    </row>
    <row r="32" spans="1:14" x14ac:dyDescent="0.25">
      <c r="A32" s="25">
        <v>105433</v>
      </c>
      <c r="B32" s="2">
        <v>45590</v>
      </c>
      <c r="C32" s="33">
        <v>30102009.109999999</v>
      </c>
      <c r="G32" s="34"/>
      <c r="H32" s="34"/>
      <c r="I32" s="34"/>
      <c r="J32" s="3">
        <v>16655690.237201143</v>
      </c>
      <c r="K32" s="3">
        <v>57491.231985935607</v>
      </c>
      <c r="L32" s="3">
        <v>13388827.640812919</v>
      </c>
      <c r="M32" s="4">
        <f t="shared" si="2"/>
        <v>30102009.109999999</v>
      </c>
      <c r="N32" s="4">
        <f t="shared" si="1"/>
        <v>0</v>
      </c>
    </row>
    <row r="33" spans="1:14" x14ac:dyDescent="0.25">
      <c r="A33" s="25">
        <v>105433</v>
      </c>
      <c r="B33" s="21">
        <v>45591</v>
      </c>
      <c r="C33" s="33">
        <v>30102009.109999999</v>
      </c>
      <c r="G33" s="34"/>
      <c r="H33" s="34"/>
      <c r="I33" s="34"/>
      <c r="J33" s="3">
        <v>16655690.237201143</v>
      </c>
      <c r="K33" s="3">
        <v>57491.231985935607</v>
      </c>
      <c r="L33" s="3">
        <v>13388827.640812919</v>
      </c>
      <c r="M33" s="4">
        <f t="shared" si="2"/>
        <v>30102009.109999999</v>
      </c>
      <c r="N33" s="4">
        <f t="shared" si="1"/>
        <v>0</v>
      </c>
    </row>
    <row r="34" spans="1:14" x14ac:dyDescent="0.25">
      <c r="A34" s="25">
        <v>105433</v>
      </c>
      <c r="B34" s="21">
        <v>45592</v>
      </c>
      <c r="C34" s="33">
        <v>30102009.109999999</v>
      </c>
      <c r="J34" s="3">
        <v>16655690.237201143</v>
      </c>
      <c r="K34" s="3">
        <v>57491.231985935607</v>
      </c>
      <c r="L34" s="3">
        <v>13388827.640812919</v>
      </c>
      <c r="M34" s="4">
        <f t="shared" si="2"/>
        <v>30102009.109999999</v>
      </c>
      <c r="N34" s="4">
        <f t="shared" si="1"/>
        <v>0</v>
      </c>
    </row>
    <row r="35" spans="1:14" x14ac:dyDescent="0.25">
      <c r="A35" s="25">
        <v>105433</v>
      </c>
      <c r="B35" s="2">
        <v>45593</v>
      </c>
      <c r="C35" s="33">
        <v>30174875.489999998</v>
      </c>
      <c r="G35" s="34"/>
      <c r="H35" s="34"/>
      <c r="I35" s="34"/>
      <c r="J35" s="3">
        <v>16696007.807020197</v>
      </c>
      <c r="K35" s="3">
        <v>57630.398044295602</v>
      </c>
      <c r="L35" s="3">
        <v>13421237.284935506</v>
      </c>
      <c r="M35" s="4">
        <f t="shared" si="2"/>
        <v>30174875.489999998</v>
      </c>
      <c r="N35" s="4">
        <f t="shared" si="1"/>
        <v>0</v>
      </c>
    </row>
    <row r="36" spans="1:14" x14ac:dyDescent="0.25">
      <c r="A36" s="25">
        <v>105433</v>
      </c>
      <c r="B36" s="2">
        <v>45594</v>
      </c>
      <c r="C36" s="33">
        <v>30205653.879999999</v>
      </c>
      <c r="G36" s="34"/>
      <c r="H36" s="34"/>
      <c r="I36" s="34"/>
      <c r="J36" s="3">
        <v>16713037.744389707</v>
      </c>
      <c r="K36" s="3">
        <v>57689.18108276913</v>
      </c>
      <c r="L36" s="3">
        <v>13434926.954527522</v>
      </c>
      <c r="M36" s="4">
        <f t="shared" si="2"/>
        <v>30205653.879999995</v>
      </c>
      <c r="N36" s="4"/>
    </row>
    <row r="37" spans="1:14" x14ac:dyDescent="0.25">
      <c r="A37" s="1">
        <v>105433</v>
      </c>
      <c r="B37" s="2">
        <v>45595</v>
      </c>
      <c r="C37" s="33">
        <v>30255754.829999998</v>
      </c>
      <c r="G37" s="34"/>
      <c r="H37" s="34"/>
      <c r="I37" s="34"/>
      <c r="J37" s="3">
        <v>16740759.013782065</v>
      </c>
      <c r="K37" s="3">
        <v>57784.86789651768</v>
      </c>
      <c r="L37" s="3">
        <v>13457210.948321415</v>
      </c>
      <c r="M37" s="4">
        <f t="shared" si="2"/>
        <v>30255754.829999998</v>
      </c>
      <c r="N37" s="4">
        <f t="shared" si="1"/>
        <v>0</v>
      </c>
    </row>
    <row r="38" spans="1:14" x14ac:dyDescent="0.25">
      <c r="A38" s="1">
        <v>105434</v>
      </c>
      <c r="B38" s="2">
        <v>45596</v>
      </c>
      <c r="C38" s="33">
        <v>30182416.32</v>
      </c>
      <c r="G38" s="34"/>
      <c r="H38" s="34"/>
      <c r="I38" s="34"/>
      <c r="J38" s="3">
        <v>16700180.21053494</v>
      </c>
      <c r="K38" s="3">
        <v>57644.800126406211</v>
      </c>
      <c r="L38" s="3">
        <v>13424591.309338653</v>
      </c>
      <c r="M38" s="4">
        <f t="shared" si="2"/>
        <v>30182416.32</v>
      </c>
      <c r="N38" s="4">
        <f t="shared" si="1"/>
        <v>0</v>
      </c>
    </row>
    <row r="39" spans="1:14" x14ac:dyDescent="0.25">
      <c r="A39" s="5"/>
      <c r="B39" s="6"/>
      <c r="J39" s="7"/>
    </row>
    <row r="40" spans="1:14" x14ac:dyDescent="0.25">
      <c r="A40" s="19" t="s">
        <v>8</v>
      </c>
      <c r="B40" s="8">
        <f>COUNT(B8:B38)</f>
        <v>31</v>
      </c>
      <c r="C40" s="4">
        <f>AVERAGE(C8:C38)</f>
        <v>29836776.472580653</v>
      </c>
      <c r="J40" s="4">
        <f>AVERAGE(J8:J38)</f>
        <v>16508934.828500364</v>
      </c>
      <c r="K40" s="4">
        <f>AVERAGE(K8:K38)</f>
        <v>56984.669416228215</v>
      </c>
      <c r="L40" s="4">
        <f>AVERAGE(L8:L38)</f>
        <v>13270856.974664053</v>
      </c>
      <c r="M40" s="4">
        <f>SUM(J40:L40)</f>
        <v>29836776.472580645</v>
      </c>
      <c r="N40" s="4">
        <f>M40-C40</f>
        <v>0</v>
      </c>
    </row>
    <row r="41" spans="1:14" x14ac:dyDescent="0.25">
      <c r="A41" s="19" t="s">
        <v>9</v>
      </c>
      <c r="B41" s="8">
        <v>1.62</v>
      </c>
      <c r="C41" s="9">
        <f>+C40*$B$42</f>
        <v>41622.303179250019</v>
      </c>
      <c r="D41" s="10">
        <f>C41*1.16</f>
        <v>48281.871687930019</v>
      </c>
      <c r="J41" s="20">
        <f>(+J40*$B$42)</f>
        <v>23029.964085758013</v>
      </c>
      <c r="K41" s="20">
        <f>(+K40*$B$42)</f>
        <v>79.493613835638371</v>
      </c>
      <c r="L41" s="20">
        <f>(+L40*$B$42)</f>
        <v>18512.845479656356</v>
      </c>
      <c r="M41" s="4">
        <f>SUM(J41:L41)</f>
        <v>41622.303179250011</v>
      </c>
      <c r="N41" s="4">
        <f>+C41/M41</f>
        <v>1.0000000000000002</v>
      </c>
    </row>
    <row r="42" spans="1:14" x14ac:dyDescent="0.25">
      <c r="A42" s="19" t="s">
        <v>10</v>
      </c>
      <c r="B42" s="11">
        <f>B41/360*B40/100</f>
        <v>1.3950000000000002E-3</v>
      </c>
      <c r="D42" s="10">
        <f>D41-C41</f>
        <v>6659.5685086800004</v>
      </c>
      <c r="M42" s="32">
        <f>C41/M41</f>
        <v>1.0000000000000002</v>
      </c>
    </row>
    <row r="46" spans="1:14" x14ac:dyDescent="0.25">
      <c r="M46" s="10">
        <f>+'JUL24'!M41+'AGO24'!M41+'OCT24'!M41</f>
        <v>121883.75590500003</v>
      </c>
    </row>
    <row r="47" spans="1:14" x14ac:dyDescent="0.25">
      <c r="D47" s="10">
        <f>+C41+'NOV24'!C41</f>
        <v>82652.668056450028</v>
      </c>
    </row>
  </sheetData>
  <mergeCells count="1">
    <mergeCell ref="A6:C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17812-A5DE-4636-8FC7-A4870A667D8F}">
  <dimension ref="A1:N46"/>
  <sheetViews>
    <sheetView workbookViewId="0">
      <selection activeCell="I24" sqref="I24"/>
    </sheetView>
  </sheetViews>
  <sheetFormatPr baseColWidth="10" defaultRowHeight="15" x14ac:dyDescent="0.25"/>
  <cols>
    <col min="3" max="3" width="15.140625" bestFit="1" customWidth="1"/>
    <col min="6" max="6" width="14.140625" bestFit="1" customWidth="1"/>
    <col min="8" max="9" width="14.140625" bestFit="1" customWidth="1"/>
    <col min="10" max="12" width="17" bestFit="1" customWidth="1"/>
    <col min="13" max="14" width="15.140625" bestFit="1" customWidth="1"/>
  </cols>
  <sheetData>
    <row r="1" spans="1:14" x14ac:dyDescent="0.25">
      <c r="D1" s="38" t="s">
        <v>15</v>
      </c>
      <c r="E1" s="35">
        <v>45596</v>
      </c>
      <c r="F1" s="36">
        <v>16684170.6184</v>
      </c>
      <c r="G1" s="36">
        <v>57381.073900000003</v>
      </c>
      <c r="H1" s="36">
        <v>13477509.9977</v>
      </c>
      <c r="I1" s="37">
        <f>+F1+G1+H1</f>
        <v>30219061.689999998</v>
      </c>
    </row>
    <row r="2" spans="1:14" x14ac:dyDescent="0.25">
      <c r="D2" s="38" t="s">
        <v>16</v>
      </c>
      <c r="E2" s="35">
        <v>45991</v>
      </c>
      <c r="F2" s="36">
        <v>16799484.789999999</v>
      </c>
      <c r="G2" s="36">
        <v>57222.6</v>
      </c>
      <c r="H2" s="36">
        <v>13504600.800000001</v>
      </c>
      <c r="I2" s="37">
        <f>+F2+G2+H2</f>
        <v>30361308.190000001</v>
      </c>
    </row>
    <row r="3" spans="1:14" x14ac:dyDescent="0.25">
      <c r="E3" s="38"/>
      <c r="F3" s="37"/>
    </row>
    <row r="4" spans="1:14" x14ac:dyDescent="0.25">
      <c r="E4" s="35">
        <f>+E1</f>
        <v>45596</v>
      </c>
      <c r="F4" s="13">
        <f t="shared" ref="F4:H5" si="0">+F1/$I1</f>
        <v>0.5521075005423175</v>
      </c>
      <c r="G4" s="13">
        <f t="shared" si="0"/>
        <v>1.89883704823927E-3</v>
      </c>
      <c r="H4" s="13">
        <f t="shared" si="0"/>
        <v>0.44599366240944333</v>
      </c>
      <c r="I4" s="12">
        <f>+F4+G4+H4</f>
        <v>1</v>
      </c>
    </row>
    <row r="5" spans="1:14" x14ac:dyDescent="0.25">
      <c r="E5" s="35">
        <f>+E2</f>
        <v>45991</v>
      </c>
      <c r="F5" s="13">
        <f t="shared" si="0"/>
        <v>0.55331887166618166</v>
      </c>
      <c r="G5" s="13">
        <f t="shared" si="0"/>
        <v>1.8847211602972763E-3</v>
      </c>
      <c r="H5" s="13">
        <f t="shared" si="0"/>
        <v>0.44479640717352109</v>
      </c>
      <c r="I5" s="12">
        <f>+F5+G5+H5</f>
        <v>1</v>
      </c>
    </row>
    <row r="6" spans="1:14" x14ac:dyDescent="0.25">
      <c r="A6" s="46" t="s">
        <v>0</v>
      </c>
      <c r="B6" s="46"/>
      <c r="C6" s="46"/>
      <c r="E6" s="39" t="s">
        <v>17</v>
      </c>
      <c r="F6" s="40">
        <f>AVERAGE(F4:F5)</f>
        <v>0.55271318610424958</v>
      </c>
      <c r="G6" s="40">
        <f>AVERAGE(G4:G5)</f>
        <v>1.8917791042682732E-3</v>
      </c>
      <c r="H6" s="40">
        <f>AVERAGE(H4:H5)</f>
        <v>0.44539503479148224</v>
      </c>
      <c r="I6" s="12"/>
    </row>
    <row r="7" spans="1:14" x14ac:dyDescent="0.25">
      <c r="A7" s="16" t="s">
        <v>1</v>
      </c>
      <c r="B7" s="17" t="s">
        <v>2</v>
      </c>
      <c r="C7" s="18" t="s">
        <v>3</v>
      </c>
      <c r="E7" s="35"/>
      <c r="F7" s="13"/>
      <c r="G7" s="13"/>
      <c r="H7" s="13"/>
      <c r="I7" s="12"/>
      <c r="J7" s="28" t="s">
        <v>4</v>
      </c>
      <c r="K7" s="14" t="s">
        <v>5</v>
      </c>
      <c r="L7" s="15" t="s">
        <v>6</v>
      </c>
    </row>
    <row r="8" spans="1:14" x14ac:dyDescent="0.25">
      <c r="A8" s="1">
        <v>105433</v>
      </c>
      <c r="B8" s="2">
        <v>45597</v>
      </c>
      <c r="C8" s="33">
        <v>30382512.390000001</v>
      </c>
      <c r="J8" s="3">
        <v>16792815.22492874</v>
      </c>
      <c r="K8" s="3">
        <v>57477.002074573909</v>
      </c>
      <c r="L8" s="3">
        <v>13532220.162996691</v>
      </c>
      <c r="M8" s="4">
        <f>SUM(J8:L8)</f>
        <v>30382512.390000004</v>
      </c>
      <c r="N8" s="4">
        <f>+C8-M8</f>
        <v>0</v>
      </c>
    </row>
    <row r="9" spans="1:14" x14ac:dyDescent="0.25">
      <c r="A9" s="25">
        <v>105433</v>
      </c>
      <c r="B9" s="2">
        <v>45598</v>
      </c>
      <c r="C9" s="33">
        <v>30382512.390000001</v>
      </c>
      <c r="J9" s="3">
        <v>16792815.22492874</v>
      </c>
      <c r="K9" s="3">
        <v>57477.002074573909</v>
      </c>
      <c r="L9" s="3">
        <v>13532220.162996691</v>
      </c>
      <c r="M9" s="4">
        <f>SUM(J9:L9)</f>
        <v>30382512.390000004</v>
      </c>
      <c r="N9" s="4">
        <f t="shared" ref="N9:N38" si="1">+C9-M9</f>
        <v>0</v>
      </c>
    </row>
    <row r="10" spans="1:14" x14ac:dyDescent="0.25">
      <c r="A10" s="25">
        <v>105433</v>
      </c>
      <c r="B10" s="2">
        <v>45599</v>
      </c>
      <c r="C10" s="33">
        <v>30382512.390000001</v>
      </c>
      <c r="J10" s="3">
        <v>16792815.22492874</v>
      </c>
      <c r="K10" s="3">
        <v>57477.002074573909</v>
      </c>
      <c r="L10" s="3">
        <v>13532220.162996691</v>
      </c>
      <c r="M10" s="4">
        <f>SUM(J10:L10)</f>
        <v>30382512.390000004</v>
      </c>
      <c r="N10" s="4">
        <f t="shared" si="1"/>
        <v>0</v>
      </c>
    </row>
    <row r="11" spans="1:14" x14ac:dyDescent="0.25">
      <c r="A11" s="25">
        <v>105433</v>
      </c>
      <c r="B11" s="2">
        <v>45600</v>
      </c>
      <c r="C11" s="33">
        <v>30223091.920000002</v>
      </c>
      <c r="J11" s="3">
        <v>16704701.429024803</v>
      </c>
      <c r="K11" s="3">
        <v>57175.413760635289</v>
      </c>
      <c r="L11" s="3">
        <v>13461215.077214567</v>
      </c>
      <c r="M11" s="4">
        <f t="shared" ref="M11:M37" si="2">SUM(J11:L11)</f>
        <v>30223091.920000006</v>
      </c>
      <c r="N11" s="4">
        <f t="shared" si="1"/>
        <v>0</v>
      </c>
    </row>
    <row r="12" spans="1:14" x14ac:dyDescent="0.25">
      <c r="A12" s="25">
        <v>105433</v>
      </c>
      <c r="B12" s="2">
        <v>45601</v>
      </c>
      <c r="C12" s="33">
        <v>30127532.27</v>
      </c>
      <c r="J12" s="3">
        <v>16651884.350410294</v>
      </c>
      <c r="K12" s="3">
        <v>56994.636011554096</v>
      </c>
      <c r="L12" s="3">
        <v>13418653.283578154</v>
      </c>
      <c r="M12" s="4">
        <f t="shared" si="2"/>
        <v>30127532.270000003</v>
      </c>
      <c r="N12" s="4">
        <f t="shared" si="1"/>
        <v>0</v>
      </c>
    </row>
    <row r="13" spans="1:14" x14ac:dyDescent="0.25">
      <c r="A13" s="25">
        <v>105433</v>
      </c>
      <c r="B13" s="2">
        <v>45602</v>
      </c>
      <c r="C13" s="33">
        <v>30134441.010000002</v>
      </c>
      <c r="E13" t="s">
        <v>7</v>
      </c>
      <c r="J13" s="3">
        <v>16655702.902107662</v>
      </c>
      <c r="K13" s="3">
        <v>57007.705821522919</v>
      </c>
      <c r="L13" s="3">
        <v>13421730.40207082</v>
      </c>
      <c r="M13" s="4">
        <f t="shared" si="2"/>
        <v>30134441.010000005</v>
      </c>
      <c r="N13" s="4">
        <f t="shared" si="1"/>
        <v>0</v>
      </c>
    </row>
    <row r="14" spans="1:14" x14ac:dyDescent="0.25">
      <c r="A14" s="25">
        <v>105433</v>
      </c>
      <c r="B14" s="2">
        <v>45603</v>
      </c>
      <c r="C14" s="33">
        <v>29994722.079999998</v>
      </c>
      <c r="J14" s="3">
        <v>16578478.407148283</v>
      </c>
      <c r="K14" s="3">
        <v>56743.388469278194</v>
      </c>
      <c r="L14" s="3">
        <v>13359500.28438244</v>
      </c>
      <c r="M14" s="4">
        <f t="shared" si="2"/>
        <v>29994722.080000002</v>
      </c>
      <c r="N14" s="4">
        <f t="shared" si="1"/>
        <v>0</v>
      </c>
    </row>
    <row r="15" spans="1:14" x14ac:dyDescent="0.25">
      <c r="A15" s="25">
        <v>105433</v>
      </c>
      <c r="B15" s="2">
        <v>45604</v>
      </c>
      <c r="C15" s="33">
        <v>30280152.07</v>
      </c>
      <c r="J15" s="3">
        <v>16736239.326330889</v>
      </c>
      <c r="K15" s="3">
        <v>57283.358960091697</v>
      </c>
      <c r="L15" s="3">
        <v>13486629.384709023</v>
      </c>
      <c r="M15" s="4">
        <f t="shared" si="2"/>
        <v>30280152.070000004</v>
      </c>
      <c r="N15" s="4">
        <f t="shared" si="1"/>
        <v>0</v>
      </c>
    </row>
    <row r="16" spans="1:14" x14ac:dyDescent="0.25">
      <c r="A16" s="25">
        <v>105433</v>
      </c>
      <c r="B16" s="2">
        <v>45605</v>
      </c>
      <c r="C16" s="33">
        <v>30280152.07</v>
      </c>
      <c r="J16" s="3">
        <v>16736239.326330889</v>
      </c>
      <c r="K16" s="3">
        <v>57283.358960091697</v>
      </c>
      <c r="L16" s="3">
        <v>13486629.384709023</v>
      </c>
      <c r="M16" s="4">
        <f t="shared" si="2"/>
        <v>30280152.070000004</v>
      </c>
      <c r="N16" s="4">
        <f t="shared" si="1"/>
        <v>0</v>
      </c>
    </row>
    <row r="17" spans="1:14" x14ac:dyDescent="0.25">
      <c r="A17" s="25">
        <v>105433</v>
      </c>
      <c r="B17" s="2">
        <v>45971</v>
      </c>
      <c r="C17" s="33">
        <v>30280152.07</v>
      </c>
      <c r="J17" s="3">
        <v>16736239.326330889</v>
      </c>
      <c r="K17" s="3">
        <v>57283.358960091697</v>
      </c>
      <c r="L17" s="3">
        <v>13486629.384709023</v>
      </c>
      <c r="M17" s="4">
        <f t="shared" si="2"/>
        <v>30280152.070000004</v>
      </c>
      <c r="N17" s="4">
        <f t="shared" si="1"/>
        <v>0</v>
      </c>
    </row>
    <row r="18" spans="1:14" x14ac:dyDescent="0.25">
      <c r="A18" s="25">
        <v>105433</v>
      </c>
      <c r="B18" s="2">
        <v>45607</v>
      </c>
      <c r="C18" s="33">
        <v>30482469.02</v>
      </c>
      <c r="J18" s="3">
        <v>16848062.572368283</v>
      </c>
      <c r="K18" s="3">
        <v>57666.097938540988</v>
      </c>
      <c r="L18" s="3">
        <v>13576740.349693179</v>
      </c>
      <c r="M18" s="4">
        <f t="shared" si="2"/>
        <v>30482469.020000003</v>
      </c>
      <c r="N18" s="4">
        <f t="shared" si="1"/>
        <v>0</v>
      </c>
    </row>
    <row r="19" spans="1:14" x14ac:dyDescent="0.25">
      <c r="A19" s="25">
        <v>105433</v>
      </c>
      <c r="B19" s="2">
        <v>45608</v>
      </c>
      <c r="C19" s="33">
        <v>30676357.98</v>
      </c>
      <c r="J19" s="3">
        <v>16955227.55720032</v>
      </c>
      <c r="K19" s="3">
        <v>58032.893021617296</v>
      </c>
      <c r="L19" s="3">
        <v>13663097.529778063</v>
      </c>
      <c r="M19" s="4">
        <f t="shared" si="2"/>
        <v>30676357.98</v>
      </c>
      <c r="N19" s="4">
        <f t="shared" si="1"/>
        <v>0</v>
      </c>
    </row>
    <row r="20" spans="1:14" x14ac:dyDescent="0.25">
      <c r="A20" s="25">
        <v>105433</v>
      </c>
      <c r="B20" s="2">
        <v>45609</v>
      </c>
      <c r="C20" s="33">
        <v>30664671.48</v>
      </c>
      <c r="J20" s="3">
        <v>16948768.274550915</v>
      </c>
      <c r="K20" s="3">
        <v>58010.784745115263</v>
      </c>
      <c r="L20" s="3">
        <v>13657892.420703974</v>
      </c>
      <c r="M20" s="4">
        <f t="shared" si="2"/>
        <v>30664671.480000004</v>
      </c>
      <c r="N20" s="4">
        <f t="shared" si="1"/>
        <v>0</v>
      </c>
    </row>
    <row r="21" spans="1:14" x14ac:dyDescent="0.25">
      <c r="A21" s="25">
        <v>105433</v>
      </c>
      <c r="B21" s="2">
        <v>45610</v>
      </c>
      <c r="C21" s="33">
        <v>30478733.510000002</v>
      </c>
      <c r="G21" s="34"/>
      <c r="H21" s="34"/>
      <c r="I21" s="34"/>
      <c r="J21" s="3">
        <v>16845997.906734459</v>
      </c>
      <c r="K21" s="3">
        <v>57659.031178779202</v>
      </c>
      <c r="L21" s="3">
        <v>13575076.572086766</v>
      </c>
      <c r="M21" s="4">
        <f t="shared" si="2"/>
        <v>30478733.510000005</v>
      </c>
      <c r="N21" s="4">
        <f t="shared" si="1"/>
        <v>0</v>
      </c>
    </row>
    <row r="22" spans="1:14" x14ac:dyDescent="0.25">
      <c r="A22" s="25">
        <v>105433</v>
      </c>
      <c r="B22" s="2">
        <v>45611</v>
      </c>
      <c r="C22" s="33">
        <v>30410479.670000002</v>
      </c>
      <c r="G22" s="34"/>
      <c r="H22" s="34"/>
      <c r="I22" s="34"/>
      <c r="J22" s="3">
        <v>16808273.109364208</v>
      </c>
      <c r="K22" s="3">
        <v>57529.909990481137</v>
      </c>
      <c r="L22" s="3">
        <v>13544676.650645314</v>
      </c>
      <c r="M22" s="4">
        <f t="shared" si="2"/>
        <v>30410479.670000002</v>
      </c>
      <c r="N22" s="4">
        <f t="shared" si="1"/>
        <v>0</v>
      </c>
    </row>
    <row r="23" spans="1:14" x14ac:dyDescent="0.25">
      <c r="A23" s="25">
        <v>105433</v>
      </c>
      <c r="B23" s="2">
        <v>45612</v>
      </c>
      <c r="C23" s="33">
        <v>30410479.670000002</v>
      </c>
      <c r="G23" s="34"/>
      <c r="H23" s="34"/>
      <c r="I23" s="34"/>
      <c r="J23" s="3">
        <v>16808273.109364208</v>
      </c>
      <c r="K23" s="3">
        <v>57529.909990481137</v>
      </c>
      <c r="L23" s="3">
        <v>13544676.650645314</v>
      </c>
      <c r="M23" s="4">
        <f t="shared" si="2"/>
        <v>30410479.670000002</v>
      </c>
      <c r="N23" s="4">
        <f t="shared" si="1"/>
        <v>0</v>
      </c>
    </row>
    <row r="24" spans="1:14" x14ac:dyDescent="0.25">
      <c r="A24" s="25">
        <v>105433</v>
      </c>
      <c r="B24" s="2">
        <v>45613</v>
      </c>
      <c r="C24" s="33">
        <v>30410479.670000002</v>
      </c>
      <c r="G24" s="34"/>
      <c r="H24" s="34"/>
      <c r="I24" s="34"/>
      <c r="J24" s="3">
        <v>16808273.109364208</v>
      </c>
      <c r="K24" s="3">
        <v>57529.909990481137</v>
      </c>
      <c r="L24" s="3">
        <v>13544676.650645314</v>
      </c>
      <c r="M24" s="4">
        <f t="shared" si="2"/>
        <v>30410479.670000002</v>
      </c>
      <c r="N24" s="4">
        <f t="shared" si="1"/>
        <v>0</v>
      </c>
    </row>
    <row r="25" spans="1:14" x14ac:dyDescent="0.25">
      <c r="A25" s="25">
        <v>105433</v>
      </c>
      <c r="B25" s="2">
        <v>45614</v>
      </c>
      <c r="C25" s="33">
        <v>30410479.670000002</v>
      </c>
      <c r="G25" s="34"/>
      <c r="H25" s="34"/>
      <c r="I25" s="34"/>
      <c r="J25" s="3">
        <v>16808273.109364208</v>
      </c>
      <c r="K25" s="3">
        <v>57529.909990481137</v>
      </c>
      <c r="L25" s="3">
        <v>13544676.650645314</v>
      </c>
      <c r="M25" s="4">
        <f t="shared" si="2"/>
        <v>30410479.670000002</v>
      </c>
      <c r="N25" s="4">
        <f t="shared" si="1"/>
        <v>0</v>
      </c>
    </row>
    <row r="26" spans="1:14" x14ac:dyDescent="0.25">
      <c r="A26" s="25">
        <v>105433</v>
      </c>
      <c r="B26" s="2">
        <v>45615</v>
      </c>
      <c r="C26" s="33">
        <v>30108467.77</v>
      </c>
      <c r="G26" s="34"/>
      <c r="H26" s="34"/>
      <c r="I26" s="34"/>
      <c r="J26" s="3">
        <v>16641347.14987381</v>
      </c>
      <c r="K26" s="3">
        <v>56958.57018882077</v>
      </c>
      <c r="L26" s="3">
        <v>13410162.049937371</v>
      </c>
      <c r="M26" s="4">
        <f t="shared" si="2"/>
        <v>30108467.770000003</v>
      </c>
      <c r="N26" s="4">
        <f t="shared" si="1"/>
        <v>0</v>
      </c>
    </row>
    <row r="27" spans="1:14" x14ac:dyDescent="0.25">
      <c r="A27" s="25">
        <v>105433</v>
      </c>
      <c r="B27" s="2">
        <v>45616</v>
      </c>
      <c r="C27" s="33">
        <v>30285350.800000001</v>
      </c>
      <c r="G27" s="10"/>
      <c r="J27" s="3">
        <v>16739112.732952883</v>
      </c>
      <c r="K27" s="3">
        <v>57293.193808874428</v>
      </c>
      <c r="L27" s="3">
        <v>13488944.873238245</v>
      </c>
      <c r="M27" s="4">
        <f t="shared" si="2"/>
        <v>30285350.800000004</v>
      </c>
      <c r="N27" s="4">
        <f t="shared" si="1"/>
        <v>0</v>
      </c>
    </row>
    <row r="28" spans="1:14" x14ac:dyDescent="0.25">
      <c r="A28" s="25">
        <v>105433</v>
      </c>
      <c r="B28" s="2">
        <v>45617</v>
      </c>
      <c r="C28" s="33">
        <v>30360096.489999998</v>
      </c>
      <c r="G28" s="34"/>
      <c r="H28" s="34"/>
      <c r="I28" s="34"/>
      <c r="J28" s="3">
        <v>16780425.661420342</v>
      </c>
      <c r="K28" s="3">
        <v>57434.596143350544</v>
      </c>
      <c r="L28" s="3">
        <v>13522236.232436307</v>
      </c>
      <c r="M28" s="4">
        <f t="shared" si="2"/>
        <v>30360096.489999998</v>
      </c>
      <c r="N28" s="4">
        <f t="shared" si="1"/>
        <v>0</v>
      </c>
    </row>
    <row r="29" spans="1:14" x14ac:dyDescent="0.25">
      <c r="A29" s="25">
        <v>105433</v>
      </c>
      <c r="B29" s="2">
        <v>45618</v>
      </c>
      <c r="C29" s="33">
        <v>30553413.989999998</v>
      </c>
      <c r="G29" s="34"/>
      <c r="H29" s="34"/>
      <c r="I29" s="34"/>
      <c r="J29" s="3">
        <v>16887274.792775054</v>
      </c>
      <c r="K29" s="3">
        <v>57800.310150339923</v>
      </c>
      <c r="L29" s="3">
        <v>13608338.88707461</v>
      </c>
      <c r="M29" s="4">
        <f t="shared" si="2"/>
        <v>30553413.990000002</v>
      </c>
      <c r="N29" s="4">
        <f t="shared" si="1"/>
        <v>0</v>
      </c>
    </row>
    <row r="30" spans="1:14" x14ac:dyDescent="0.25">
      <c r="A30" s="25">
        <v>105433</v>
      </c>
      <c r="B30" s="2">
        <v>45619</v>
      </c>
      <c r="C30" s="33">
        <v>30553413.989999998</v>
      </c>
      <c r="G30" s="10"/>
      <c r="H30" s="34"/>
      <c r="I30" s="34"/>
      <c r="J30" s="3">
        <v>16887274.792775054</v>
      </c>
      <c r="K30" s="3">
        <v>57800.310150339923</v>
      </c>
      <c r="L30" s="3">
        <v>13608338.88707461</v>
      </c>
      <c r="M30" s="4">
        <f t="shared" si="2"/>
        <v>30553413.990000002</v>
      </c>
      <c r="N30" s="4">
        <f t="shared" si="1"/>
        <v>0</v>
      </c>
    </row>
    <row r="31" spans="1:14" x14ac:dyDescent="0.25">
      <c r="A31" s="25">
        <v>105433</v>
      </c>
      <c r="B31" s="2">
        <v>45620</v>
      </c>
      <c r="C31" s="33">
        <v>30553413.989999998</v>
      </c>
      <c r="G31" s="34"/>
      <c r="H31" s="34"/>
      <c r="I31" s="34"/>
      <c r="J31" s="3">
        <v>16887274.792775054</v>
      </c>
      <c r="K31" s="3">
        <v>57800.310150339923</v>
      </c>
      <c r="L31" s="3">
        <v>13608338.88707461</v>
      </c>
      <c r="M31" s="4">
        <f t="shared" si="2"/>
        <v>30553413.990000002</v>
      </c>
      <c r="N31" s="4">
        <f t="shared" si="1"/>
        <v>0</v>
      </c>
    </row>
    <row r="32" spans="1:14" x14ac:dyDescent="0.25">
      <c r="A32" s="25">
        <v>105433</v>
      </c>
      <c r="B32" s="2">
        <v>45621</v>
      </c>
      <c r="C32" s="33">
        <v>30381396.960000001</v>
      </c>
      <c r="G32" s="34"/>
      <c r="H32" s="34"/>
      <c r="I32" s="34"/>
      <c r="J32" s="3">
        <v>16792198.712059561</v>
      </c>
      <c r="K32" s="3">
        <v>57474.89192740764</v>
      </c>
      <c r="L32" s="3">
        <v>13531723.356013034</v>
      </c>
      <c r="M32" s="4">
        <f t="shared" si="2"/>
        <v>30381396.960000001</v>
      </c>
      <c r="N32" s="4">
        <f t="shared" si="1"/>
        <v>0</v>
      </c>
    </row>
    <row r="33" spans="1:14" x14ac:dyDescent="0.25">
      <c r="A33" s="25">
        <v>105433</v>
      </c>
      <c r="B33" s="2">
        <v>45622</v>
      </c>
      <c r="C33" s="33">
        <v>30704979.210000001</v>
      </c>
      <c r="G33" s="34"/>
      <c r="H33" s="34"/>
      <c r="I33" s="34"/>
      <c r="J33" s="3">
        <v>16971046.888423845</v>
      </c>
      <c r="K33" s="3">
        <v>58087.038066469751</v>
      </c>
      <c r="L33" s="3">
        <v>13675845.283509688</v>
      </c>
      <c r="M33" s="4">
        <f t="shared" si="2"/>
        <v>30704979.210000001</v>
      </c>
      <c r="N33" s="4">
        <f t="shared" si="1"/>
        <v>0</v>
      </c>
    </row>
    <row r="34" spans="1:14" x14ac:dyDescent="0.25">
      <c r="A34" s="25">
        <v>105433</v>
      </c>
      <c r="B34" s="2">
        <v>45623</v>
      </c>
      <c r="C34" s="33">
        <v>30682269.219999999</v>
      </c>
      <c r="J34" s="3">
        <v>16958494.777494546</v>
      </c>
      <c r="K34" s="3">
        <v>58044.075781929605</v>
      </c>
      <c r="L34" s="3">
        <v>13665730.366723524</v>
      </c>
      <c r="M34" s="4">
        <f t="shared" si="2"/>
        <v>30682269.219999999</v>
      </c>
      <c r="N34" s="4">
        <f t="shared" si="1"/>
        <v>0</v>
      </c>
    </row>
    <row r="35" spans="1:14" x14ac:dyDescent="0.25">
      <c r="A35" s="25">
        <v>105433</v>
      </c>
      <c r="B35" s="2">
        <v>45624</v>
      </c>
      <c r="C35" s="33">
        <v>30468535.890000001</v>
      </c>
      <c r="G35" s="34"/>
      <c r="H35" s="34"/>
      <c r="I35" s="34"/>
      <c r="J35" s="3">
        <v>16840361.547693577</v>
      </c>
      <c r="K35" s="3">
        <v>57639.739534349937</v>
      </c>
      <c r="L35" s="3">
        <v>13570534.602772076</v>
      </c>
      <c r="M35" s="4">
        <f t="shared" si="2"/>
        <v>30468535.890000001</v>
      </c>
      <c r="N35" s="4">
        <f t="shared" si="1"/>
        <v>0</v>
      </c>
    </row>
    <row r="36" spans="1:14" x14ac:dyDescent="0.25">
      <c r="A36" s="25">
        <v>105433</v>
      </c>
      <c r="B36" s="2">
        <v>45625</v>
      </c>
      <c r="C36" s="33">
        <v>30361308.260000002</v>
      </c>
      <c r="G36" s="34"/>
      <c r="H36" s="34"/>
      <c r="I36" s="34"/>
      <c r="J36" s="3">
        <v>16781095.422677871</v>
      </c>
      <c r="K36" s="3">
        <v>57436.888544515728</v>
      </c>
      <c r="L36" s="3">
        <v>13522775.948777618</v>
      </c>
      <c r="M36" s="4">
        <f t="shared" si="2"/>
        <v>30361308.260000005</v>
      </c>
      <c r="N36" s="4">
        <f t="shared" si="1"/>
        <v>0</v>
      </c>
    </row>
    <row r="37" spans="1:14" x14ac:dyDescent="0.25">
      <c r="A37" s="1">
        <v>105433</v>
      </c>
      <c r="B37" s="2">
        <v>45626</v>
      </c>
      <c r="C37" s="33">
        <v>30361308.260000002</v>
      </c>
      <c r="G37" s="34"/>
      <c r="H37" s="34"/>
      <c r="I37" s="34"/>
      <c r="J37" s="3">
        <v>16781095.422677871</v>
      </c>
      <c r="K37" s="3">
        <v>57436.888544515728</v>
      </c>
      <c r="L37" s="3">
        <v>13522775.948777618</v>
      </c>
      <c r="M37" s="4">
        <f t="shared" si="2"/>
        <v>30361308.260000005</v>
      </c>
      <c r="N37" s="4">
        <f t="shared" si="1"/>
        <v>0</v>
      </c>
    </row>
    <row r="38" spans="1:14" x14ac:dyDescent="0.25">
      <c r="A38" s="1"/>
      <c r="B38" s="2"/>
      <c r="C38" s="33"/>
      <c r="G38" s="34"/>
      <c r="H38" s="34"/>
      <c r="I38" s="34"/>
      <c r="J38" s="3"/>
      <c r="K38" s="3"/>
      <c r="L38" s="3"/>
      <c r="M38" s="4"/>
      <c r="N38" s="4">
        <f t="shared" si="1"/>
        <v>0</v>
      </c>
    </row>
    <row r="39" spans="1:14" x14ac:dyDescent="0.25">
      <c r="A39" s="5"/>
      <c r="B39" s="6"/>
      <c r="J39" s="7"/>
    </row>
    <row r="40" spans="1:14" x14ac:dyDescent="0.25">
      <c r="A40" s="19" t="s">
        <v>8</v>
      </c>
      <c r="B40" s="8">
        <f>COUNT(B8:B38)</f>
        <v>30</v>
      </c>
      <c r="C40" s="4">
        <f>AVERAGE(C8:C38)</f>
        <v>30392862.872000001</v>
      </c>
      <c r="J40" s="4">
        <f>AVERAGE(J8:J38)</f>
        <v>16798536.072812673</v>
      </c>
      <c r="K40" s="4">
        <f>AVERAGE(K8:K38)</f>
        <v>57496.582900140616</v>
      </c>
      <c r="L40" s="4">
        <f>AVERAGE(L8:L38)</f>
        <v>13536830.216287188</v>
      </c>
      <c r="M40" s="4">
        <f>SUM(J40:L40)</f>
        <v>30392862.872000001</v>
      </c>
      <c r="N40" s="4">
        <f>M40-C40</f>
        <v>0</v>
      </c>
    </row>
    <row r="41" spans="1:14" x14ac:dyDescent="0.25">
      <c r="A41" s="19" t="s">
        <v>9</v>
      </c>
      <c r="B41" s="8">
        <v>1.62</v>
      </c>
      <c r="C41" s="9">
        <f>+C40*$B$42</f>
        <v>41030.364877200002</v>
      </c>
      <c r="D41" s="10">
        <f>C41*1.16</f>
        <v>47595.223257551996</v>
      </c>
      <c r="J41" s="20">
        <f>(+J40*$B$42)</f>
        <v>22678.023698297111</v>
      </c>
      <c r="K41" s="20">
        <f>(+K40*$B$42)</f>
        <v>77.62038691518984</v>
      </c>
      <c r="L41" s="20">
        <f>(+L40*$B$42)</f>
        <v>18274.720791987704</v>
      </c>
      <c r="M41" s="4">
        <f>SUM(J41:L41)</f>
        <v>41030.364877200002</v>
      </c>
      <c r="N41" s="4">
        <f>+C41/M41</f>
        <v>1</v>
      </c>
    </row>
    <row r="42" spans="1:14" x14ac:dyDescent="0.25">
      <c r="A42" s="19" t="s">
        <v>10</v>
      </c>
      <c r="B42" s="11">
        <f>B41/360*B40/100</f>
        <v>1.3500000000000001E-3</v>
      </c>
      <c r="D42" s="10">
        <f>D41-C41</f>
        <v>6564.8583803519941</v>
      </c>
      <c r="M42" s="32">
        <f>C41/M41</f>
        <v>1</v>
      </c>
    </row>
    <row r="44" spans="1:14" x14ac:dyDescent="0.25">
      <c r="I44" t="s">
        <v>18</v>
      </c>
      <c r="J44" s="41">
        <v>22678.021002604357</v>
      </c>
      <c r="K44" s="41">
        <v>77.62037768860479</v>
      </c>
      <c r="L44" s="41">
        <v>18274.71861970704</v>
      </c>
    </row>
    <row r="46" spans="1:14" x14ac:dyDescent="0.25">
      <c r="M46" s="10">
        <f>+'JUL24'!M41+'AGO24'!M41+'NOV24'!M41</f>
        <v>121291.81760295002</v>
      </c>
    </row>
  </sheetData>
  <mergeCells count="1">
    <mergeCell ref="A6:C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7950B-E6E5-4C52-9825-9EAFFC39A788}">
  <dimension ref="A1:N46"/>
  <sheetViews>
    <sheetView workbookViewId="0"/>
  </sheetViews>
  <sheetFormatPr baseColWidth="10" defaultRowHeight="15" x14ac:dyDescent="0.25"/>
  <cols>
    <col min="3" max="3" width="15.140625" bestFit="1" customWidth="1"/>
    <col min="6" max="6" width="14.140625" bestFit="1" customWidth="1"/>
    <col min="8" max="9" width="14.140625" bestFit="1" customWidth="1"/>
    <col min="10" max="12" width="17" bestFit="1" customWidth="1"/>
    <col min="13" max="14" width="15.140625" bestFit="1" customWidth="1"/>
  </cols>
  <sheetData>
    <row r="1" spans="1:14" x14ac:dyDescent="0.25">
      <c r="D1" s="38" t="s">
        <v>15</v>
      </c>
      <c r="E1" s="35">
        <v>45991</v>
      </c>
      <c r="F1" s="36">
        <v>16799484.789999999</v>
      </c>
      <c r="G1" s="36">
        <v>57222.6</v>
      </c>
      <c r="H1" s="36">
        <v>13504600.800000001</v>
      </c>
      <c r="I1" s="37">
        <f>+F1+G1+H1</f>
        <v>30361308.190000001</v>
      </c>
    </row>
    <row r="2" spans="1:14" x14ac:dyDescent="0.25">
      <c r="D2" s="38" t="s">
        <v>16</v>
      </c>
      <c r="E2" s="35">
        <v>46022</v>
      </c>
      <c r="F2" s="36">
        <v>17102155.4362</v>
      </c>
      <c r="G2" s="36">
        <v>57786.717400000001</v>
      </c>
      <c r="H2" s="36">
        <v>13740248.9957</v>
      </c>
      <c r="I2" s="37">
        <f>+F2+G2+H2</f>
        <v>30900191.149300002</v>
      </c>
    </row>
    <row r="3" spans="1:14" x14ac:dyDescent="0.25">
      <c r="E3" s="38"/>
      <c r="F3" s="37"/>
    </row>
    <row r="4" spans="1:14" x14ac:dyDescent="0.25">
      <c r="E4" s="35">
        <f>+E1</f>
        <v>45991</v>
      </c>
      <c r="F4" s="13">
        <f t="shared" ref="F4:H5" si="0">+F1/$I1</f>
        <v>0.55331887166618166</v>
      </c>
      <c r="G4" s="13">
        <f t="shared" si="0"/>
        <v>1.8847211602972763E-3</v>
      </c>
      <c r="H4" s="13">
        <f t="shared" si="0"/>
        <v>0.44479640717352109</v>
      </c>
      <c r="I4" s="12">
        <f>+F4+G4+H4</f>
        <v>1</v>
      </c>
    </row>
    <row r="5" spans="1:14" x14ac:dyDescent="0.25">
      <c r="E5" s="35">
        <f>+E2</f>
        <v>46022</v>
      </c>
      <c r="F5" s="13">
        <f t="shared" si="0"/>
        <v>0.55346438970450917</v>
      </c>
      <c r="G5" s="13">
        <f t="shared" si="0"/>
        <v>1.8701087355994907E-3</v>
      </c>
      <c r="H5" s="13">
        <f t="shared" si="0"/>
        <v>0.44466550155989132</v>
      </c>
      <c r="I5" s="12">
        <f>+F5+G5+H5</f>
        <v>1</v>
      </c>
    </row>
    <row r="6" spans="1:14" x14ac:dyDescent="0.25">
      <c r="A6" s="46" t="s">
        <v>0</v>
      </c>
      <c r="B6" s="46"/>
      <c r="C6" s="46"/>
      <c r="E6" s="39" t="s">
        <v>17</v>
      </c>
      <c r="F6" s="40">
        <f>AVERAGE(F4:F5)</f>
        <v>0.55339163068534547</v>
      </c>
      <c r="G6" s="40">
        <f>AVERAGE(G4:G5)</f>
        <v>1.8774149479483834E-3</v>
      </c>
      <c r="H6" s="40">
        <f>AVERAGE(H4:H5)</f>
        <v>0.44473095436670618</v>
      </c>
      <c r="I6" s="12"/>
    </row>
    <row r="7" spans="1:14" x14ac:dyDescent="0.25">
      <c r="A7" s="16" t="s">
        <v>1</v>
      </c>
      <c r="B7" s="17" t="s">
        <v>2</v>
      </c>
      <c r="C7" s="18" t="s">
        <v>3</v>
      </c>
      <c r="E7" s="35"/>
      <c r="F7" s="13"/>
      <c r="G7" s="13"/>
      <c r="H7" s="13"/>
      <c r="I7" s="12"/>
      <c r="J7" s="28" t="s">
        <v>4</v>
      </c>
      <c r="K7" s="14" t="s">
        <v>5</v>
      </c>
      <c r="L7" s="15" t="s">
        <v>6</v>
      </c>
    </row>
    <row r="8" spans="1:14" x14ac:dyDescent="0.25">
      <c r="A8" s="1">
        <v>105433</v>
      </c>
      <c r="B8" s="2">
        <v>45627</v>
      </c>
      <c r="C8" s="33">
        <v>30331504.550000001</v>
      </c>
      <c r="J8" s="3">
        <v>16785200.764064476</v>
      </c>
      <c r="K8" s="3">
        <v>56944.820035934405</v>
      </c>
      <c r="L8" s="3">
        <v>13489358.96589959</v>
      </c>
      <c r="M8" s="4">
        <f>SUM(J8:L8)</f>
        <v>30331504.550000001</v>
      </c>
      <c r="N8" s="4">
        <f>+C8-M8</f>
        <v>0</v>
      </c>
    </row>
    <row r="9" spans="1:14" x14ac:dyDescent="0.25">
      <c r="A9" s="25">
        <v>105433</v>
      </c>
      <c r="B9" s="2">
        <v>45628</v>
      </c>
      <c r="C9" s="33">
        <v>30372771.5</v>
      </c>
      <c r="J9" s="3">
        <v>16808037.548818387</v>
      </c>
      <c r="K9" s="3">
        <v>57022.295224720641</v>
      </c>
      <c r="L9" s="3">
        <v>13507711.655956894</v>
      </c>
      <c r="M9" s="4">
        <f>SUM(J9:L9)</f>
        <v>30372771.500000004</v>
      </c>
      <c r="N9" s="4">
        <f t="shared" ref="N9:N38" si="1">+C9-M9</f>
        <v>0</v>
      </c>
    </row>
    <row r="10" spans="1:14" x14ac:dyDescent="0.25">
      <c r="A10" s="25">
        <v>105433</v>
      </c>
      <c r="B10" s="2">
        <v>45629</v>
      </c>
      <c r="C10" s="33">
        <v>30334431.010000002</v>
      </c>
      <c r="J10" s="3">
        <v>16786820.242536012</v>
      </c>
      <c r="K10" s="3">
        <v>56950.314215682978</v>
      </c>
      <c r="L10" s="3">
        <v>13490660.453248307</v>
      </c>
      <c r="M10" s="4">
        <f>SUM(J10:L10)</f>
        <v>30334431.010000002</v>
      </c>
      <c r="N10" s="4">
        <f t="shared" si="1"/>
        <v>0</v>
      </c>
    </row>
    <row r="11" spans="1:14" x14ac:dyDescent="0.25">
      <c r="A11" s="25">
        <v>105433</v>
      </c>
      <c r="B11" s="2">
        <v>45630</v>
      </c>
      <c r="C11" s="33">
        <v>30264771.510000002</v>
      </c>
      <c r="J11" s="3">
        <v>16748271.258238286</v>
      </c>
      <c r="K11" s="3">
        <v>56819.534429116371</v>
      </c>
      <c r="L11" s="3">
        <v>13459680.7173326</v>
      </c>
      <c r="M11" s="4">
        <f t="shared" ref="M11:M38" si="2">SUM(J11:L11)</f>
        <v>30264771.510000005</v>
      </c>
      <c r="N11" s="4">
        <f t="shared" si="1"/>
        <v>0</v>
      </c>
    </row>
    <row r="12" spans="1:14" x14ac:dyDescent="0.25">
      <c r="A12" s="25">
        <v>105433</v>
      </c>
      <c r="B12" s="2">
        <v>45631</v>
      </c>
      <c r="C12" s="33">
        <v>30219229.289999999</v>
      </c>
      <c r="J12" s="3">
        <v>16723068.574847454</v>
      </c>
      <c r="K12" s="3">
        <v>56734.032784525611</v>
      </c>
      <c r="L12" s="3">
        <v>13439426.68236802</v>
      </c>
      <c r="M12" s="4">
        <f t="shared" si="2"/>
        <v>30219229.289999999</v>
      </c>
      <c r="N12" s="4">
        <f t="shared" si="1"/>
        <v>0</v>
      </c>
    </row>
    <row r="13" spans="1:14" x14ac:dyDescent="0.25">
      <c r="A13" s="25">
        <v>105433</v>
      </c>
      <c r="B13" s="2">
        <v>45632</v>
      </c>
      <c r="C13" s="33">
        <v>30205568.530000001</v>
      </c>
      <c r="E13" t="s">
        <v>7</v>
      </c>
      <c r="J13" s="3">
        <v>16715508.824594654</v>
      </c>
      <c r="K13" s="3">
        <v>56708.385869501282</v>
      </c>
      <c r="L13" s="3">
        <v>13433351.319535846</v>
      </c>
      <c r="M13" s="4">
        <f t="shared" si="2"/>
        <v>30205568.530000001</v>
      </c>
      <c r="N13" s="4">
        <f t="shared" si="1"/>
        <v>0</v>
      </c>
    </row>
    <row r="14" spans="1:14" x14ac:dyDescent="0.25">
      <c r="A14" s="25">
        <v>105433</v>
      </c>
      <c r="B14" s="2">
        <v>45633</v>
      </c>
      <c r="C14" s="33">
        <v>30205568.530000001</v>
      </c>
      <c r="J14" s="3">
        <v>16715508.824594654</v>
      </c>
      <c r="K14" s="3">
        <v>56708.385869501282</v>
      </c>
      <c r="L14" s="3">
        <v>13433351.319535846</v>
      </c>
      <c r="M14" s="4">
        <f t="shared" si="2"/>
        <v>30205568.530000001</v>
      </c>
      <c r="N14" s="4">
        <f t="shared" si="1"/>
        <v>0</v>
      </c>
    </row>
    <row r="15" spans="1:14" x14ac:dyDescent="0.25">
      <c r="A15" s="25">
        <v>105433</v>
      </c>
      <c r="B15" s="2">
        <v>45634</v>
      </c>
      <c r="C15" s="33">
        <v>30205568.530000001</v>
      </c>
      <c r="J15" s="3">
        <v>16715508.824594654</v>
      </c>
      <c r="K15" s="3">
        <v>56708.385869501282</v>
      </c>
      <c r="L15" s="3">
        <v>13433351.319535846</v>
      </c>
      <c r="M15" s="4">
        <f t="shared" si="2"/>
        <v>30205568.530000001</v>
      </c>
      <c r="N15" s="4">
        <f t="shared" si="1"/>
        <v>0</v>
      </c>
    </row>
    <row r="16" spans="1:14" x14ac:dyDescent="0.25">
      <c r="A16" s="25">
        <v>105433</v>
      </c>
      <c r="B16" s="2">
        <v>45635</v>
      </c>
      <c r="C16" s="33">
        <v>30397741.109999999</v>
      </c>
      <c r="J16" s="3">
        <v>16821855.522013862</v>
      </c>
      <c r="K16" s="3">
        <v>57069.173543779085</v>
      </c>
      <c r="L16" s="3">
        <v>13518816.414442359</v>
      </c>
      <c r="M16" s="4">
        <f t="shared" si="2"/>
        <v>30397741.109999999</v>
      </c>
      <c r="N16" s="4">
        <f t="shared" si="1"/>
        <v>0</v>
      </c>
    </row>
    <row r="17" spans="1:14" x14ac:dyDescent="0.25">
      <c r="A17" s="25">
        <v>105433</v>
      </c>
      <c r="B17" s="2">
        <v>45636</v>
      </c>
      <c r="C17" s="33">
        <v>30217993.699999999</v>
      </c>
      <c r="J17" s="3">
        <v>16722384.809682496</v>
      </c>
      <c r="K17" s="3">
        <v>56731.713069390076</v>
      </c>
      <c r="L17" s="3">
        <v>13438877.177248115</v>
      </c>
      <c r="M17" s="4">
        <f t="shared" si="2"/>
        <v>30217993.700000003</v>
      </c>
      <c r="N17" s="4">
        <f t="shared" si="1"/>
        <v>0</v>
      </c>
    </row>
    <row r="18" spans="1:14" x14ac:dyDescent="0.25">
      <c r="A18" s="25">
        <v>105433</v>
      </c>
      <c r="B18" s="2">
        <v>45637</v>
      </c>
      <c r="C18" s="33">
        <v>30166370.690000001</v>
      </c>
      <c r="J18" s="3">
        <v>16693817.067997711</v>
      </c>
      <c r="K18" s="3">
        <v>56634.795258757993</v>
      </c>
      <c r="L18" s="3">
        <v>13415918.826743534</v>
      </c>
      <c r="M18" s="4">
        <f t="shared" si="2"/>
        <v>30166370.690000005</v>
      </c>
      <c r="N18" s="4">
        <f t="shared" si="1"/>
        <v>0</v>
      </c>
    </row>
    <row r="19" spans="1:14" x14ac:dyDescent="0.25">
      <c r="A19" s="25">
        <v>105433</v>
      </c>
      <c r="B19" s="2">
        <v>45638</v>
      </c>
      <c r="C19" s="33">
        <v>30166370.690000001</v>
      </c>
      <c r="J19" s="3">
        <v>16693817.067997711</v>
      </c>
      <c r="K19" s="3">
        <v>56634.795258757993</v>
      </c>
      <c r="L19" s="3">
        <v>13415918.826743534</v>
      </c>
      <c r="M19" s="4">
        <f t="shared" si="2"/>
        <v>30166370.690000005</v>
      </c>
      <c r="N19" s="4">
        <f t="shared" si="1"/>
        <v>0</v>
      </c>
    </row>
    <row r="20" spans="1:14" x14ac:dyDescent="0.25">
      <c r="A20" s="25">
        <v>105433</v>
      </c>
      <c r="B20" s="2">
        <v>45639</v>
      </c>
      <c r="C20" s="33">
        <v>30251581.420000002</v>
      </c>
      <c r="J20" s="3">
        <v>16740971.9728243</v>
      </c>
      <c r="K20" s="3">
        <v>56794.771156985589</v>
      </c>
      <c r="L20" s="3">
        <v>13453814.676018717</v>
      </c>
      <c r="M20" s="4">
        <f t="shared" si="2"/>
        <v>30251581.420000002</v>
      </c>
      <c r="N20" s="4">
        <f t="shared" si="1"/>
        <v>0</v>
      </c>
    </row>
    <row r="21" spans="1:14" x14ac:dyDescent="0.25">
      <c r="A21" s="25">
        <v>105433</v>
      </c>
      <c r="B21" s="2">
        <v>45640</v>
      </c>
      <c r="C21" s="33">
        <v>30251581.420000002</v>
      </c>
      <c r="G21" s="34"/>
      <c r="H21" s="34"/>
      <c r="I21" s="34"/>
      <c r="J21" s="3">
        <v>16740971.9728243</v>
      </c>
      <c r="K21" s="3">
        <v>56794.771156985589</v>
      </c>
      <c r="L21" s="3">
        <v>13453814.676018717</v>
      </c>
      <c r="M21" s="4">
        <f t="shared" si="2"/>
        <v>30251581.420000002</v>
      </c>
      <c r="N21" s="4">
        <f t="shared" si="1"/>
        <v>0</v>
      </c>
    </row>
    <row r="22" spans="1:14" x14ac:dyDescent="0.25">
      <c r="A22" s="25">
        <v>105433</v>
      </c>
      <c r="B22" s="2">
        <v>45641</v>
      </c>
      <c r="C22" s="33">
        <v>30251581.420000002</v>
      </c>
      <c r="G22" s="34"/>
      <c r="H22" s="34"/>
      <c r="I22" s="34"/>
      <c r="J22" s="3">
        <v>16740971.9728243</v>
      </c>
      <c r="K22" s="3">
        <v>56794.771156985589</v>
      </c>
      <c r="L22" s="3">
        <v>13453814.676018717</v>
      </c>
      <c r="M22" s="4">
        <f t="shared" si="2"/>
        <v>30251581.420000002</v>
      </c>
      <c r="N22" s="4">
        <f t="shared" si="1"/>
        <v>0</v>
      </c>
    </row>
    <row r="23" spans="1:14" x14ac:dyDescent="0.25">
      <c r="A23" s="25">
        <v>105433</v>
      </c>
      <c r="B23" s="2">
        <v>45642</v>
      </c>
      <c r="C23" s="33">
        <v>30170673.640000001</v>
      </c>
      <c r="G23" s="34"/>
      <c r="H23" s="34"/>
      <c r="I23" s="34"/>
      <c r="J23" s="3">
        <v>16696198.284514967</v>
      </c>
      <c r="K23" s="3">
        <v>56642.873681408266</v>
      </c>
      <c r="L23" s="3">
        <v>13417832.481803626</v>
      </c>
      <c r="M23" s="4">
        <f t="shared" si="2"/>
        <v>30170673.640000001</v>
      </c>
      <c r="N23" s="4">
        <f t="shared" si="1"/>
        <v>0</v>
      </c>
    </row>
    <row r="24" spans="1:14" x14ac:dyDescent="0.25">
      <c r="A24" s="25">
        <v>105433</v>
      </c>
      <c r="B24" s="2">
        <v>45643</v>
      </c>
      <c r="C24" s="33">
        <v>30279123.09</v>
      </c>
      <c r="G24" s="34"/>
      <c r="H24" s="34"/>
      <c r="I24" s="34"/>
      <c r="J24" s="3">
        <v>16756213.302497396</v>
      </c>
      <c r="K24" s="3">
        <v>56846.478299935043</v>
      </c>
      <c r="L24" s="3">
        <v>13466063.309202669</v>
      </c>
      <c r="M24" s="4">
        <f t="shared" si="2"/>
        <v>30279123.090000004</v>
      </c>
      <c r="N24" s="4">
        <f t="shared" si="1"/>
        <v>0</v>
      </c>
    </row>
    <row r="25" spans="1:14" x14ac:dyDescent="0.25">
      <c r="A25" s="25">
        <v>105433</v>
      </c>
      <c r="B25" s="2">
        <v>45644</v>
      </c>
      <c r="C25" s="33">
        <v>30377170.239999998</v>
      </c>
      <c r="G25" s="34"/>
      <c r="H25" s="34"/>
      <c r="I25" s="34"/>
      <c r="J25" s="3">
        <v>16810471.774719946</v>
      </c>
      <c r="K25" s="3">
        <v>57030.553484948781</v>
      </c>
      <c r="L25" s="3">
        <v>13509667.911795104</v>
      </c>
      <c r="M25" s="4">
        <f t="shared" si="2"/>
        <v>30377170.240000002</v>
      </c>
      <c r="N25" s="4">
        <f t="shared" si="1"/>
        <v>0</v>
      </c>
    </row>
    <row r="26" spans="1:14" x14ac:dyDescent="0.25">
      <c r="A26" s="25">
        <v>105433</v>
      </c>
      <c r="B26" s="2">
        <v>45645</v>
      </c>
      <c r="C26" s="33">
        <v>30266397.559999999</v>
      </c>
      <c r="G26" s="34"/>
      <c r="H26" s="34"/>
      <c r="I26" s="34"/>
      <c r="J26" s="3">
        <v>16749171.100699361</v>
      </c>
      <c r="K26" s="3">
        <v>56822.587199692476</v>
      </c>
      <c r="L26" s="3">
        <v>13460403.872100947</v>
      </c>
      <c r="M26" s="4">
        <f t="shared" si="2"/>
        <v>30266397.560000002</v>
      </c>
      <c r="N26" s="4">
        <f t="shared" si="1"/>
        <v>0</v>
      </c>
    </row>
    <row r="27" spans="1:14" x14ac:dyDescent="0.25">
      <c r="A27" s="25">
        <v>105433</v>
      </c>
      <c r="B27" s="2">
        <v>45646</v>
      </c>
      <c r="C27" s="33">
        <v>30078929</v>
      </c>
      <c r="G27" s="10"/>
      <c r="J27" s="3">
        <v>16645427.568578728</v>
      </c>
      <c r="K27" s="3">
        <v>56470.630922878117</v>
      </c>
      <c r="L27" s="3">
        <v>13377030.800498394</v>
      </c>
      <c r="M27" s="4">
        <f t="shared" si="2"/>
        <v>30078929</v>
      </c>
      <c r="N27" s="4">
        <f t="shared" si="1"/>
        <v>0</v>
      </c>
    </row>
    <row r="28" spans="1:14" x14ac:dyDescent="0.25">
      <c r="A28" s="25">
        <v>105433</v>
      </c>
      <c r="B28" s="2">
        <v>45647</v>
      </c>
      <c r="C28" s="33">
        <v>30078929</v>
      </c>
      <c r="G28" s="34"/>
      <c r="H28" s="34"/>
      <c r="I28" s="34"/>
      <c r="J28" s="3">
        <v>16645427.568578728</v>
      </c>
      <c r="K28" s="3">
        <v>56470.630922878117</v>
      </c>
      <c r="L28" s="3">
        <v>13377030.800498394</v>
      </c>
      <c r="M28" s="4">
        <f t="shared" si="2"/>
        <v>30078929</v>
      </c>
      <c r="N28" s="4">
        <f t="shared" si="1"/>
        <v>0</v>
      </c>
    </row>
    <row r="29" spans="1:14" x14ac:dyDescent="0.25">
      <c r="A29" s="25">
        <v>105433</v>
      </c>
      <c r="B29" s="2">
        <v>45648</v>
      </c>
      <c r="C29" s="33">
        <v>30078929</v>
      </c>
      <c r="G29" s="34"/>
      <c r="H29" s="34"/>
      <c r="I29" s="34"/>
      <c r="J29" s="3">
        <v>16645427.568578728</v>
      </c>
      <c r="K29" s="3">
        <v>56470.630922878117</v>
      </c>
      <c r="L29" s="3">
        <v>13377030.800498394</v>
      </c>
      <c r="M29" s="4">
        <f t="shared" si="2"/>
        <v>30078929</v>
      </c>
      <c r="N29" s="4">
        <f t="shared" si="1"/>
        <v>0</v>
      </c>
    </row>
    <row r="30" spans="1:14" x14ac:dyDescent="0.25">
      <c r="A30" s="25">
        <v>105433</v>
      </c>
      <c r="B30" s="2">
        <v>45649</v>
      </c>
      <c r="C30" s="33">
        <v>30244692.859999999</v>
      </c>
      <c r="G30" s="10"/>
      <c r="H30" s="34"/>
      <c r="I30" s="34"/>
      <c r="J30" s="3">
        <v>16737159.901372824</v>
      </c>
      <c r="K30" s="3">
        <v>56781.838471471739</v>
      </c>
      <c r="L30" s="3">
        <v>13450751.120155703</v>
      </c>
      <c r="M30" s="4">
        <f t="shared" si="2"/>
        <v>30244692.859999999</v>
      </c>
      <c r="N30" s="4">
        <f t="shared" si="1"/>
        <v>0</v>
      </c>
    </row>
    <row r="31" spans="1:14" x14ac:dyDescent="0.25">
      <c r="A31" s="25">
        <v>105433</v>
      </c>
      <c r="B31" s="2">
        <v>45650</v>
      </c>
      <c r="C31" s="33">
        <v>30210639.25</v>
      </c>
      <c r="G31" s="34"/>
      <c r="H31" s="34"/>
      <c r="I31" s="34"/>
      <c r="J31" s="3">
        <v>16718314.918604203</v>
      </c>
      <c r="K31" s="3">
        <v>56717.905715026136</v>
      </c>
      <c r="L31" s="3">
        <v>13435606.425680773</v>
      </c>
      <c r="M31" s="4">
        <f t="shared" si="2"/>
        <v>30210639.25</v>
      </c>
      <c r="N31" s="4">
        <f t="shared" si="1"/>
        <v>0</v>
      </c>
    </row>
    <row r="32" spans="1:14" x14ac:dyDescent="0.25">
      <c r="A32" s="25">
        <v>105433</v>
      </c>
      <c r="B32" s="2">
        <v>45651</v>
      </c>
      <c r="C32" s="33">
        <v>30210639.25</v>
      </c>
      <c r="G32" s="34"/>
      <c r="H32" s="34"/>
      <c r="I32" s="34"/>
      <c r="J32" s="3">
        <v>16718314.918604203</v>
      </c>
      <c r="K32" s="3">
        <v>56717.905715026136</v>
      </c>
      <c r="L32" s="3">
        <v>13435606.425680773</v>
      </c>
      <c r="M32" s="4">
        <f t="shared" si="2"/>
        <v>30210639.25</v>
      </c>
      <c r="N32" s="4">
        <f t="shared" si="1"/>
        <v>0</v>
      </c>
    </row>
    <row r="33" spans="1:14" x14ac:dyDescent="0.25">
      <c r="A33" s="25">
        <v>105433</v>
      </c>
      <c r="B33" s="2">
        <v>45652</v>
      </c>
      <c r="C33" s="33">
        <v>30293900.609999999</v>
      </c>
      <c r="G33" s="34"/>
      <c r="H33" s="34"/>
      <c r="I33" s="34"/>
      <c r="J33" s="3">
        <v>16764391.058387682</v>
      </c>
      <c r="K33" s="3">
        <v>56874.221836876648</v>
      </c>
      <c r="L33" s="3">
        <v>13472635.329775441</v>
      </c>
      <c r="M33" s="4">
        <f t="shared" si="2"/>
        <v>30293900.609999999</v>
      </c>
      <c r="N33" s="4">
        <f t="shared" si="1"/>
        <v>0</v>
      </c>
    </row>
    <row r="34" spans="1:14" x14ac:dyDescent="0.25">
      <c r="A34" s="25">
        <v>105433</v>
      </c>
      <c r="B34" s="2">
        <v>45653</v>
      </c>
      <c r="C34" s="33">
        <v>30387774.469999999</v>
      </c>
      <c r="J34" s="3">
        <v>16816340.06685181</v>
      </c>
      <c r="K34" s="3">
        <v>57050.46202486226</v>
      </c>
      <c r="L34" s="3">
        <v>13514383.941123329</v>
      </c>
      <c r="M34" s="4">
        <f t="shared" si="2"/>
        <v>30387774.470000003</v>
      </c>
      <c r="N34" s="4">
        <f t="shared" si="1"/>
        <v>0</v>
      </c>
    </row>
    <row r="35" spans="1:14" x14ac:dyDescent="0.25">
      <c r="A35" s="25">
        <v>105433</v>
      </c>
      <c r="B35" s="2">
        <v>45654</v>
      </c>
      <c r="C35" s="33">
        <v>30387774.469999999</v>
      </c>
      <c r="G35" s="34"/>
      <c r="H35" s="34"/>
      <c r="I35" s="34"/>
      <c r="J35" s="3">
        <v>16816340.06685181</v>
      </c>
      <c r="K35" s="3">
        <v>57050.46202486226</v>
      </c>
      <c r="L35" s="3">
        <v>13514383.941123329</v>
      </c>
      <c r="M35" s="4">
        <f t="shared" si="2"/>
        <v>30387774.470000003</v>
      </c>
      <c r="N35" s="4">
        <f t="shared" si="1"/>
        <v>0</v>
      </c>
    </row>
    <row r="36" spans="1:14" x14ac:dyDescent="0.25">
      <c r="A36" s="25">
        <v>105433</v>
      </c>
      <c r="B36" s="2">
        <v>45655</v>
      </c>
      <c r="C36" s="33">
        <v>30387774.469999999</v>
      </c>
      <c r="G36" s="34"/>
      <c r="H36" s="34"/>
      <c r="I36" s="34"/>
      <c r="J36" s="3">
        <v>16816340.06685181</v>
      </c>
      <c r="K36" s="3">
        <v>57050.46202486226</v>
      </c>
      <c r="L36" s="3">
        <v>13514383.941123329</v>
      </c>
      <c r="M36" s="4">
        <f t="shared" si="2"/>
        <v>30387774.470000003</v>
      </c>
      <c r="N36" s="4"/>
    </row>
    <row r="37" spans="1:14" x14ac:dyDescent="0.25">
      <c r="A37" s="1">
        <v>105433</v>
      </c>
      <c r="B37" s="2">
        <v>45656</v>
      </c>
      <c r="C37" s="33">
        <v>30668468.050000001</v>
      </c>
      <c r="G37" s="34"/>
      <c r="H37" s="34"/>
      <c r="I37" s="34"/>
      <c r="J37" s="3">
        <v>16971673.544810917</v>
      </c>
      <c r="K37" s="3">
        <v>57577.440347747412</v>
      </c>
      <c r="L37" s="3">
        <v>13639217.064841338</v>
      </c>
      <c r="M37" s="4">
        <f t="shared" si="2"/>
        <v>30668468.050000001</v>
      </c>
      <c r="N37" s="4">
        <f t="shared" si="1"/>
        <v>0</v>
      </c>
    </row>
    <row r="38" spans="1:14" x14ac:dyDescent="0.25">
      <c r="A38" s="1">
        <v>105433</v>
      </c>
      <c r="B38" s="2">
        <v>45657</v>
      </c>
      <c r="C38" s="33">
        <v>30994383.23</v>
      </c>
      <c r="G38" s="34"/>
      <c r="H38" s="34"/>
      <c r="I38" s="34"/>
      <c r="J38" s="3">
        <v>17152032.277736224</v>
      </c>
      <c r="K38" s="3">
        <v>58189.318378442702</v>
      </c>
      <c r="L38" s="3">
        <v>13784161.633885333</v>
      </c>
      <c r="M38" s="4">
        <f t="shared" si="2"/>
        <v>30994383.229999997</v>
      </c>
      <c r="N38" s="4">
        <f t="shared" si="1"/>
        <v>0</v>
      </c>
    </row>
    <row r="39" spans="1:14" x14ac:dyDescent="0.25">
      <c r="A39" s="5"/>
      <c r="B39" s="6"/>
      <c r="J39" s="7"/>
    </row>
    <row r="40" spans="1:14" x14ac:dyDescent="0.25">
      <c r="A40" s="19" t="s">
        <v>8</v>
      </c>
      <c r="B40" s="8">
        <f>COUNT(B8:B38)</f>
        <v>31</v>
      </c>
      <c r="C40" s="4">
        <f>AVERAGE(C8:C38)</f>
        <v>30288994.583548389</v>
      </c>
      <c r="J40" s="4">
        <f>AVERAGE(J8:J38)</f>
        <v>16761676.104409439</v>
      </c>
      <c r="K40" s="4">
        <f>AVERAGE(K8:K38)</f>
        <v>56865.011189481353</v>
      </c>
      <c r="L40" s="4">
        <f>AVERAGE(L8:L38)</f>
        <v>13470453.467949463</v>
      </c>
      <c r="M40" s="4">
        <f>SUM(J40:L40)</f>
        <v>30288994.583548382</v>
      </c>
      <c r="N40" s="4">
        <f>M40-C40</f>
        <v>0</v>
      </c>
    </row>
    <row r="41" spans="1:14" x14ac:dyDescent="0.25">
      <c r="A41" s="19" t="s">
        <v>9</v>
      </c>
      <c r="B41" s="8">
        <v>1.62</v>
      </c>
      <c r="C41" s="9">
        <f>+C40*$B$42</f>
        <v>42253.14744405001</v>
      </c>
      <c r="D41" s="10">
        <f>C41*1.16</f>
        <v>49013.65103509801</v>
      </c>
      <c r="J41" s="20">
        <f>(+J40*$B$42)</f>
        <v>23382.538165651171</v>
      </c>
      <c r="K41" s="20">
        <f>(+K40*$B$42)</f>
        <v>79.326690609326491</v>
      </c>
      <c r="L41" s="20">
        <f>(+L40*$B$42)</f>
        <v>18791.282587789505</v>
      </c>
      <c r="M41" s="4">
        <f>SUM(J41:L41)</f>
        <v>42253.147444050002</v>
      </c>
      <c r="N41" s="4">
        <f>+C41/M41</f>
        <v>1.0000000000000002</v>
      </c>
    </row>
    <row r="42" spans="1:14" x14ac:dyDescent="0.25">
      <c r="A42" s="19" t="s">
        <v>10</v>
      </c>
      <c r="B42" s="11">
        <f>B41/360*B40/100</f>
        <v>1.3950000000000002E-3</v>
      </c>
      <c r="D42" s="10">
        <f>D41-C41</f>
        <v>6760.5035910480001</v>
      </c>
      <c r="M42" s="32">
        <f>C41/M41</f>
        <v>1.0000000000000002</v>
      </c>
    </row>
    <row r="46" spans="1:14" x14ac:dyDescent="0.25">
      <c r="M46" s="10">
        <f>+'JUL24'!M41+'AGO24'!M41+'DIC24'!M41</f>
        <v>122514.60016980002</v>
      </c>
    </row>
  </sheetData>
  <mergeCells count="1">
    <mergeCell ref="A6:C6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4DC5C-B015-4216-918D-DE756E2515D7}">
  <dimension ref="A1:N46"/>
  <sheetViews>
    <sheetView workbookViewId="0">
      <selection activeCell="J41" sqref="J41:L41"/>
    </sheetView>
  </sheetViews>
  <sheetFormatPr baseColWidth="10" defaultRowHeight="15" x14ac:dyDescent="0.25"/>
  <cols>
    <col min="3" max="3" width="15.140625" bestFit="1" customWidth="1"/>
    <col min="6" max="6" width="14.140625" bestFit="1" customWidth="1"/>
    <col min="8" max="9" width="14.140625" bestFit="1" customWidth="1"/>
    <col min="10" max="12" width="17" bestFit="1" customWidth="1"/>
    <col min="13" max="14" width="15.140625" bestFit="1" customWidth="1"/>
  </cols>
  <sheetData>
    <row r="1" spans="1:14" x14ac:dyDescent="0.25">
      <c r="D1" s="38" t="s">
        <v>15</v>
      </c>
      <c r="E1" s="35">
        <v>46022</v>
      </c>
      <c r="F1" s="36">
        <v>17102155.4362</v>
      </c>
      <c r="G1" s="36">
        <v>57786.717400000001</v>
      </c>
      <c r="H1" s="36">
        <v>13740248.9957</v>
      </c>
      <c r="I1" s="37">
        <f>+F1+G1+H1</f>
        <v>30900191.149300002</v>
      </c>
    </row>
    <row r="2" spans="1:14" x14ac:dyDescent="0.25">
      <c r="D2" s="38" t="s">
        <v>16</v>
      </c>
      <c r="E2" s="35">
        <v>45688</v>
      </c>
      <c r="F2" s="36">
        <v>17068883.128600001</v>
      </c>
      <c r="G2" s="36">
        <v>58336.232199999999</v>
      </c>
      <c r="H2" s="36">
        <v>13743710.534299999</v>
      </c>
      <c r="I2" s="37">
        <f>+F2+G2+H2</f>
        <v>30870929.895100001</v>
      </c>
    </row>
    <row r="3" spans="1:14" x14ac:dyDescent="0.25">
      <c r="E3" s="38"/>
      <c r="F3" s="37"/>
    </row>
    <row r="4" spans="1:14" x14ac:dyDescent="0.25">
      <c r="E4" s="35">
        <f>+E1</f>
        <v>46022</v>
      </c>
      <c r="F4" s="13">
        <f t="shared" ref="F4:H5" si="0">+F1/$I1</f>
        <v>0.55346438970450917</v>
      </c>
      <c r="G4" s="13">
        <f t="shared" si="0"/>
        <v>1.8701087355994907E-3</v>
      </c>
      <c r="H4" s="13">
        <f t="shared" si="0"/>
        <v>0.44466550155989132</v>
      </c>
      <c r="I4" s="12">
        <f>+F4+G4+H4</f>
        <v>1</v>
      </c>
    </row>
    <row r="5" spans="1:14" x14ac:dyDescent="0.25">
      <c r="E5" s="35">
        <f>+E2</f>
        <v>45688</v>
      </c>
      <c r="F5" s="13">
        <f t="shared" si="0"/>
        <v>0.55291120761831236</v>
      </c>
      <c r="G5" s="13">
        <f t="shared" si="0"/>
        <v>1.889681729647523E-3</v>
      </c>
      <c r="H5" s="13">
        <f t="shared" si="0"/>
        <v>0.44519911065204015</v>
      </c>
      <c r="I5" s="12">
        <f>+F5+G5+H5</f>
        <v>1</v>
      </c>
    </row>
    <row r="6" spans="1:14" x14ac:dyDescent="0.25">
      <c r="A6" s="46" t="s">
        <v>0</v>
      </c>
      <c r="B6" s="46"/>
      <c r="C6" s="46"/>
      <c r="E6" s="39" t="s">
        <v>17</v>
      </c>
      <c r="F6" s="40">
        <f>AVERAGE(F4:F5)</f>
        <v>0.55318779866141077</v>
      </c>
      <c r="G6" s="40">
        <f>AVERAGE(G4:G5)</f>
        <v>1.8798952326235067E-3</v>
      </c>
      <c r="H6" s="40">
        <f>AVERAGE(H4:H5)</f>
        <v>0.44493230610596574</v>
      </c>
      <c r="I6" s="12"/>
    </row>
    <row r="7" spans="1:14" x14ac:dyDescent="0.25">
      <c r="A7" s="16" t="s">
        <v>1</v>
      </c>
      <c r="B7" s="17" t="s">
        <v>2</v>
      </c>
      <c r="C7" s="18" t="s">
        <v>3</v>
      </c>
      <c r="E7" s="35"/>
      <c r="F7" s="13"/>
      <c r="G7" s="13"/>
      <c r="H7" s="13"/>
      <c r="I7" s="12"/>
      <c r="J7" s="28" t="s">
        <v>4</v>
      </c>
      <c r="K7" s="14" t="s">
        <v>5</v>
      </c>
      <c r="L7" s="15" t="s">
        <v>6</v>
      </c>
    </row>
    <row r="8" spans="1:14" x14ac:dyDescent="0.25">
      <c r="A8" s="1">
        <v>105433</v>
      </c>
      <c r="B8" s="2">
        <v>45658</v>
      </c>
      <c r="C8" s="33">
        <v>30994383.23</v>
      </c>
      <c r="J8" s="3">
        <v>17145714.629871845</v>
      </c>
      <c r="K8" s="3">
        <v>58266.193272182965</v>
      </c>
      <c r="L8" s="3">
        <v>13790402.406855971</v>
      </c>
      <c r="M8" s="4">
        <f>SUM(J8:L8)</f>
        <v>30994383.23</v>
      </c>
      <c r="N8" s="4">
        <f>+C8-M8</f>
        <v>0</v>
      </c>
    </row>
    <row r="9" spans="1:14" x14ac:dyDescent="0.25">
      <c r="A9" s="25">
        <v>105433</v>
      </c>
      <c r="B9" s="2">
        <v>45659</v>
      </c>
      <c r="C9" s="33">
        <v>30740750.100000001</v>
      </c>
      <c r="J9" s="3">
        <v>17005407.877019543</v>
      </c>
      <c r="K9" s="3">
        <v>57789.389560260592</v>
      </c>
      <c r="L9" s="3">
        <v>13677552.833420197</v>
      </c>
      <c r="M9" s="4">
        <f>SUM(J9:L9)</f>
        <v>30740750.100000001</v>
      </c>
      <c r="N9" s="4">
        <f t="shared" ref="N9:N38" si="1">+C9-M9</f>
        <v>0</v>
      </c>
    </row>
    <row r="10" spans="1:14" x14ac:dyDescent="0.25">
      <c r="A10" s="25">
        <v>105433</v>
      </c>
      <c r="B10" s="2">
        <v>45660</v>
      </c>
      <c r="C10" s="33">
        <v>30760447.829999998</v>
      </c>
      <c r="J10" s="3">
        <v>17016304.42091687</v>
      </c>
      <c r="K10" s="3">
        <v>57826.419228981089</v>
      </c>
      <c r="L10" s="3">
        <v>13686316.98985415</v>
      </c>
      <c r="M10" s="4">
        <f>SUM(J10:L10)</f>
        <v>30760447.830000002</v>
      </c>
      <c r="N10" s="4">
        <f t="shared" si="1"/>
        <v>0</v>
      </c>
    </row>
    <row r="11" spans="1:14" x14ac:dyDescent="0.25">
      <c r="A11" s="42">
        <v>105433</v>
      </c>
      <c r="B11" s="43">
        <v>45661</v>
      </c>
      <c r="C11" s="44">
        <v>30760447.829999998</v>
      </c>
      <c r="J11" s="3">
        <v>17016304.42091687</v>
      </c>
      <c r="K11" s="3">
        <v>57826.419228981089</v>
      </c>
      <c r="L11" s="3">
        <v>13686316.98985415</v>
      </c>
      <c r="M11" s="4">
        <f t="shared" ref="M11:M38" si="2">SUM(J11:L11)</f>
        <v>30760447.830000002</v>
      </c>
      <c r="N11" s="4">
        <f t="shared" si="1"/>
        <v>0</v>
      </c>
    </row>
    <row r="12" spans="1:14" x14ac:dyDescent="0.25">
      <c r="A12" s="42">
        <v>105433</v>
      </c>
      <c r="B12" s="43">
        <v>45662</v>
      </c>
      <c r="C12" s="44">
        <v>30760447.829999998</v>
      </c>
      <c r="J12" s="3">
        <v>17016304.42091687</v>
      </c>
      <c r="K12" s="3">
        <v>57826.419228981089</v>
      </c>
      <c r="L12" s="3">
        <v>13686316.98985415</v>
      </c>
      <c r="M12" s="4">
        <f t="shared" si="2"/>
        <v>30760447.830000002</v>
      </c>
      <c r="N12" s="4">
        <f t="shared" si="1"/>
        <v>0</v>
      </c>
    </row>
    <row r="13" spans="1:14" x14ac:dyDescent="0.25">
      <c r="A13" s="25">
        <v>105433</v>
      </c>
      <c r="B13" s="2">
        <v>45663</v>
      </c>
      <c r="C13" s="33">
        <v>30410393.960000001</v>
      </c>
      <c r="E13" t="s">
        <v>7</v>
      </c>
      <c r="J13" s="3">
        <v>16822658.891158663</v>
      </c>
      <c r="K13" s="3">
        <v>57168.354627606685</v>
      </c>
      <c r="L13" s="3">
        <v>13530566.714213733</v>
      </c>
      <c r="M13" s="4">
        <f t="shared" si="2"/>
        <v>30410393.960000001</v>
      </c>
      <c r="N13" s="4">
        <f t="shared" si="1"/>
        <v>0</v>
      </c>
    </row>
    <row r="14" spans="1:14" x14ac:dyDescent="0.25">
      <c r="A14" s="25">
        <v>105433</v>
      </c>
      <c r="B14" s="2">
        <v>45664</v>
      </c>
      <c r="C14" s="33">
        <v>30422400.289999999</v>
      </c>
      <c r="J14" s="3">
        <v>16829300.646421365</v>
      </c>
      <c r="K14" s="3">
        <v>57190.925270134991</v>
      </c>
      <c r="L14" s="3">
        <v>13535908.718308501</v>
      </c>
      <c r="M14" s="4">
        <f t="shared" si="2"/>
        <v>30422400.290000003</v>
      </c>
      <c r="N14" s="4">
        <f t="shared" si="1"/>
        <v>0</v>
      </c>
    </row>
    <row r="15" spans="1:14" x14ac:dyDescent="0.25">
      <c r="A15" s="25">
        <v>105433</v>
      </c>
      <c r="B15" s="2">
        <v>45665</v>
      </c>
      <c r="C15" s="33">
        <v>30549223.600000001</v>
      </c>
      <c r="J15" s="3">
        <v>16899457.75409922</v>
      </c>
      <c r="K15" s="3">
        <v>57429.339805989526</v>
      </c>
      <c r="L15" s="3">
        <v>13592336.506094793</v>
      </c>
      <c r="M15" s="4">
        <f t="shared" si="2"/>
        <v>30549223.600000001</v>
      </c>
      <c r="N15" s="4">
        <f t="shared" si="1"/>
        <v>0</v>
      </c>
    </row>
    <row r="16" spans="1:14" x14ac:dyDescent="0.25">
      <c r="A16" s="25">
        <v>105433</v>
      </c>
      <c r="B16" s="2">
        <v>45666</v>
      </c>
      <c r="C16" s="33">
        <v>30578030.309999999</v>
      </c>
      <c r="J16" s="3">
        <v>16915393.274590794</v>
      </c>
      <c r="K16" s="3">
        <v>57483.493402786087</v>
      </c>
      <c r="L16" s="3">
        <v>13605153.542006418</v>
      </c>
      <c r="M16" s="4">
        <f t="shared" si="2"/>
        <v>30578030.309999999</v>
      </c>
      <c r="N16" s="4">
        <f t="shared" si="1"/>
        <v>0</v>
      </c>
    </row>
    <row r="17" spans="1:14" x14ac:dyDescent="0.25">
      <c r="A17" s="25">
        <v>105433</v>
      </c>
      <c r="B17" s="2">
        <v>45667</v>
      </c>
      <c r="C17" s="33">
        <v>30802922.18</v>
      </c>
      <c r="J17" s="3">
        <v>17039800.713092946</v>
      </c>
      <c r="K17" s="3">
        <v>57906.266557054878</v>
      </c>
      <c r="L17" s="3">
        <v>13705215.200350001</v>
      </c>
      <c r="M17" s="4">
        <f t="shared" si="2"/>
        <v>30802922.180000003</v>
      </c>
      <c r="N17" s="4">
        <f t="shared" si="1"/>
        <v>0</v>
      </c>
    </row>
    <row r="18" spans="1:14" x14ac:dyDescent="0.25">
      <c r="A18" s="42">
        <v>105433</v>
      </c>
      <c r="B18" s="43">
        <v>45668</v>
      </c>
      <c r="C18" s="44">
        <v>30802922.18</v>
      </c>
      <c r="J18" s="3">
        <v>17039800.713092946</v>
      </c>
      <c r="K18" s="3">
        <v>57906.266557054878</v>
      </c>
      <c r="L18" s="3">
        <v>13705215.200350001</v>
      </c>
      <c r="M18" s="4">
        <f t="shared" si="2"/>
        <v>30802922.180000003</v>
      </c>
      <c r="N18" s="4">
        <f t="shared" si="1"/>
        <v>0</v>
      </c>
    </row>
    <row r="19" spans="1:14" x14ac:dyDescent="0.25">
      <c r="A19" s="42">
        <v>105433</v>
      </c>
      <c r="B19" s="43">
        <v>45669</v>
      </c>
      <c r="C19" s="44">
        <v>30802922.18</v>
      </c>
      <c r="J19" s="3">
        <v>17039800.713092946</v>
      </c>
      <c r="K19" s="3">
        <v>57906.266557054878</v>
      </c>
      <c r="L19" s="3">
        <v>13705215.200350001</v>
      </c>
      <c r="M19" s="4">
        <f t="shared" si="2"/>
        <v>30802922.180000003</v>
      </c>
      <c r="N19" s="4">
        <f t="shared" si="1"/>
        <v>0</v>
      </c>
    </row>
    <row r="20" spans="1:14" x14ac:dyDescent="0.25">
      <c r="A20" s="25">
        <v>105433</v>
      </c>
      <c r="B20" s="2">
        <v>45670</v>
      </c>
      <c r="C20" s="33">
        <v>30808308.059999999</v>
      </c>
      <c r="J20" s="3">
        <v>17042780.116193999</v>
      </c>
      <c r="K20" s="3">
        <v>57916.391447190355</v>
      </c>
      <c r="L20" s="3">
        <v>13707611.552358812</v>
      </c>
      <c r="M20" s="4">
        <f t="shared" si="2"/>
        <v>30808308.060000002</v>
      </c>
      <c r="N20" s="4">
        <f t="shared" si="1"/>
        <v>0</v>
      </c>
    </row>
    <row r="21" spans="1:14" x14ac:dyDescent="0.25">
      <c r="A21" s="25">
        <v>105433</v>
      </c>
      <c r="B21" s="2">
        <v>45671</v>
      </c>
      <c r="C21" s="33">
        <v>30612997.739999998</v>
      </c>
      <c r="G21" s="34"/>
      <c r="H21" s="34"/>
      <c r="I21" s="34"/>
      <c r="J21" s="3">
        <v>16934736.830217343</v>
      </c>
      <c r="K21" s="3">
        <v>57549.228507740183</v>
      </c>
      <c r="L21" s="3">
        <v>13620711.681274917</v>
      </c>
      <c r="M21" s="4">
        <f t="shared" si="2"/>
        <v>30612997.739999998</v>
      </c>
      <c r="N21" s="4">
        <f t="shared" si="1"/>
        <v>0</v>
      </c>
    </row>
    <row r="22" spans="1:14" x14ac:dyDescent="0.25">
      <c r="A22" s="25">
        <v>105433</v>
      </c>
      <c r="B22" s="2">
        <v>45672</v>
      </c>
      <c r="C22" s="33">
        <v>30537448.300000001</v>
      </c>
      <c r="G22" s="34"/>
      <c r="H22" s="34"/>
      <c r="I22" s="34"/>
      <c r="J22" s="3">
        <v>16892943.80181364</v>
      </c>
      <c r="K22" s="3">
        <v>57407.20347565681</v>
      </c>
      <c r="L22" s="3">
        <v>13587097.294710703</v>
      </c>
      <c r="M22" s="4">
        <f t="shared" si="2"/>
        <v>30537448.300000001</v>
      </c>
      <c r="N22" s="4">
        <f t="shared" si="1"/>
        <v>0</v>
      </c>
    </row>
    <row r="23" spans="1:14" x14ac:dyDescent="0.25">
      <c r="A23" s="25">
        <v>105433</v>
      </c>
      <c r="B23" s="2">
        <v>45673</v>
      </c>
      <c r="C23" s="33">
        <v>30902557.309999999</v>
      </c>
      <c r="G23" s="34"/>
      <c r="H23" s="34"/>
      <c r="I23" s="34"/>
      <c r="J23" s="3">
        <v>17094917.651326988</v>
      </c>
      <c r="K23" s="3">
        <v>58093.570162943695</v>
      </c>
      <c r="L23" s="3">
        <v>13749546.088510068</v>
      </c>
      <c r="M23" s="4">
        <f t="shared" si="2"/>
        <v>30902557.310000002</v>
      </c>
      <c r="N23" s="4">
        <f t="shared" si="1"/>
        <v>0</v>
      </c>
    </row>
    <row r="24" spans="1:14" x14ac:dyDescent="0.25">
      <c r="A24" s="25">
        <v>105433</v>
      </c>
      <c r="B24" s="2">
        <v>45674</v>
      </c>
      <c r="C24" s="33">
        <v>30856343.539999999</v>
      </c>
      <c r="G24" s="34"/>
      <c r="H24" s="34"/>
      <c r="I24" s="34"/>
      <c r="J24" s="3">
        <v>17069352.757632844</v>
      </c>
      <c r="K24" s="3">
        <v>58006.69311703914</v>
      </c>
      <c r="L24" s="3">
        <v>13728984.089250118</v>
      </c>
      <c r="M24" s="4">
        <f t="shared" si="2"/>
        <v>30856343.539999999</v>
      </c>
      <c r="N24" s="4">
        <f t="shared" si="1"/>
        <v>0</v>
      </c>
    </row>
    <row r="25" spans="1:14" x14ac:dyDescent="0.25">
      <c r="A25" s="42">
        <v>105433</v>
      </c>
      <c r="B25" s="43">
        <v>45675</v>
      </c>
      <c r="C25" s="44">
        <v>30856343.539999999</v>
      </c>
      <c r="G25" s="34"/>
      <c r="H25" s="34"/>
      <c r="I25" s="34"/>
      <c r="J25" s="3">
        <v>17069352.757632844</v>
      </c>
      <c r="K25" s="3">
        <v>58006.69311703914</v>
      </c>
      <c r="L25" s="3">
        <v>13728984.089250118</v>
      </c>
      <c r="M25" s="4">
        <f t="shared" si="2"/>
        <v>30856343.539999999</v>
      </c>
      <c r="N25" s="4">
        <f t="shared" si="1"/>
        <v>0</v>
      </c>
    </row>
    <row r="26" spans="1:14" x14ac:dyDescent="0.25">
      <c r="A26" s="42">
        <v>105433</v>
      </c>
      <c r="B26" s="43">
        <v>45676</v>
      </c>
      <c r="C26" s="44">
        <v>30856343.539999999</v>
      </c>
      <c r="G26" s="34"/>
      <c r="H26" s="34"/>
      <c r="I26" s="34"/>
      <c r="J26" s="3">
        <v>17069352.757632844</v>
      </c>
      <c r="K26" s="3">
        <v>58006.69311703914</v>
      </c>
      <c r="L26" s="3">
        <v>13728984.089250118</v>
      </c>
      <c r="M26" s="4">
        <f t="shared" si="2"/>
        <v>30856343.539999999</v>
      </c>
      <c r="N26" s="4">
        <f t="shared" si="1"/>
        <v>0</v>
      </c>
    </row>
    <row r="27" spans="1:14" x14ac:dyDescent="0.25">
      <c r="A27" s="25">
        <v>105433</v>
      </c>
      <c r="B27" s="2">
        <v>45677</v>
      </c>
      <c r="C27" s="33">
        <v>30582545.579999998</v>
      </c>
      <c r="G27" s="10"/>
      <c r="J27" s="3">
        <v>16917891.066862457</v>
      </c>
      <c r="K27" s="3">
        <v>57491.981637333098</v>
      </c>
      <c r="L27" s="3">
        <v>13607162.531500209</v>
      </c>
      <c r="M27" s="4">
        <f t="shared" si="2"/>
        <v>30582545.579999998</v>
      </c>
      <c r="N27" s="4">
        <f t="shared" si="1"/>
        <v>0</v>
      </c>
    </row>
    <row r="28" spans="1:14" x14ac:dyDescent="0.25">
      <c r="A28" s="25">
        <v>105433</v>
      </c>
      <c r="B28" s="2">
        <v>45678</v>
      </c>
      <c r="C28" s="33">
        <v>30738895.359999999</v>
      </c>
      <c r="G28" s="34"/>
      <c r="H28" s="34"/>
      <c r="I28" s="34"/>
      <c r="J28" s="3">
        <v>17004381.857481852</v>
      </c>
      <c r="K28" s="3">
        <v>57785.902843376833</v>
      </c>
      <c r="L28" s="3">
        <v>13676727.599674769</v>
      </c>
      <c r="M28" s="4">
        <f t="shared" si="2"/>
        <v>30738895.359999999</v>
      </c>
      <c r="N28" s="4">
        <f t="shared" si="1"/>
        <v>0</v>
      </c>
    </row>
    <row r="29" spans="1:14" x14ac:dyDescent="0.25">
      <c r="A29" s="25">
        <v>105433</v>
      </c>
      <c r="B29" s="2">
        <v>45679</v>
      </c>
      <c r="C29" s="33">
        <v>30619923.23</v>
      </c>
      <c r="G29" s="34"/>
      <c r="H29" s="34"/>
      <c r="I29" s="34"/>
      <c r="J29" s="3">
        <v>16938567.926785097</v>
      </c>
      <c r="K29" s="3">
        <v>57562.247703374771</v>
      </c>
      <c r="L29" s="3">
        <v>13623793.05551153</v>
      </c>
      <c r="M29" s="4">
        <f t="shared" si="2"/>
        <v>30619923.23</v>
      </c>
      <c r="N29" s="4">
        <f t="shared" si="1"/>
        <v>0</v>
      </c>
    </row>
    <row r="30" spans="1:14" x14ac:dyDescent="0.25">
      <c r="A30" s="25">
        <v>105433</v>
      </c>
      <c r="B30" s="2">
        <v>45680</v>
      </c>
      <c r="C30" s="33">
        <v>30497147.199999999</v>
      </c>
      <c r="G30" s="10"/>
      <c r="H30" s="34"/>
      <c r="I30" s="34"/>
      <c r="J30" s="3">
        <v>16870649.725021008</v>
      </c>
      <c r="K30" s="3">
        <v>57331.441629897323</v>
      </c>
      <c r="L30" s="3">
        <v>13569166.033349095</v>
      </c>
      <c r="M30" s="4">
        <f t="shared" si="2"/>
        <v>30497147.200000003</v>
      </c>
      <c r="N30" s="4">
        <f t="shared" si="1"/>
        <v>0</v>
      </c>
    </row>
    <row r="31" spans="1:14" x14ac:dyDescent="0.25">
      <c r="A31" s="25">
        <v>105433</v>
      </c>
      <c r="B31" s="2">
        <v>45681</v>
      </c>
      <c r="C31" s="33">
        <v>30407629.91</v>
      </c>
      <c r="G31" s="34"/>
      <c r="H31" s="34"/>
      <c r="I31" s="34"/>
      <c r="J31" s="3">
        <v>16821129.852423772</v>
      </c>
      <c r="K31" s="3">
        <v>57163.158503188955</v>
      </c>
      <c r="L31" s="3">
        <v>13529336.89907304</v>
      </c>
      <c r="M31" s="4">
        <f t="shared" si="2"/>
        <v>30407629.910000004</v>
      </c>
      <c r="N31" s="4">
        <f t="shared" si="1"/>
        <v>0</v>
      </c>
    </row>
    <row r="32" spans="1:14" x14ac:dyDescent="0.25">
      <c r="A32" s="42">
        <v>105433</v>
      </c>
      <c r="B32" s="43">
        <v>45682</v>
      </c>
      <c r="C32" s="44">
        <v>30407629.91</v>
      </c>
      <c r="G32" s="34"/>
      <c r="H32" s="34"/>
      <c r="I32" s="34"/>
      <c r="J32" s="3">
        <v>16821129.852423772</v>
      </c>
      <c r="K32" s="3">
        <v>57163.158503188955</v>
      </c>
      <c r="L32" s="3">
        <v>13529336.89907304</v>
      </c>
      <c r="M32" s="4">
        <f t="shared" si="2"/>
        <v>30407629.910000004</v>
      </c>
      <c r="N32" s="4">
        <f t="shared" si="1"/>
        <v>0</v>
      </c>
    </row>
    <row r="33" spans="1:14" x14ac:dyDescent="0.25">
      <c r="A33" s="42">
        <v>105433</v>
      </c>
      <c r="B33" s="43">
        <v>45683</v>
      </c>
      <c r="C33" s="44">
        <v>30407629.91</v>
      </c>
      <c r="G33" s="34"/>
      <c r="H33" s="34"/>
      <c r="I33" s="34"/>
      <c r="J33" s="3">
        <v>16821129.852423772</v>
      </c>
      <c r="K33" s="3">
        <v>57163.158503188955</v>
      </c>
      <c r="L33" s="3">
        <v>13529336.89907304</v>
      </c>
      <c r="M33" s="4">
        <f t="shared" si="2"/>
        <v>30407629.910000004</v>
      </c>
      <c r="N33" s="4">
        <f t="shared" si="1"/>
        <v>0</v>
      </c>
    </row>
    <row r="34" spans="1:14" x14ac:dyDescent="0.25">
      <c r="A34" s="25">
        <v>105433</v>
      </c>
      <c r="B34" s="2">
        <v>45684</v>
      </c>
      <c r="C34" s="33">
        <v>30913734.91</v>
      </c>
      <c r="J34" s="3">
        <v>17101100.963265307</v>
      </c>
      <c r="K34" s="3">
        <v>58114.582879895868</v>
      </c>
      <c r="L34" s="3">
        <v>13754519.363854799</v>
      </c>
      <c r="M34" s="4">
        <f t="shared" si="2"/>
        <v>30913734.910000004</v>
      </c>
      <c r="N34" s="4">
        <f t="shared" si="1"/>
        <v>0</v>
      </c>
    </row>
    <row r="35" spans="1:14" x14ac:dyDescent="0.25">
      <c r="A35" s="25">
        <v>105433</v>
      </c>
      <c r="B35" s="2">
        <v>45685</v>
      </c>
      <c r="C35" s="33">
        <v>30816177.879999999</v>
      </c>
      <c r="G35" s="34"/>
      <c r="H35" s="34"/>
      <c r="I35" s="34"/>
      <c r="J35" s="3">
        <v>17047133.604595661</v>
      </c>
      <c r="K35" s="3">
        <v>57931.18588428996</v>
      </c>
      <c r="L35" s="3">
        <v>13711113.08952005</v>
      </c>
      <c r="M35" s="4">
        <f t="shared" si="2"/>
        <v>30816177.880000003</v>
      </c>
      <c r="N35" s="4">
        <f t="shared" si="1"/>
        <v>0</v>
      </c>
    </row>
    <row r="36" spans="1:14" x14ac:dyDescent="0.25">
      <c r="A36" s="25">
        <v>105433</v>
      </c>
      <c r="B36" s="2">
        <v>45686</v>
      </c>
      <c r="C36" s="33">
        <v>30814670.510000002</v>
      </c>
      <c r="G36" s="34"/>
      <c r="H36" s="34"/>
      <c r="I36" s="34"/>
      <c r="J36" s="3">
        <v>17046299.745903593</v>
      </c>
      <c r="K36" s="3">
        <v>57928.352186613163</v>
      </c>
      <c r="L36" s="3">
        <v>13710442.411909796</v>
      </c>
      <c r="M36" s="4">
        <f t="shared" si="2"/>
        <v>30814670.510000002</v>
      </c>
      <c r="N36" s="4"/>
    </row>
    <row r="37" spans="1:14" x14ac:dyDescent="0.25">
      <c r="A37" s="1">
        <v>105433</v>
      </c>
      <c r="B37" s="2">
        <v>45687</v>
      </c>
      <c r="C37" s="33">
        <v>30890002.890000001</v>
      </c>
      <c r="G37" s="34"/>
      <c r="H37" s="34"/>
      <c r="I37" s="34"/>
      <c r="J37" s="3">
        <v>17087972.699363716</v>
      </c>
      <c r="K37" s="3">
        <v>58069.969168637348</v>
      </c>
      <c r="L37" s="3">
        <v>13743960.221467646</v>
      </c>
      <c r="M37" s="4">
        <f t="shared" si="2"/>
        <v>30890002.890000001</v>
      </c>
      <c r="N37" s="4">
        <f t="shared" si="1"/>
        <v>0</v>
      </c>
    </row>
    <row r="38" spans="1:14" x14ac:dyDescent="0.25">
      <c r="A38" s="1">
        <v>105433</v>
      </c>
      <c r="B38" s="2">
        <v>45688</v>
      </c>
      <c r="C38" s="33">
        <v>31041506.800000001</v>
      </c>
      <c r="G38" s="34"/>
      <c r="H38" s="34"/>
      <c r="I38" s="34"/>
      <c r="J38" s="3">
        <v>17171782.813825212</v>
      </c>
      <c r="K38" s="3">
        <v>58354.780646770167</v>
      </c>
      <c r="L38" s="3">
        <v>13811369.205528017</v>
      </c>
      <c r="M38" s="4">
        <f t="shared" si="2"/>
        <v>31041506.800000001</v>
      </c>
      <c r="N38" s="4">
        <f t="shared" si="1"/>
        <v>0</v>
      </c>
    </row>
    <row r="39" spans="1:14" x14ac:dyDescent="0.25">
      <c r="A39" s="5"/>
      <c r="B39" s="6"/>
      <c r="J39" s="7"/>
    </row>
    <row r="40" spans="1:14" x14ac:dyDescent="0.25">
      <c r="A40" s="19" t="s">
        <v>8</v>
      </c>
      <c r="B40" s="8">
        <f>COUNT(B8:B38)</f>
        <v>31</v>
      </c>
      <c r="C40" s="4">
        <f>AVERAGE(C8:C38)</f>
        <v>30708165.40774193</v>
      </c>
      <c r="J40" s="4">
        <f>AVERAGE(J8:J38)</f>
        <v>16987382.422839247</v>
      </c>
      <c r="K40" s="4">
        <f>AVERAGE(K8:K38)</f>
        <v>57728.133752628157</v>
      </c>
      <c r="L40" s="4">
        <f>AVERAGE(L8:L38)</f>
        <v>13663054.851150064</v>
      </c>
      <c r="M40" s="4">
        <f>SUM(J40:L40)</f>
        <v>30708165.407741942</v>
      </c>
      <c r="N40" s="4">
        <f>M40-C40</f>
        <v>0</v>
      </c>
    </row>
    <row r="41" spans="1:14" x14ac:dyDescent="0.25">
      <c r="A41" s="19" t="s">
        <v>9</v>
      </c>
      <c r="B41" s="8">
        <v>1.62</v>
      </c>
      <c r="C41" s="9">
        <f>+C40*$B$42</f>
        <v>42837.890743799995</v>
      </c>
      <c r="D41" s="10">
        <f>C41*1.16</f>
        <v>49691.953262807991</v>
      </c>
      <c r="J41" s="20">
        <f>(+J40*$B$42)</f>
        <v>23697.398479860753</v>
      </c>
      <c r="K41" s="20">
        <f>(+K40*$B$42)</f>
        <v>80.530746584916287</v>
      </c>
      <c r="L41" s="20">
        <f>(+L40*$B$42)</f>
        <v>19059.961517354343</v>
      </c>
      <c r="M41" s="4">
        <f>SUM(J41:L41)</f>
        <v>42837.89074380001</v>
      </c>
      <c r="N41" s="4">
        <f>+C41/M41</f>
        <v>0.99999999999999967</v>
      </c>
    </row>
    <row r="42" spans="1:14" x14ac:dyDescent="0.25">
      <c r="A42" s="19" t="s">
        <v>10</v>
      </c>
      <c r="B42" s="11">
        <f>B41/360*B40/100</f>
        <v>1.3950000000000002E-3</v>
      </c>
      <c r="D42" s="10">
        <f>D41-C41</f>
        <v>6854.0625190079954</v>
      </c>
      <c r="M42" s="32">
        <f>C41/M41</f>
        <v>0.99999999999999967</v>
      </c>
    </row>
    <row r="46" spans="1:14" x14ac:dyDescent="0.25">
      <c r="M46" s="10">
        <f>+'JUL24'!M41+'AGO24'!M41+'ENE25'!M41</f>
        <v>123099.34346955002</v>
      </c>
    </row>
  </sheetData>
  <mergeCells count="1">
    <mergeCell ref="A6:C6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0800-1753-4272-9A3D-A0DBA3E486D6}">
  <dimension ref="A1:N43"/>
  <sheetViews>
    <sheetView workbookViewId="0">
      <selection activeCell="J13" sqref="J13"/>
    </sheetView>
  </sheetViews>
  <sheetFormatPr baseColWidth="10" defaultRowHeight="15" x14ac:dyDescent="0.25"/>
  <cols>
    <col min="3" max="3" width="15.140625" bestFit="1" customWidth="1"/>
    <col min="6" max="6" width="14.140625" bestFit="1" customWidth="1"/>
    <col min="8" max="9" width="14.140625" bestFit="1" customWidth="1"/>
    <col min="10" max="12" width="17" bestFit="1" customWidth="1"/>
    <col min="13" max="14" width="15.140625" bestFit="1" customWidth="1"/>
  </cols>
  <sheetData>
    <row r="1" spans="1:14" x14ac:dyDescent="0.25">
      <c r="D1" s="38" t="s">
        <v>15</v>
      </c>
      <c r="E1" s="35">
        <v>45688</v>
      </c>
      <c r="F1" s="36">
        <v>17068883.128600001</v>
      </c>
      <c r="G1" s="36">
        <v>58336.232199999999</v>
      </c>
      <c r="H1" s="36">
        <v>13743710.534299999</v>
      </c>
      <c r="I1" s="37">
        <f>+F1+G1+H1</f>
        <v>30870929.895100001</v>
      </c>
    </row>
    <row r="2" spans="1:14" x14ac:dyDescent="0.25">
      <c r="D2" s="38" t="s">
        <v>16</v>
      </c>
      <c r="E2" s="35">
        <v>45716</v>
      </c>
      <c r="F2" s="36">
        <v>17175974.199999999</v>
      </c>
      <c r="G2" s="36">
        <v>58761.67</v>
      </c>
      <c r="H2" s="36">
        <v>13872700.279999999</v>
      </c>
      <c r="I2" s="37">
        <f>+F2+G2+H2</f>
        <v>31107436.149999999</v>
      </c>
    </row>
    <row r="3" spans="1:14" x14ac:dyDescent="0.25">
      <c r="E3" s="38"/>
      <c r="F3" s="37"/>
    </row>
    <row r="4" spans="1:14" x14ac:dyDescent="0.25">
      <c r="E4" s="35">
        <f>+E1</f>
        <v>45688</v>
      </c>
      <c r="F4" s="13">
        <f t="shared" ref="F4:H5" si="0">+F1/$I1</f>
        <v>0.55291120761831236</v>
      </c>
      <c r="G4" s="13">
        <f t="shared" si="0"/>
        <v>1.889681729647523E-3</v>
      </c>
      <c r="H4" s="13">
        <f t="shared" si="0"/>
        <v>0.44519911065204015</v>
      </c>
      <c r="I4" s="12">
        <f>+F4+G4+H4</f>
        <v>1</v>
      </c>
    </row>
    <row r="5" spans="1:14" x14ac:dyDescent="0.25">
      <c r="E5" s="35">
        <f>+E2</f>
        <v>45716</v>
      </c>
      <c r="F5" s="13">
        <f t="shared" si="0"/>
        <v>0.55215010704120659</v>
      </c>
      <c r="G5" s="13">
        <f t="shared" si="0"/>
        <v>1.8889910989980446E-3</v>
      </c>
      <c r="H5" s="13">
        <f t="shared" si="0"/>
        <v>0.44596090185979537</v>
      </c>
      <c r="I5" s="12">
        <f>+F5+G5+H5</f>
        <v>1</v>
      </c>
    </row>
    <row r="6" spans="1:14" x14ac:dyDescent="0.25">
      <c r="A6" s="46" t="s">
        <v>0</v>
      </c>
      <c r="B6" s="46"/>
      <c r="C6" s="46"/>
      <c r="E6" s="39" t="s">
        <v>17</v>
      </c>
      <c r="F6" s="40">
        <f>AVERAGE(F4:F5)</f>
        <v>0.55253065732975948</v>
      </c>
      <c r="G6" s="40">
        <f>AVERAGE(G4:G5)</f>
        <v>1.8893364143227837E-3</v>
      </c>
      <c r="H6" s="40">
        <f>AVERAGE(H4:H5)</f>
        <v>0.44558000625591776</v>
      </c>
      <c r="I6" s="12"/>
    </row>
    <row r="7" spans="1:14" x14ac:dyDescent="0.25">
      <c r="A7" s="16" t="s">
        <v>1</v>
      </c>
      <c r="B7" s="17" t="s">
        <v>2</v>
      </c>
      <c r="C7" s="18" t="s">
        <v>3</v>
      </c>
      <c r="E7" s="35"/>
      <c r="F7" s="13"/>
      <c r="G7" s="13"/>
      <c r="H7" s="13"/>
      <c r="I7" s="12"/>
      <c r="J7" s="28" t="s">
        <v>4</v>
      </c>
      <c r="K7" s="14" t="s">
        <v>5</v>
      </c>
      <c r="L7" s="15" t="s">
        <v>6</v>
      </c>
    </row>
    <row r="8" spans="1:14" x14ac:dyDescent="0.25">
      <c r="A8" s="1">
        <v>105433</v>
      </c>
      <c r="B8" s="2">
        <v>45689</v>
      </c>
      <c r="C8" s="33">
        <v>31041506.800000001</v>
      </c>
      <c r="J8" s="3">
        <v>17151384.1567102</v>
      </c>
      <c r="K8" s="3">
        <v>58647.849152688308</v>
      </c>
      <c r="L8" s="3">
        <v>13831474.794137115</v>
      </c>
      <c r="M8" s="4">
        <f>SUM(J8:L8)</f>
        <v>31041506.800000004</v>
      </c>
      <c r="N8" s="4">
        <f>+C8-M8</f>
        <v>0</v>
      </c>
    </row>
    <row r="9" spans="1:14" x14ac:dyDescent="0.25">
      <c r="A9" s="25">
        <v>105433</v>
      </c>
      <c r="B9" s="2">
        <v>45690</v>
      </c>
      <c r="C9" s="33">
        <v>31041506.800000001</v>
      </c>
      <c r="J9" s="3">
        <v>17151384.1567102</v>
      </c>
      <c r="K9" s="3">
        <v>58647.849152688308</v>
      </c>
      <c r="L9" s="3">
        <v>13831474.794137115</v>
      </c>
      <c r="M9" s="4">
        <f>SUM(J9:L9)</f>
        <v>31041506.800000004</v>
      </c>
      <c r="N9" s="4">
        <f t="shared" ref="N9:N35" si="1">+C9-M9</f>
        <v>0</v>
      </c>
    </row>
    <row r="10" spans="1:14" x14ac:dyDescent="0.25">
      <c r="A10" s="25">
        <v>105433</v>
      </c>
      <c r="B10" s="2">
        <v>45691</v>
      </c>
      <c r="C10" s="33">
        <v>31041506.800000001</v>
      </c>
      <c r="J10" s="3">
        <v>17151384.1567102</v>
      </c>
      <c r="K10" s="3">
        <v>58647.849152688308</v>
      </c>
      <c r="L10" s="3">
        <v>13831474.794137115</v>
      </c>
      <c r="M10" s="4">
        <f>SUM(J10:L10)</f>
        <v>31041506.800000004</v>
      </c>
      <c r="N10" s="4">
        <f t="shared" si="1"/>
        <v>0</v>
      </c>
    </row>
    <row r="11" spans="1:14" x14ac:dyDescent="0.25">
      <c r="A11" s="42">
        <v>105433</v>
      </c>
      <c r="B11" s="43">
        <v>45692</v>
      </c>
      <c r="C11" s="44">
        <v>30753491.739999998</v>
      </c>
      <c r="J11" s="3">
        <v>16992247.006287526</v>
      </c>
      <c r="K11" s="3">
        <v>58103.691811956945</v>
      </c>
      <c r="L11" s="3">
        <v>13703141.041900514</v>
      </c>
      <c r="M11" s="4">
        <f t="shared" ref="M11:M35" si="2">SUM(J11:L11)</f>
        <v>30753491.739999995</v>
      </c>
      <c r="N11" s="4">
        <f t="shared" si="1"/>
        <v>0</v>
      </c>
    </row>
    <row r="12" spans="1:14" x14ac:dyDescent="0.25">
      <c r="A12" s="42">
        <v>105433</v>
      </c>
      <c r="B12" s="43">
        <v>45693</v>
      </c>
      <c r="C12" s="44">
        <v>30868215.460000001</v>
      </c>
      <c r="J12" s="3">
        <v>17055635.378710445</v>
      </c>
      <c r="K12" s="3">
        <v>58320.443513739519</v>
      </c>
      <c r="L12" s="3">
        <v>13754259.637775818</v>
      </c>
      <c r="M12" s="4">
        <f t="shared" si="2"/>
        <v>30868215.460000001</v>
      </c>
      <c r="N12" s="4">
        <f t="shared" si="1"/>
        <v>0</v>
      </c>
    </row>
    <row r="13" spans="1:14" x14ac:dyDescent="0.25">
      <c r="A13" s="25">
        <v>105433</v>
      </c>
      <c r="B13" s="2">
        <v>45694</v>
      </c>
      <c r="C13" s="33">
        <v>30730214.02</v>
      </c>
      <c r="E13" t="s">
        <v>7</v>
      </c>
      <c r="J13" s="3">
        <v>16979385.352354791</v>
      </c>
      <c r="K13" s="3">
        <v>58059.712367918539</v>
      </c>
      <c r="L13" s="3">
        <v>13692768.955277292</v>
      </c>
      <c r="M13" s="4">
        <f t="shared" si="2"/>
        <v>30730214.020000003</v>
      </c>
      <c r="N13" s="4">
        <f t="shared" si="1"/>
        <v>0</v>
      </c>
    </row>
    <row r="14" spans="1:14" x14ac:dyDescent="0.25">
      <c r="A14" s="25">
        <v>105433</v>
      </c>
      <c r="B14" s="2">
        <v>45695</v>
      </c>
      <c r="C14" s="33">
        <v>30822269.100000001</v>
      </c>
      <c r="J14" s="3">
        <v>17030248.606217735</v>
      </c>
      <c r="K14" s="3">
        <v>58233.635382685934</v>
      </c>
      <c r="L14" s="3">
        <v>13733786.858399581</v>
      </c>
      <c r="M14" s="4">
        <f t="shared" si="2"/>
        <v>30822269.100000001</v>
      </c>
      <c r="N14" s="4">
        <f t="shared" si="1"/>
        <v>0</v>
      </c>
    </row>
    <row r="15" spans="1:14" x14ac:dyDescent="0.25">
      <c r="A15" s="25">
        <v>105433</v>
      </c>
      <c r="B15" s="2">
        <v>45696</v>
      </c>
      <c r="C15" s="33">
        <v>30822269.100000001</v>
      </c>
      <c r="J15" s="3">
        <v>17030248.606217735</v>
      </c>
      <c r="K15" s="3">
        <v>58233.635382685934</v>
      </c>
      <c r="L15" s="3">
        <v>13733786.858399581</v>
      </c>
      <c r="M15" s="4">
        <f t="shared" si="2"/>
        <v>30822269.100000001</v>
      </c>
      <c r="N15" s="4">
        <f t="shared" si="1"/>
        <v>0</v>
      </c>
    </row>
    <row r="16" spans="1:14" x14ac:dyDescent="0.25">
      <c r="A16" s="25">
        <v>105433</v>
      </c>
      <c r="B16" s="2">
        <v>45697</v>
      </c>
      <c r="C16" s="33">
        <v>30822269.100000001</v>
      </c>
      <c r="J16" s="3">
        <v>17030248.606217735</v>
      </c>
      <c r="K16" s="3">
        <v>58233.635382685934</v>
      </c>
      <c r="L16" s="3">
        <v>13733786.858399581</v>
      </c>
      <c r="M16" s="4">
        <f t="shared" si="2"/>
        <v>30822269.100000001</v>
      </c>
      <c r="N16" s="4">
        <f t="shared" si="1"/>
        <v>0</v>
      </c>
    </row>
    <row r="17" spans="1:14" x14ac:dyDescent="0.25">
      <c r="A17" s="25">
        <v>105433</v>
      </c>
      <c r="B17" s="2">
        <v>45698</v>
      </c>
      <c r="C17" s="33">
        <v>30945199.289999999</v>
      </c>
      <c r="J17" s="3">
        <v>17098171.304904107</v>
      </c>
      <c r="K17" s="3">
        <v>58465.891867072547</v>
      </c>
      <c r="L17" s="3">
        <v>13788562.093228821</v>
      </c>
      <c r="M17" s="4">
        <f t="shared" si="2"/>
        <v>30945199.289999999</v>
      </c>
      <c r="N17" s="4">
        <f t="shared" si="1"/>
        <v>0</v>
      </c>
    </row>
    <row r="18" spans="1:14" x14ac:dyDescent="0.25">
      <c r="A18" s="42">
        <v>105433</v>
      </c>
      <c r="B18" s="43">
        <v>45699</v>
      </c>
      <c r="C18" s="44">
        <v>30860534.850000001</v>
      </c>
      <c r="J18" s="3">
        <v>17051391.60621845</v>
      </c>
      <c r="K18" s="3">
        <v>58305.93225758231</v>
      </c>
      <c r="L18" s="3">
        <v>13750837.311523968</v>
      </c>
      <c r="M18" s="4">
        <f t="shared" si="2"/>
        <v>30860534.850000001</v>
      </c>
      <c r="N18" s="4">
        <f t="shared" si="1"/>
        <v>0</v>
      </c>
    </row>
    <row r="19" spans="1:14" x14ac:dyDescent="0.25">
      <c r="A19" s="42">
        <v>105433</v>
      </c>
      <c r="B19" s="43">
        <v>45700</v>
      </c>
      <c r="C19" s="44">
        <v>30902885.300000001</v>
      </c>
      <c r="J19" s="3">
        <v>17074791.528195161</v>
      </c>
      <c r="K19" s="3">
        <v>58385.94650493026</v>
      </c>
      <c r="L19" s="3">
        <v>13769707.825299909</v>
      </c>
      <c r="M19" s="4">
        <f t="shared" si="2"/>
        <v>30902885.300000004</v>
      </c>
      <c r="N19" s="4">
        <f t="shared" si="1"/>
        <v>0</v>
      </c>
    </row>
    <row r="20" spans="1:14" x14ac:dyDescent="0.25">
      <c r="A20" s="25">
        <v>105433</v>
      </c>
      <c r="B20" s="2">
        <v>45701</v>
      </c>
      <c r="C20" s="33">
        <v>30938547.329999998</v>
      </c>
      <c r="J20" s="3">
        <v>17094495.893072773</v>
      </c>
      <c r="K20" s="3">
        <v>58453.324076817931</v>
      </c>
      <c r="L20" s="3">
        <v>13785598.112850407</v>
      </c>
      <c r="M20" s="4">
        <f t="shared" si="2"/>
        <v>30938547.329999998</v>
      </c>
      <c r="N20" s="4">
        <f t="shared" si="1"/>
        <v>0</v>
      </c>
    </row>
    <row r="21" spans="1:14" x14ac:dyDescent="0.25">
      <c r="A21" s="25">
        <v>105433</v>
      </c>
      <c r="B21" s="2">
        <v>45702</v>
      </c>
      <c r="C21" s="33">
        <v>30850437.93</v>
      </c>
      <c r="G21" s="34"/>
      <c r="H21" s="34"/>
      <c r="I21" s="34"/>
      <c r="J21" s="3">
        <v>17045812.748373844</v>
      </c>
      <c r="K21" s="3">
        <v>58286.855778953803</v>
      </c>
      <c r="L21" s="3">
        <v>13746338.325847203</v>
      </c>
      <c r="M21" s="4">
        <f t="shared" si="2"/>
        <v>30850437.93</v>
      </c>
      <c r="N21" s="4">
        <f t="shared" si="1"/>
        <v>0</v>
      </c>
    </row>
    <row r="22" spans="1:14" x14ac:dyDescent="0.25">
      <c r="A22" s="25">
        <v>105433</v>
      </c>
      <c r="B22" s="2">
        <v>45703</v>
      </c>
      <c r="C22" s="33">
        <v>30850437.93</v>
      </c>
      <c r="G22" s="34"/>
      <c r="H22" s="34"/>
      <c r="I22" s="34"/>
      <c r="J22" s="3">
        <v>17045812.748373844</v>
      </c>
      <c r="K22" s="3">
        <v>58286.855778953803</v>
      </c>
      <c r="L22" s="3">
        <v>13746338.325847203</v>
      </c>
      <c r="M22" s="4">
        <f t="shared" si="2"/>
        <v>30850437.93</v>
      </c>
      <c r="N22" s="4">
        <f t="shared" si="1"/>
        <v>0</v>
      </c>
    </row>
    <row r="23" spans="1:14" x14ac:dyDescent="0.25">
      <c r="A23" s="25">
        <v>105433</v>
      </c>
      <c r="B23" s="2">
        <v>45704</v>
      </c>
      <c r="C23" s="33">
        <v>30850437.93</v>
      </c>
      <c r="G23" s="34"/>
      <c r="H23" s="34"/>
      <c r="I23" s="34"/>
      <c r="J23" s="3">
        <v>17045812.748373844</v>
      </c>
      <c r="K23" s="3">
        <v>58286.855778953803</v>
      </c>
      <c r="L23" s="3">
        <v>13746338.325847203</v>
      </c>
      <c r="M23" s="4">
        <f t="shared" si="2"/>
        <v>30850437.93</v>
      </c>
      <c r="N23" s="4">
        <f t="shared" si="1"/>
        <v>0</v>
      </c>
    </row>
    <row r="24" spans="1:14" x14ac:dyDescent="0.25">
      <c r="A24" s="25">
        <v>105433</v>
      </c>
      <c r="B24" s="2">
        <v>45705</v>
      </c>
      <c r="C24" s="33">
        <v>30760696.109999999</v>
      </c>
      <c r="G24" s="34"/>
      <c r="H24" s="34"/>
      <c r="I24" s="34"/>
      <c r="J24" s="3">
        <v>16996227.641579274</v>
      </c>
      <c r="K24" s="3">
        <v>58117.3032905402</v>
      </c>
      <c r="L24" s="3">
        <v>13706351.165130185</v>
      </c>
      <c r="M24" s="4">
        <f t="shared" si="2"/>
        <v>30760696.109999999</v>
      </c>
      <c r="N24" s="4">
        <f t="shared" si="1"/>
        <v>0</v>
      </c>
    </row>
    <row r="25" spans="1:14" x14ac:dyDescent="0.25">
      <c r="A25" s="42">
        <v>105433</v>
      </c>
      <c r="B25" s="43">
        <v>45706</v>
      </c>
      <c r="C25" s="44">
        <v>30767187.329999998</v>
      </c>
      <c r="G25" s="34"/>
      <c r="H25" s="34"/>
      <c r="I25" s="34"/>
      <c r="J25" s="3">
        <v>16999814.239632748</v>
      </c>
      <c r="K25" s="3">
        <v>58129.567388859577</v>
      </c>
      <c r="L25" s="3">
        <v>13709243.522978393</v>
      </c>
      <c r="M25" s="4">
        <f t="shared" si="2"/>
        <v>30767187.329999998</v>
      </c>
      <c r="N25" s="4">
        <f t="shared" si="1"/>
        <v>0</v>
      </c>
    </row>
    <row r="26" spans="1:14" x14ac:dyDescent="0.25">
      <c r="A26" s="42">
        <v>105433</v>
      </c>
      <c r="B26" s="43">
        <v>45707</v>
      </c>
      <c r="C26" s="44">
        <v>30910439.620000001</v>
      </c>
      <c r="G26" s="34"/>
      <c r="H26" s="34"/>
      <c r="I26" s="34"/>
      <c r="J26" s="3">
        <v>17078965.521590441</v>
      </c>
      <c r="K26" s="3">
        <v>58400.219156791711</v>
      </c>
      <c r="L26" s="3">
        <v>13773073.879252769</v>
      </c>
      <c r="M26" s="4">
        <f t="shared" si="2"/>
        <v>30910439.620000001</v>
      </c>
      <c r="N26" s="4">
        <f t="shared" si="1"/>
        <v>0</v>
      </c>
    </row>
    <row r="27" spans="1:14" x14ac:dyDescent="0.25">
      <c r="A27" s="25">
        <v>105433</v>
      </c>
      <c r="B27" s="2">
        <v>45708</v>
      </c>
      <c r="C27" s="33">
        <v>30794412.260000002</v>
      </c>
      <c r="G27" s="10"/>
      <c r="J27" s="3">
        <v>17014856.848101404</v>
      </c>
      <c r="K27" s="3">
        <v>58181.004440485973</v>
      </c>
      <c r="L27" s="3">
        <v>13721374.407458112</v>
      </c>
      <c r="M27" s="4">
        <f t="shared" si="2"/>
        <v>30794412.260000002</v>
      </c>
      <c r="N27" s="4">
        <f t="shared" si="1"/>
        <v>0</v>
      </c>
    </row>
    <row r="28" spans="1:14" x14ac:dyDescent="0.25">
      <c r="A28" s="25">
        <v>105433</v>
      </c>
      <c r="B28" s="2">
        <v>45709</v>
      </c>
      <c r="C28" s="33">
        <v>30947581.73</v>
      </c>
      <c r="G28" s="34"/>
      <c r="H28" s="34"/>
      <c r="I28" s="34"/>
      <c r="J28" s="3">
        <v>17099487.676043354</v>
      </c>
      <c r="K28" s="3">
        <v>58470.39309771949</v>
      </c>
      <c r="L28" s="3">
        <v>13789623.660858927</v>
      </c>
      <c r="M28" s="4">
        <f t="shared" si="2"/>
        <v>30947581.730000004</v>
      </c>
      <c r="N28" s="4">
        <f t="shared" si="1"/>
        <v>0</v>
      </c>
    </row>
    <row r="29" spans="1:14" x14ac:dyDescent="0.25">
      <c r="A29" s="25">
        <v>105433</v>
      </c>
      <c r="B29" s="2">
        <v>45710</v>
      </c>
      <c r="C29" s="33">
        <v>30947581.73</v>
      </c>
      <c r="G29" s="34"/>
      <c r="H29" s="34"/>
      <c r="I29" s="34"/>
      <c r="J29" s="3">
        <v>17099487.676043354</v>
      </c>
      <c r="K29" s="3">
        <v>58470.39309771949</v>
      </c>
      <c r="L29" s="3">
        <v>13789623.660858927</v>
      </c>
      <c r="M29" s="4">
        <f t="shared" si="2"/>
        <v>30947581.730000004</v>
      </c>
      <c r="N29" s="4">
        <f t="shared" si="1"/>
        <v>0</v>
      </c>
    </row>
    <row r="30" spans="1:14" x14ac:dyDescent="0.25">
      <c r="A30" s="25">
        <v>105433</v>
      </c>
      <c r="B30" s="2">
        <v>45711</v>
      </c>
      <c r="C30" s="33">
        <v>30947581.73</v>
      </c>
      <c r="G30" s="10"/>
      <c r="H30" s="34"/>
      <c r="I30" s="34"/>
      <c r="J30" s="3">
        <v>17099487.676043354</v>
      </c>
      <c r="K30" s="3">
        <v>58470.39309771949</v>
      </c>
      <c r="L30" s="3">
        <v>13789623.660858927</v>
      </c>
      <c r="M30" s="4">
        <f t="shared" si="2"/>
        <v>30947581.730000004</v>
      </c>
      <c r="N30" s="4">
        <f t="shared" si="1"/>
        <v>0</v>
      </c>
    </row>
    <row r="31" spans="1:14" x14ac:dyDescent="0.25">
      <c r="A31" s="25">
        <v>105433</v>
      </c>
      <c r="B31" s="2">
        <v>45712</v>
      </c>
      <c r="C31" s="33">
        <v>31013584.34</v>
      </c>
      <c r="G31" s="34"/>
      <c r="H31" s="34"/>
      <c r="I31" s="34"/>
      <c r="J31" s="3">
        <v>17135956.141532134</v>
      </c>
      <c r="K31" s="3">
        <v>58595.094232232834</v>
      </c>
      <c r="L31" s="3">
        <v>13819033.104235632</v>
      </c>
      <c r="M31" s="4">
        <f t="shared" si="2"/>
        <v>31013584.339999996</v>
      </c>
      <c r="N31" s="4">
        <f t="shared" si="1"/>
        <v>0</v>
      </c>
    </row>
    <row r="32" spans="1:14" x14ac:dyDescent="0.25">
      <c r="A32" s="42">
        <v>105433</v>
      </c>
      <c r="B32" s="43">
        <v>45713</v>
      </c>
      <c r="C32" s="44">
        <v>30981057.27</v>
      </c>
      <c r="G32" s="34"/>
      <c r="H32" s="34"/>
      <c r="I32" s="34"/>
      <c r="J32" s="3">
        <v>17117983.938164022</v>
      </c>
      <c r="K32" s="3">
        <v>58533.639654430612</v>
      </c>
      <c r="L32" s="3">
        <v>13804539.692181546</v>
      </c>
      <c r="M32" s="4">
        <f t="shared" si="2"/>
        <v>30981057.27</v>
      </c>
      <c r="N32" s="4">
        <f t="shared" si="1"/>
        <v>0</v>
      </c>
    </row>
    <row r="33" spans="1:14" x14ac:dyDescent="0.25">
      <c r="A33" s="42">
        <v>105433</v>
      </c>
      <c r="B33" s="43">
        <v>45714</v>
      </c>
      <c r="C33" s="44">
        <v>30970344.199999999</v>
      </c>
      <c r="G33" s="34"/>
      <c r="H33" s="34"/>
      <c r="I33" s="34"/>
      <c r="J33" s="3">
        <v>17112064.638554905</v>
      </c>
      <c r="K33" s="3">
        <v>58513.399061170421</v>
      </c>
      <c r="L33" s="3">
        <v>13799766.162383925</v>
      </c>
      <c r="M33" s="4">
        <f t="shared" si="2"/>
        <v>30970344.199999999</v>
      </c>
      <c r="N33" s="4">
        <f t="shared" si="1"/>
        <v>0</v>
      </c>
    </row>
    <row r="34" spans="1:14" x14ac:dyDescent="0.25">
      <c r="A34" s="25">
        <v>105433</v>
      </c>
      <c r="B34" s="2">
        <v>45715</v>
      </c>
      <c r="C34" s="33">
        <v>31004303.91</v>
      </c>
      <c r="J34" s="3">
        <v>17130828.419443931</v>
      </c>
      <c r="K34" s="3">
        <v>58577.560377893264</v>
      </c>
      <c r="L34" s="3">
        <v>13814897.930178175</v>
      </c>
      <c r="M34" s="4">
        <f t="shared" si="2"/>
        <v>31004303.909999996</v>
      </c>
      <c r="N34" s="4">
        <f t="shared" si="1"/>
        <v>0</v>
      </c>
    </row>
    <row r="35" spans="1:14" x14ac:dyDescent="0.25">
      <c r="A35" s="25">
        <v>105433</v>
      </c>
      <c r="B35" s="2">
        <v>45716</v>
      </c>
      <c r="C35" s="33">
        <v>31094111.77</v>
      </c>
      <c r="G35" s="34"/>
      <c r="H35" s="34"/>
      <c r="I35" s="34"/>
      <c r="J35" s="3">
        <v>17180450.015363112</v>
      </c>
      <c r="K35" s="3">
        <v>58747.237638083665</v>
      </c>
      <c r="L35" s="3">
        <v>13854914.516998805</v>
      </c>
      <c r="M35" s="4">
        <f t="shared" si="2"/>
        <v>31094111.77</v>
      </c>
      <c r="N35" s="4">
        <f t="shared" si="1"/>
        <v>0</v>
      </c>
    </row>
    <row r="36" spans="1:14" x14ac:dyDescent="0.25">
      <c r="A36" s="5"/>
      <c r="B36" s="6"/>
      <c r="J36" s="7"/>
    </row>
    <row r="37" spans="1:14" x14ac:dyDescent="0.25">
      <c r="A37" s="19" t="s">
        <v>8</v>
      </c>
      <c r="B37" s="8">
        <f>COUNT(B8:B35)</f>
        <v>28</v>
      </c>
      <c r="C37" s="4">
        <f>AVERAGE(C8:C35)</f>
        <v>30902878.981428575</v>
      </c>
      <c r="J37" s="4">
        <f>AVERAGE(J8:J35)</f>
        <v>17074788.036990728</v>
      </c>
      <c r="K37" s="4">
        <f>AVERAGE(K8:K35)</f>
        <v>58385.934567023163</v>
      </c>
      <c r="L37" s="4">
        <f>AVERAGE(L8:L35)</f>
        <v>13769705.009870814</v>
      </c>
      <c r="M37" s="4">
        <f>SUM(J37:L37)</f>
        <v>30902878.981428564</v>
      </c>
      <c r="N37" s="4">
        <f>M37-C37</f>
        <v>0</v>
      </c>
    </row>
    <row r="38" spans="1:14" x14ac:dyDescent="0.25">
      <c r="A38" s="19" t="s">
        <v>9</v>
      </c>
      <c r="B38" s="8">
        <v>1.62</v>
      </c>
      <c r="C38" s="9">
        <f>+C37*$B$39</f>
        <v>38937.627516600005</v>
      </c>
      <c r="D38" s="10">
        <f>C38*1.16</f>
        <v>45167.647919256</v>
      </c>
      <c r="J38" s="20">
        <f>(+J37*$B$39)</f>
        <v>21514.232926608318</v>
      </c>
      <c r="K38" s="20">
        <f>(+K37*$B$39)</f>
        <v>73.566277554449186</v>
      </c>
      <c r="L38" s="20">
        <f>(+L37*$B$39)</f>
        <v>17349.828312437228</v>
      </c>
      <c r="M38" s="4">
        <f>SUM(J38:L38)</f>
        <v>38937.627516599998</v>
      </c>
      <c r="N38" s="4">
        <f>+C38/M38</f>
        <v>1.0000000000000002</v>
      </c>
    </row>
    <row r="39" spans="1:14" x14ac:dyDescent="0.25">
      <c r="A39" s="19" t="s">
        <v>10</v>
      </c>
      <c r="B39" s="11">
        <f>B38/360*B37/100</f>
        <v>1.2600000000000001E-3</v>
      </c>
      <c r="D39" s="10">
        <f>D38-C38</f>
        <v>6230.020402655995</v>
      </c>
      <c r="M39" s="32">
        <f>C38/M38</f>
        <v>1.0000000000000002</v>
      </c>
    </row>
    <row r="43" spans="1:14" x14ac:dyDescent="0.25">
      <c r="J43" t="s">
        <v>19</v>
      </c>
      <c r="M43" s="10">
        <f>+'JUL24'!M41+'AGO24'!M41+'FEB25'!M38</f>
        <v>119199.08024235001</v>
      </c>
    </row>
  </sheetData>
  <mergeCells count="1">
    <mergeCell ref="A6:C6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3ADA-D64D-4F56-A964-E146AB9978E4}">
  <dimension ref="A1:N46"/>
  <sheetViews>
    <sheetView topLeftCell="A25" workbookViewId="0">
      <selection activeCell="J41" sqref="J41:L41"/>
    </sheetView>
  </sheetViews>
  <sheetFormatPr baseColWidth="10" defaultRowHeight="15" x14ac:dyDescent="0.25"/>
  <cols>
    <col min="3" max="3" width="15.140625" bestFit="1" customWidth="1"/>
    <col min="6" max="6" width="14.140625" bestFit="1" customWidth="1"/>
    <col min="8" max="9" width="14.140625" bestFit="1" customWidth="1"/>
    <col min="10" max="12" width="17" bestFit="1" customWidth="1"/>
    <col min="13" max="14" width="15.140625" bestFit="1" customWidth="1"/>
  </cols>
  <sheetData>
    <row r="1" spans="1:14" x14ac:dyDescent="0.25">
      <c r="D1" s="38" t="s">
        <v>15</v>
      </c>
      <c r="E1" s="35">
        <v>45716</v>
      </c>
      <c r="F1" s="36">
        <v>17175974.199999999</v>
      </c>
      <c r="G1" s="36">
        <v>58761.67</v>
      </c>
      <c r="H1" s="36">
        <v>13872700.279999999</v>
      </c>
      <c r="I1" s="37">
        <f>+F1+G1+H1</f>
        <v>31107436.149999999</v>
      </c>
    </row>
    <row r="2" spans="1:14" x14ac:dyDescent="0.25">
      <c r="D2" s="38" t="s">
        <v>16</v>
      </c>
      <c r="E2" s="35">
        <v>45747</v>
      </c>
      <c r="F2" s="36">
        <v>17148448.410300002</v>
      </c>
      <c r="G2" s="36">
        <v>59082.305699999997</v>
      </c>
      <c r="H2" s="36">
        <v>13903727.4793</v>
      </c>
      <c r="I2" s="37">
        <f>+F2+G2+H2</f>
        <v>31111258.195300002</v>
      </c>
    </row>
    <row r="3" spans="1:14" x14ac:dyDescent="0.25">
      <c r="E3" s="38"/>
      <c r="F3" s="37"/>
    </row>
    <row r="4" spans="1:14" x14ac:dyDescent="0.25">
      <c r="E4" s="35">
        <f>+E1</f>
        <v>45716</v>
      </c>
      <c r="F4" s="13">
        <f t="shared" ref="F4:H5" si="0">+F1/$I1</f>
        <v>0.55215010704120659</v>
      </c>
      <c r="G4" s="13">
        <f t="shared" si="0"/>
        <v>1.8889910989980446E-3</v>
      </c>
      <c r="H4" s="13">
        <f t="shared" si="0"/>
        <v>0.44596090185979537</v>
      </c>
      <c r="I4" s="12">
        <f>+F4+G4+H4</f>
        <v>1</v>
      </c>
    </row>
    <row r="5" spans="1:14" x14ac:dyDescent="0.25">
      <c r="E5" s="35">
        <f>+E2</f>
        <v>45747</v>
      </c>
      <c r="F5" s="13">
        <f t="shared" si="0"/>
        <v>0.55119752157405932</v>
      </c>
      <c r="G5" s="13">
        <f t="shared" si="0"/>
        <v>1.8990651335639521E-3</v>
      </c>
      <c r="H5" s="13">
        <f t="shared" si="0"/>
        <v>0.44690341329237676</v>
      </c>
      <c r="I5" s="12">
        <f>+F5+G5+H5</f>
        <v>1</v>
      </c>
    </row>
    <row r="6" spans="1:14" x14ac:dyDescent="0.25">
      <c r="A6" s="46" t="s">
        <v>0</v>
      </c>
      <c r="B6" s="46"/>
      <c r="C6" s="46"/>
      <c r="E6" s="39" t="s">
        <v>17</v>
      </c>
      <c r="F6" s="40">
        <f>AVERAGE(F4:F5)</f>
        <v>0.55167381430763296</v>
      </c>
      <c r="G6" s="40">
        <f>AVERAGE(G4:G5)</f>
        <v>1.8940281162809984E-3</v>
      </c>
      <c r="H6" s="40">
        <f>AVERAGE(H4:H5)</f>
        <v>0.44643215757608606</v>
      </c>
      <c r="I6" s="12"/>
    </row>
    <row r="7" spans="1:14" x14ac:dyDescent="0.25">
      <c r="A7" s="16" t="s">
        <v>1</v>
      </c>
      <c r="B7" s="17" t="s">
        <v>2</v>
      </c>
      <c r="C7" s="18" t="s">
        <v>3</v>
      </c>
      <c r="E7" s="35"/>
      <c r="F7" s="13"/>
      <c r="G7" s="13"/>
      <c r="H7" s="13"/>
      <c r="I7" s="12"/>
      <c r="J7" s="28" t="s">
        <v>4</v>
      </c>
      <c r="K7" s="14" t="s">
        <v>5</v>
      </c>
      <c r="L7" s="15" t="s">
        <v>6</v>
      </c>
    </row>
    <row r="8" spans="1:14" x14ac:dyDescent="0.25">
      <c r="A8" s="42">
        <v>105433</v>
      </c>
      <c r="B8" s="43">
        <v>45717</v>
      </c>
      <c r="C8" s="44">
        <v>31094111.77</v>
      </c>
      <c r="J8" s="3">
        <v>17153807.242663763</v>
      </c>
      <c r="K8" s="3">
        <v>58893.121943163918</v>
      </c>
      <c r="L8" s="3">
        <v>13881411.405393071</v>
      </c>
      <c r="M8" s="4">
        <f>SUM(J8:L8)</f>
        <v>31094111.77</v>
      </c>
      <c r="N8" s="4">
        <f>+C8-M8</f>
        <v>0</v>
      </c>
    </row>
    <row r="9" spans="1:14" x14ac:dyDescent="0.25">
      <c r="A9" s="42">
        <v>105433</v>
      </c>
      <c r="B9" s="43">
        <v>45718</v>
      </c>
      <c r="C9" s="44">
        <v>31094111.77</v>
      </c>
      <c r="J9" s="3">
        <v>17153807.242663763</v>
      </c>
      <c r="K9" s="3">
        <v>58893.121943163918</v>
      </c>
      <c r="L9" s="3">
        <v>13881411.405393071</v>
      </c>
      <c r="M9" s="4">
        <f>SUM(J9:L9)</f>
        <v>31094111.77</v>
      </c>
      <c r="N9" s="4">
        <f t="shared" ref="N9:N10" si="1">+C9-M9</f>
        <v>0</v>
      </c>
    </row>
    <row r="10" spans="1:14" x14ac:dyDescent="0.25">
      <c r="A10" s="25">
        <v>105433</v>
      </c>
      <c r="B10" s="2">
        <v>45719</v>
      </c>
      <c r="C10" s="33">
        <v>31228570.510000002</v>
      </c>
      <c r="J10" s="3">
        <v>17227984.608626563</v>
      </c>
      <c r="K10" s="3">
        <v>59147.790577203639</v>
      </c>
      <c r="L10" s="3">
        <v>13941438.110796236</v>
      </c>
      <c r="M10" s="4">
        <f>SUM(J10:L10)</f>
        <v>31228570.510000002</v>
      </c>
      <c r="N10" s="4">
        <f t="shared" si="1"/>
        <v>0</v>
      </c>
    </row>
    <row r="11" spans="1:14" x14ac:dyDescent="0.25">
      <c r="A11" s="25">
        <v>105433</v>
      </c>
      <c r="B11" s="2">
        <v>45720</v>
      </c>
      <c r="C11" s="33">
        <v>31190303.690000001</v>
      </c>
      <c r="J11" s="3">
        <v>17206873.806075741</v>
      </c>
      <c r="K11" s="3">
        <v>59075.312144202973</v>
      </c>
      <c r="L11" s="3">
        <v>13924354.571780059</v>
      </c>
      <c r="M11" s="4">
        <f t="shared" ref="M11:M38" si="2">SUM(J11:L11)</f>
        <v>31190303.690000001</v>
      </c>
      <c r="N11" s="4">
        <f t="shared" ref="N11:N38" si="3">+C11-M11</f>
        <v>0</v>
      </c>
    </row>
    <row r="12" spans="1:14" x14ac:dyDescent="0.25">
      <c r="A12" s="25">
        <v>105433</v>
      </c>
      <c r="B12" s="2">
        <v>45721</v>
      </c>
      <c r="C12" s="33">
        <v>30904901.829999998</v>
      </c>
      <c r="J12" s="3">
        <v>17049425.073359046</v>
      </c>
      <c r="K12" s="3">
        <v>58534.752996924079</v>
      </c>
      <c r="L12" s="3">
        <v>13796942.003644031</v>
      </c>
      <c r="M12" s="4">
        <f t="shared" si="2"/>
        <v>30904901.830000002</v>
      </c>
      <c r="N12" s="4">
        <f t="shared" si="3"/>
        <v>0</v>
      </c>
    </row>
    <row r="13" spans="1:14" x14ac:dyDescent="0.25">
      <c r="A13" s="25">
        <v>105433</v>
      </c>
      <c r="B13" s="2">
        <v>45722</v>
      </c>
      <c r="C13" s="33">
        <v>30906997.120000001</v>
      </c>
      <c r="E13" t="s">
        <v>7</v>
      </c>
      <c r="J13" s="3">
        <v>17050580.989985429</v>
      </c>
      <c r="K13" s="3">
        <v>58538.721535095843</v>
      </c>
      <c r="L13" s="3">
        <v>13797877.408479478</v>
      </c>
      <c r="M13" s="4">
        <f t="shared" si="2"/>
        <v>30906997.120000001</v>
      </c>
      <c r="N13" s="4">
        <f t="shared" si="3"/>
        <v>0</v>
      </c>
    </row>
    <row r="14" spans="1:14" x14ac:dyDescent="0.25">
      <c r="A14" s="25">
        <v>105433</v>
      </c>
      <c r="B14" s="2">
        <v>45723</v>
      </c>
      <c r="C14" s="33">
        <v>30957153.109999999</v>
      </c>
      <c r="J14" s="3">
        <v>17078250.736299101</v>
      </c>
      <c r="K14" s="3">
        <v>58633.718390355752</v>
      </c>
      <c r="L14" s="3">
        <v>13820268.655310543</v>
      </c>
      <c r="M14" s="4">
        <f t="shared" si="2"/>
        <v>30957153.109999999</v>
      </c>
      <c r="N14" s="4">
        <f t="shared" si="3"/>
        <v>0</v>
      </c>
    </row>
    <row r="15" spans="1:14" x14ac:dyDescent="0.25">
      <c r="A15" s="42">
        <v>105433</v>
      </c>
      <c r="B15" s="43">
        <v>45724</v>
      </c>
      <c r="C15" s="44">
        <v>30957153.109999999</v>
      </c>
      <c r="J15" s="3">
        <v>17078250.736299101</v>
      </c>
      <c r="K15" s="3">
        <v>58633.718390355752</v>
      </c>
      <c r="L15" s="3">
        <v>13820268.655310543</v>
      </c>
      <c r="M15" s="4">
        <f t="shared" si="2"/>
        <v>30957153.109999999</v>
      </c>
      <c r="N15" s="4">
        <f t="shared" si="3"/>
        <v>0</v>
      </c>
    </row>
    <row r="16" spans="1:14" x14ac:dyDescent="0.25">
      <c r="A16" s="42">
        <v>105433</v>
      </c>
      <c r="B16" s="43">
        <v>45725</v>
      </c>
      <c r="C16" s="44">
        <v>30957153.109999999</v>
      </c>
      <c r="J16" s="3">
        <v>17078250.736299101</v>
      </c>
      <c r="K16" s="3">
        <v>58633.718390355752</v>
      </c>
      <c r="L16" s="3">
        <v>13820268.655310543</v>
      </c>
      <c r="M16" s="4">
        <f t="shared" si="2"/>
        <v>30957153.109999999</v>
      </c>
      <c r="N16" s="4">
        <f t="shared" si="3"/>
        <v>0</v>
      </c>
    </row>
    <row r="17" spans="1:14" x14ac:dyDescent="0.25">
      <c r="A17" s="25">
        <v>105433</v>
      </c>
      <c r="B17" s="2">
        <v>45726</v>
      </c>
      <c r="C17" s="33">
        <v>31024204.780000001</v>
      </c>
      <c r="J17" s="3">
        <v>17115241.3868437</v>
      </c>
      <c r="K17" s="3">
        <v>58760.716138579344</v>
      </c>
      <c r="L17" s="3">
        <v>13850202.677017722</v>
      </c>
      <c r="M17" s="4">
        <f t="shared" si="2"/>
        <v>31024204.780000001</v>
      </c>
      <c r="N17" s="4">
        <f t="shared" si="3"/>
        <v>0</v>
      </c>
    </row>
    <row r="18" spans="1:14" x14ac:dyDescent="0.25">
      <c r="A18" s="25">
        <v>105433</v>
      </c>
      <c r="B18" s="2">
        <v>45727</v>
      </c>
      <c r="C18" s="33">
        <v>30886147.57</v>
      </c>
      <c r="J18" s="3">
        <v>17039078.839210328</v>
      </c>
      <c r="K18" s="3">
        <v>58499.231901184037</v>
      </c>
      <c r="L18" s="3">
        <v>13788569.498888487</v>
      </c>
      <c r="M18" s="4">
        <f t="shared" si="2"/>
        <v>30886147.57</v>
      </c>
      <c r="N18" s="4">
        <f t="shared" si="3"/>
        <v>0</v>
      </c>
    </row>
    <row r="19" spans="1:14" x14ac:dyDescent="0.25">
      <c r="A19" s="25">
        <v>105433</v>
      </c>
      <c r="B19" s="2">
        <v>45728</v>
      </c>
      <c r="C19" s="33">
        <v>30851180.739999998</v>
      </c>
      <c r="J19" s="3">
        <v>17019788.554729983</v>
      </c>
      <c r="K19" s="3">
        <v>58433.003742026813</v>
      </c>
      <c r="L19" s="3">
        <v>13772959.181527991</v>
      </c>
      <c r="M19" s="4">
        <f t="shared" si="2"/>
        <v>30851180.740000002</v>
      </c>
      <c r="N19" s="4">
        <f t="shared" si="3"/>
        <v>0</v>
      </c>
    </row>
    <row r="20" spans="1:14" x14ac:dyDescent="0.25">
      <c r="A20" s="25">
        <v>105433</v>
      </c>
      <c r="B20" s="2">
        <v>45729</v>
      </c>
      <c r="C20" s="33">
        <v>30720141.600000001</v>
      </c>
      <c r="J20" s="3">
        <v>16947497.69254259</v>
      </c>
      <c r="K20" s="3">
        <v>58184.811926533541</v>
      </c>
      <c r="L20" s="3">
        <v>13714459.095530877</v>
      </c>
      <c r="M20" s="4">
        <f t="shared" si="2"/>
        <v>30720141.600000001</v>
      </c>
      <c r="N20" s="4">
        <f t="shared" si="3"/>
        <v>0</v>
      </c>
    </row>
    <row r="21" spans="1:14" x14ac:dyDescent="0.25">
      <c r="A21" s="25">
        <v>105433</v>
      </c>
      <c r="B21" s="2">
        <v>45730</v>
      </c>
      <c r="C21" s="33">
        <v>30594891.77</v>
      </c>
      <c r="G21" s="34"/>
      <c r="H21" s="34"/>
      <c r="I21" s="34"/>
      <c r="J21" s="3">
        <v>16878400.641085107</v>
      </c>
      <c r="K21" s="3">
        <v>57947.585226954121</v>
      </c>
      <c r="L21" s="3">
        <v>13658543.543687938</v>
      </c>
      <c r="M21" s="4">
        <f t="shared" si="2"/>
        <v>30594891.769999996</v>
      </c>
      <c r="N21" s="4">
        <f t="shared" si="3"/>
        <v>0</v>
      </c>
    </row>
    <row r="22" spans="1:14" x14ac:dyDescent="0.25">
      <c r="A22" s="42">
        <v>105433</v>
      </c>
      <c r="B22" s="43">
        <v>45731</v>
      </c>
      <c r="C22" s="44">
        <v>30594891.77</v>
      </c>
      <c r="G22" s="34"/>
      <c r="H22" s="34"/>
      <c r="I22" s="34"/>
      <c r="J22" s="3">
        <v>16878400.641085107</v>
      </c>
      <c r="K22" s="3">
        <v>57947.585226954121</v>
      </c>
      <c r="L22" s="3">
        <v>13658543.543687938</v>
      </c>
      <c r="M22" s="4">
        <f t="shared" si="2"/>
        <v>30594891.769999996</v>
      </c>
      <c r="N22" s="4">
        <f t="shared" si="3"/>
        <v>0</v>
      </c>
    </row>
    <row r="23" spans="1:14" x14ac:dyDescent="0.25">
      <c r="A23" s="42">
        <v>105433</v>
      </c>
      <c r="B23" s="43">
        <v>45732</v>
      </c>
      <c r="C23" s="44">
        <v>30594891.77</v>
      </c>
      <c r="G23" s="34"/>
      <c r="H23" s="34"/>
      <c r="I23" s="34"/>
      <c r="J23" s="3">
        <v>16878400.641085107</v>
      </c>
      <c r="K23" s="3">
        <v>57947.585226954121</v>
      </c>
      <c r="L23" s="3">
        <v>13658543.543687938</v>
      </c>
      <c r="M23" s="4">
        <f t="shared" si="2"/>
        <v>30594891.769999996</v>
      </c>
      <c r="N23" s="4">
        <f t="shared" si="3"/>
        <v>0</v>
      </c>
    </row>
    <row r="24" spans="1:14" x14ac:dyDescent="0.25">
      <c r="A24" s="42">
        <v>105433</v>
      </c>
      <c r="B24" s="43">
        <v>45733</v>
      </c>
      <c r="C24" s="44">
        <v>30594891.77</v>
      </c>
      <c r="G24" s="34"/>
      <c r="H24" s="34"/>
      <c r="I24" s="34"/>
      <c r="J24" s="3">
        <v>16878400.641085107</v>
      </c>
      <c r="K24" s="3">
        <v>57947.585226954121</v>
      </c>
      <c r="L24" s="3">
        <v>13658543.543687938</v>
      </c>
      <c r="M24" s="4">
        <f t="shared" si="2"/>
        <v>30594891.769999996</v>
      </c>
      <c r="N24" s="4">
        <f t="shared" si="3"/>
        <v>0</v>
      </c>
    </row>
    <row r="25" spans="1:14" x14ac:dyDescent="0.25">
      <c r="A25" s="25">
        <v>105433</v>
      </c>
      <c r="B25" s="2">
        <v>45734</v>
      </c>
      <c r="C25" s="33">
        <v>30628493.649999999</v>
      </c>
      <c r="G25" s="34"/>
      <c r="H25" s="34"/>
      <c r="I25" s="34"/>
      <c r="J25" s="3">
        <v>16896937.918392614</v>
      </c>
      <c r="K25" s="3">
        <v>58011.228132434015</v>
      </c>
      <c r="L25" s="3">
        <v>13673544.503474951</v>
      </c>
      <c r="M25" s="4">
        <f t="shared" si="2"/>
        <v>30628493.649999999</v>
      </c>
      <c r="N25" s="4">
        <f t="shared" si="3"/>
        <v>0</v>
      </c>
    </row>
    <row r="26" spans="1:14" x14ac:dyDescent="0.25">
      <c r="A26" s="25">
        <v>105433</v>
      </c>
      <c r="B26" s="2">
        <v>45735</v>
      </c>
      <c r="C26" s="33">
        <v>30767868.420000002</v>
      </c>
      <c r="G26" s="34"/>
      <c r="H26" s="34"/>
      <c r="I26" s="34"/>
      <c r="J26" s="3">
        <v>16973827.329376765</v>
      </c>
      <c r="K26" s="3">
        <v>58275.207865514218</v>
      </c>
      <c r="L26" s="3">
        <v>13735765.882757723</v>
      </c>
      <c r="M26" s="4">
        <f t="shared" si="2"/>
        <v>30767868.420000002</v>
      </c>
      <c r="N26" s="4">
        <f t="shared" si="3"/>
        <v>0</v>
      </c>
    </row>
    <row r="27" spans="1:14" x14ac:dyDescent="0.25">
      <c r="A27" s="25">
        <v>105433</v>
      </c>
      <c r="B27" s="2">
        <v>45736</v>
      </c>
      <c r="C27" s="33">
        <v>30858291.120000001</v>
      </c>
      <c r="G27" s="10"/>
      <c r="J27" s="3">
        <v>17023711.165185761</v>
      </c>
      <c r="K27" s="3">
        <v>58446.471001664264</v>
      </c>
      <c r="L27" s="3">
        <v>13776133.483812578</v>
      </c>
      <c r="M27" s="4">
        <f t="shared" si="2"/>
        <v>30858291.120000005</v>
      </c>
      <c r="N27" s="4">
        <f t="shared" si="3"/>
        <v>0</v>
      </c>
    </row>
    <row r="28" spans="1:14" x14ac:dyDescent="0.25">
      <c r="A28" s="25">
        <v>105433</v>
      </c>
      <c r="B28" s="2">
        <v>45737</v>
      </c>
      <c r="C28" s="33">
        <v>30946671.620000001</v>
      </c>
      <c r="G28" s="34"/>
      <c r="H28" s="34"/>
      <c r="I28" s="34"/>
      <c r="J28" s="3">
        <v>17072468.372731175</v>
      </c>
      <c r="K28" s="3">
        <v>58613.866153595234</v>
      </c>
      <c r="L28" s="3">
        <v>13815589.381115232</v>
      </c>
      <c r="M28" s="4">
        <f t="shared" si="2"/>
        <v>30946671.620000001</v>
      </c>
      <c r="N28" s="4">
        <f t="shared" si="3"/>
        <v>0</v>
      </c>
    </row>
    <row r="29" spans="1:14" x14ac:dyDescent="0.25">
      <c r="A29" s="42">
        <v>105433</v>
      </c>
      <c r="B29" s="43">
        <v>45738</v>
      </c>
      <c r="C29" s="44">
        <v>30946671.620000001</v>
      </c>
      <c r="G29" s="34"/>
      <c r="H29" s="34"/>
      <c r="I29" s="34"/>
      <c r="J29" s="3">
        <v>17072468.372731175</v>
      </c>
      <c r="K29" s="3">
        <v>58613.866153595234</v>
      </c>
      <c r="L29" s="3">
        <v>13815589.381115232</v>
      </c>
      <c r="M29" s="4">
        <f t="shared" si="2"/>
        <v>30946671.620000001</v>
      </c>
      <c r="N29" s="4">
        <f t="shared" si="3"/>
        <v>0</v>
      </c>
    </row>
    <row r="30" spans="1:14" x14ac:dyDescent="0.25">
      <c r="A30" s="42">
        <v>105433</v>
      </c>
      <c r="B30" s="43">
        <v>45739</v>
      </c>
      <c r="C30" s="44">
        <v>30946671.620000001</v>
      </c>
      <c r="G30" s="10"/>
      <c r="H30" s="34"/>
      <c r="I30" s="34"/>
      <c r="J30" s="3">
        <v>17072468.372731175</v>
      </c>
      <c r="K30" s="3">
        <v>58613.866153595234</v>
      </c>
      <c r="L30" s="3">
        <v>13815589.381115232</v>
      </c>
      <c r="M30" s="4">
        <f t="shared" si="2"/>
        <v>30946671.620000001</v>
      </c>
      <c r="N30" s="4">
        <f t="shared" si="3"/>
        <v>0</v>
      </c>
    </row>
    <row r="31" spans="1:14" x14ac:dyDescent="0.25">
      <c r="A31" s="25">
        <v>105433</v>
      </c>
      <c r="B31" s="2">
        <v>45740</v>
      </c>
      <c r="C31" s="33">
        <v>30721936.309999999</v>
      </c>
      <c r="G31" s="34"/>
      <c r="H31" s="34"/>
      <c r="I31" s="34"/>
      <c r="J31" s="3">
        <v>16948487.787053864</v>
      </c>
      <c r="K31" s="3">
        <v>58188.211157734106</v>
      </c>
      <c r="L31" s="3">
        <v>13715260.311788399</v>
      </c>
      <c r="M31" s="4">
        <f t="shared" si="2"/>
        <v>30721936.309999999</v>
      </c>
      <c r="N31" s="4">
        <f t="shared" si="3"/>
        <v>0</v>
      </c>
    </row>
    <row r="32" spans="1:14" x14ac:dyDescent="0.25">
      <c r="A32" s="25">
        <v>105433</v>
      </c>
      <c r="B32" s="2">
        <v>45741</v>
      </c>
      <c r="C32" s="33">
        <v>30761625.300000001</v>
      </c>
      <c r="G32" s="34"/>
      <c r="H32" s="34"/>
      <c r="I32" s="34"/>
      <c r="J32" s="3">
        <v>16970383.163553186</v>
      </c>
      <c r="K32" s="3">
        <v>58263.383220700904</v>
      </c>
      <c r="L32" s="3">
        <v>13732978.753226116</v>
      </c>
      <c r="M32" s="4">
        <f t="shared" si="2"/>
        <v>30761625.300000004</v>
      </c>
      <c r="N32" s="4">
        <f t="shared" si="3"/>
        <v>0</v>
      </c>
    </row>
    <row r="33" spans="1:14" x14ac:dyDescent="0.25">
      <c r="A33" s="25">
        <v>105433</v>
      </c>
      <c r="B33" s="2">
        <v>45742</v>
      </c>
      <c r="C33" s="33">
        <v>30778079.699999999</v>
      </c>
      <c r="G33" s="34"/>
      <c r="H33" s="34"/>
      <c r="I33" s="34"/>
      <c r="J33" s="3">
        <v>16979460.625163328</v>
      </c>
      <c r="K33" s="3">
        <v>58294.548316937435</v>
      </c>
      <c r="L33" s="3">
        <v>13740324.526519736</v>
      </c>
      <c r="M33" s="4">
        <f t="shared" si="2"/>
        <v>30778079.700000003</v>
      </c>
      <c r="N33" s="4">
        <f t="shared" si="3"/>
        <v>0</v>
      </c>
    </row>
    <row r="34" spans="1:14" x14ac:dyDescent="0.25">
      <c r="A34" s="25">
        <v>105433</v>
      </c>
      <c r="B34" s="2">
        <v>45743</v>
      </c>
      <c r="C34" s="33">
        <v>31019561.850000001</v>
      </c>
      <c r="G34" s="34"/>
      <c r="H34" s="34"/>
      <c r="I34" s="34"/>
      <c r="J34" s="3">
        <v>17112680.003941037</v>
      </c>
      <c r="K34" s="3">
        <v>58751.922298617421</v>
      </c>
      <c r="L34" s="3">
        <v>13848129.923760349</v>
      </c>
      <c r="M34" s="4">
        <f t="shared" si="2"/>
        <v>31019561.850000001</v>
      </c>
      <c r="N34" s="4">
        <f t="shared" si="3"/>
        <v>0</v>
      </c>
    </row>
    <row r="35" spans="1:14" x14ac:dyDescent="0.25">
      <c r="A35" s="25">
        <v>105433</v>
      </c>
      <c r="B35" s="2">
        <v>45744</v>
      </c>
      <c r="C35" s="33">
        <v>31099808.649999999</v>
      </c>
      <c r="G35" s="34"/>
      <c r="H35" s="34"/>
      <c r="I35" s="34"/>
      <c r="J35" s="3">
        <v>17156950.062183015</v>
      </c>
      <c r="K35" s="3">
        <v>58903.911994058995</v>
      </c>
      <c r="L35" s="3">
        <v>13883954.675822923</v>
      </c>
      <c r="M35" s="4">
        <f t="shared" si="2"/>
        <v>31099808.649999999</v>
      </c>
      <c r="N35" s="4">
        <f t="shared" si="3"/>
        <v>0</v>
      </c>
    </row>
    <row r="36" spans="1:14" x14ac:dyDescent="0.25">
      <c r="A36" s="42">
        <v>105433</v>
      </c>
      <c r="B36" s="43">
        <v>45745</v>
      </c>
      <c r="C36" s="44">
        <v>31099808.649999999</v>
      </c>
      <c r="G36" s="34"/>
      <c r="H36" s="34"/>
      <c r="I36" s="34"/>
      <c r="J36" s="3">
        <v>17156950.062183015</v>
      </c>
      <c r="K36" s="3">
        <v>58903.911994058995</v>
      </c>
      <c r="L36" s="3">
        <v>13883954.675822923</v>
      </c>
      <c r="M36" s="4">
        <f t="shared" si="2"/>
        <v>31099808.649999999</v>
      </c>
      <c r="N36" s="4">
        <f t="shared" si="3"/>
        <v>0</v>
      </c>
    </row>
    <row r="37" spans="1:14" x14ac:dyDescent="0.25">
      <c r="A37" s="42">
        <v>105433</v>
      </c>
      <c r="B37" s="43">
        <v>45746</v>
      </c>
      <c r="C37" s="44">
        <v>31099808.649999999</v>
      </c>
      <c r="J37" s="3">
        <v>17156950.062183015</v>
      </c>
      <c r="K37" s="3">
        <v>58903.911994058995</v>
      </c>
      <c r="L37" s="3">
        <v>13883954.675822923</v>
      </c>
      <c r="M37" s="4">
        <f t="shared" si="2"/>
        <v>31099808.649999999</v>
      </c>
      <c r="N37" s="4">
        <f t="shared" si="3"/>
        <v>0</v>
      </c>
    </row>
    <row r="38" spans="1:14" x14ac:dyDescent="0.25">
      <c r="A38" s="25">
        <v>105433</v>
      </c>
      <c r="B38" s="2">
        <v>45747</v>
      </c>
      <c r="C38" s="33">
        <v>31137455.989999998</v>
      </c>
      <c r="G38" s="34"/>
      <c r="H38" s="34"/>
      <c r="I38" s="34"/>
      <c r="J38" s="3">
        <v>17177719.113839354</v>
      </c>
      <c r="K38" s="3">
        <v>58975.217114522187</v>
      </c>
      <c r="L38" s="3">
        <v>13900761.659046125</v>
      </c>
      <c r="M38" s="4">
        <f t="shared" si="2"/>
        <v>31137455.990000002</v>
      </c>
      <c r="N38" s="4">
        <f t="shared" si="3"/>
        <v>0</v>
      </c>
    </row>
    <row r="39" spans="1:14" x14ac:dyDescent="0.25">
      <c r="A39" s="5"/>
      <c r="B39" s="6"/>
      <c r="J39" s="7"/>
    </row>
    <row r="40" spans="1:14" x14ac:dyDescent="0.25">
      <c r="A40" s="19" t="s">
        <v>8</v>
      </c>
      <c r="B40" s="8">
        <f>COUNT(B8:B38)</f>
        <v>31</v>
      </c>
      <c r="C40" s="4">
        <f>AVERAGE(C8:C38)</f>
        <v>30902079.062580641</v>
      </c>
      <c r="J40" s="4">
        <f>AVERAGE(J8:J38)</f>
        <v>17047867.826489903</v>
      </c>
      <c r="K40" s="4">
        <f>AVERAGE(K8:K38)</f>
        <v>58529.40659606611</v>
      </c>
      <c r="L40" s="4">
        <f>AVERAGE(L8:L38)</f>
        <v>13795681.829494672</v>
      </c>
      <c r="M40" s="4">
        <f>SUM(J40:L40)</f>
        <v>30902079.062580638</v>
      </c>
      <c r="N40" s="4">
        <f>M40-C40</f>
        <v>0</v>
      </c>
    </row>
    <row r="41" spans="1:14" x14ac:dyDescent="0.25">
      <c r="A41" s="19" t="s">
        <v>9</v>
      </c>
      <c r="B41" s="8">
        <v>1.62</v>
      </c>
      <c r="C41" s="9">
        <f>+C40*$B$42</f>
        <v>43108.400292300001</v>
      </c>
      <c r="D41" s="10">
        <f>C41*1.16</f>
        <v>50005.744339067998</v>
      </c>
      <c r="J41" s="20">
        <f>(+J40*$B$42)</f>
        <v>23781.775617953419</v>
      </c>
      <c r="K41" s="20">
        <f>(+K40*$B$42)</f>
        <v>81.648522201512236</v>
      </c>
      <c r="L41" s="20">
        <f>(+L40*$B$42)</f>
        <v>19244.976152145071</v>
      </c>
      <c r="M41" s="4">
        <f>SUM(J41:L41)</f>
        <v>43108.400292300001</v>
      </c>
      <c r="N41" s="4">
        <f>+C41/M41</f>
        <v>1</v>
      </c>
    </row>
    <row r="42" spans="1:14" x14ac:dyDescent="0.25">
      <c r="A42" s="19" t="s">
        <v>10</v>
      </c>
      <c r="B42" s="11">
        <f>B41/360*B40/100</f>
        <v>1.3950000000000002E-3</v>
      </c>
      <c r="D42" s="10">
        <f>D41-C41</f>
        <v>6897.3440467679975</v>
      </c>
      <c r="M42" s="32">
        <f>C41/M41</f>
        <v>1</v>
      </c>
    </row>
    <row r="46" spans="1:14" x14ac:dyDescent="0.25">
      <c r="J46" t="s">
        <v>19</v>
      </c>
      <c r="M46" s="10">
        <f>+'JUL24'!M41+'AGO24'!M41+'MAR25'!M41</f>
        <v>123369.85301805002</v>
      </c>
    </row>
  </sheetData>
  <mergeCells count="1">
    <mergeCell ref="A6:C6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57BB9-6707-474D-B64E-8C241F24EC99}">
  <dimension ref="A1:N46"/>
  <sheetViews>
    <sheetView topLeftCell="A25" workbookViewId="0">
      <selection activeCell="J41" sqref="J41:L41"/>
    </sheetView>
  </sheetViews>
  <sheetFormatPr baseColWidth="10" defaultRowHeight="15" x14ac:dyDescent="0.25"/>
  <cols>
    <col min="3" max="3" width="15.140625" bestFit="1" customWidth="1"/>
    <col min="6" max="6" width="14.140625" bestFit="1" customWidth="1"/>
    <col min="8" max="9" width="14.140625" bestFit="1" customWidth="1"/>
    <col min="10" max="12" width="17" bestFit="1" customWidth="1"/>
    <col min="13" max="14" width="15.140625" bestFit="1" customWidth="1"/>
  </cols>
  <sheetData>
    <row r="1" spans="1:14" x14ac:dyDescent="0.25">
      <c r="D1" s="38" t="s">
        <v>15</v>
      </c>
      <c r="E1" s="35">
        <v>45747</v>
      </c>
      <c r="F1" s="36">
        <v>17148448.410300002</v>
      </c>
      <c r="G1" s="36">
        <v>59082.305699999997</v>
      </c>
      <c r="H1" s="36">
        <v>13903727.4793</v>
      </c>
      <c r="I1" s="37">
        <f>+F1+G1+H1</f>
        <v>31111258.195300002</v>
      </c>
    </row>
    <row r="2" spans="1:14" x14ac:dyDescent="0.25">
      <c r="D2" s="38" t="s">
        <v>16</v>
      </c>
      <c r="E2" s="35">
        <v>45777</v>
      </c>
      <c r="F2" s="36">
        <v>16754158.91</v>
      </c>
      <c r="G2" s="36">
        <v>59947.59</v>
      </c>
      <c r="H2" s="36">
        <v>13685431.939999999</v>
      </c>
      <c r="I2" s="37">
        <f>+F2+G2+H2</f>
        <v>30499538.439999998</v>
      </c>
    </row>
    <row r="3" spans="1:14" x14ac:dyDescent="0.25">
      <c r="E3" s="38"/>
      <c r="F3" s="37"/>
    </row>
    <row r="4" spans="1:14" x14ac:dyDescent="0.25">
      <c r="E4" s="35">
        <f>+E1</f>
        <v>45747</v>
      </c>
      <c r="F4" s="13">
        <f t="shared" ref="F4:H5" si="0">+F1/$I1</f>
        <v>0.55119752157405932</v>
      </c>
      <c r="G4" s="13">
        <f t="shared" si="0"/>
        <v>1.8990651335639521E-3</v>
      </c>
      <c r="H4" s="13">
        <f t="shared" si="0"/>
        <v>0.44690341329237676</v>
      </c>
      <c r="I4" s="12">
        <f>+F4+G4+H4</f>
        <v>1</v>
      </c>
    </row>
    <row r="5" spans="1:14" x14ac:dyDescent="0.25">
      <c r="E5" s="35">
        <f>+E2</f>
        <v>45777</v>
      </c>
      <c r="F5" s="13">
        <f t="shared" si="0"/>
        <v>0.54932499857201122</v>
      </c>
      <c r="G5" s="13">
        <f t="shared" si="0"/>
        <v>1.96552449860615E-3</v>
      </c>
      <c r="H5" s="13">
        <f t="shared" si="0"/>
        <v>0.44870947692938268</v>
      </c>
      <c r="I5" s="12">
        <f>+F5+G5+H5</f>
        <v>1</v>
      </c>
    </row>
    <row r="6" spans="1:14" x14ac:dyDescent="0.25">
      <c r="A6" s="46" t="s">
        <v>0</v>
      </c>
      <c r="B6" s="46"/>
      <c r="C6" s="46"/>
      <c r="E6" s="39" t="s">
        <v>17</v>
      </c>
      <c r="F6" s="40">
        <f>AVERAGE(F4:F5)</f>
        <v>0.55026126007303522</v>
      </c>
      <c r="G6" s="40">
        <f>AVERAGE(G4:G5)</f>
        <v>1.9322948160850511E-3</v>
      </c>
      <c r="H6" s="40">
        <f>AVERAGE(H4:H5)</f>
        <v>0.44780644511087975</v>
      </c>
      <c r="I6" s="12"/>
    </row>
    <row r="7" spans="1:14" x14ac:dyDescent="0.25">
      <c r="A7" s="16" t="s">
        <v>1</v>
      </c>
      <c r="B7" s="17" t="s">
        <v>2</v>
      </c>
      <c r="C7" s="18" t="s">
        <v>3</v>
      </c>
      <c r="E7" s="35"/>
      <c r="F7" s="13"/>
      <c r="G7" s="13"/>
      <c r="H7" s="13"/>
      <c r="I7" s="12"/>
      <c r="J7" s="28" t="s">
        <v>4</v>
      </c>
      <c r="K7" s="14" t="s">
        <v>5</v>
      </c>
      <c r="L7" s="15" t="s">
        <v>6</v>
      </c>
    </row>
    <row r="8" spans="1:14" x14ac:dyDescent="0.25">
      <c r="A8" s="42">
        <v>105433</v>
      </c>
      <c r="B8" s="43">
        <v>45748</v>
      </c>
      <c r="C8" s="44">
        <v>30975440.850000001</v>
      </c>
      <c r="J8" s="3">
        <v>17044585.11343877</v>
      </c>
      <c r="K8" s="3">
        <v>59853.683780404128</v>
      </c>
      <c r="L8" s="3">
        <v>13871002.052780828</v>
      </c>
      <c r="M8" s="4">
        <f>SUM(J8:L8)</f>
        <v>30975440.850000001</v>
      </c>
      <c r="N8" s="4">
        <f>+C8-M8</f>
        <v>0</v>
      </c>
    </row>
    <row r="9" spans="1:14" x14ac:dyDescent="0.25">
      <c r="A9" s="42">
        <v>105433</v>
      </c>
      <c r="B9" s="43">
        <v>45749</v>
      </c>
      <c r="C9" s="44">
        <v>31130191.57</v>
      </c>
      <c r="J9" s="3">
        <v>17129738.439623177</v>
      </c>
      <c r="K9" s="3">
        <v>60152.70779444556</v>
      </c>
      <c r="L9" s="3">
        <v>13940300.422582377</v>
      </c>
      <c r="M9" s="4">
        <f>SUM(J9:L9)</f>
        <v>31130191.57</v>
      </c>
      <c r="N9" s="4">
        <f t="shared" ref="N9:N38" si="1">+C9-M9</f>
        <v>0</v>
      </c>
    </row>
    <row r="10" spans="1:14" x14ac:dyDescent="0.25">
      <c r="A10" s="25">
        <v>105433</v>
      </c>
      <c r="B10" s="2">
        <v>45750</v>
      </c>
      <c r="C10" s="33">
        <v>30720927.670000002</v>
      </c>
      <c r="J10" s="3">
        <v>16904536.370306775</v>
      </c>
      <c r="K10" s="3">
        <v>59361.889282064811</v>
      </c>
      <c r="L10" s="3">
        <v>13757029.410411162</v>
      </c>
      <c r="M10" s="4">
        <f>SUM(J10:L10)</f>
        <v>30720927.670000002</v>
      </c>
      <c r="N10" s="4">
        <f t="shared" si="1"/>
        <v>0</v>
      </c>
    </row>
    <row r="11" spans="1:14" x14ac:dyDescent="0.25">
      <c r="A11" s="25">
        <v>105433</v>
      </c>
      <c r="B11" s="2">
        <v>45751</v>
      </c>
      <c r="C11" s="33">
        <v>30963383.239999998</v>
      </c>
      <c r="J11" s="3">
        <v>17037950.277766697</v>
      </c>
      <c r="K11" s="3">
        <v>59830.384923106751</v>
      </c>
      <c r="L11" s="3">
        <v>13865602.577310193</v>
      </c>
      <c r="M11" s="4">
        <f t="shared" ref="M11:M38" si="2">SUM(J11:L11)</f>
        <v>30963383.239999998</v>
      </c>
      <c r="N11" s="4">
        <f t="shared" si="1"/>
        <v>0</v>
      </c>
    </row>
    <row r="12" spans="1:14" x14ac:dyDescent="0.25">
      <c r="A12" s="25">
        <v>105433</v>
      </c>
      <c r="B12" s="2">
        <v>45752</v>
      </c>
      <c r="C12" s="33">
        <v>30963383.239999998</v>
      </c>
      <c r="J12" s="3">
        <v>17037950.277766697</v>
      </c>
      <c r="K12" s="3">
        <v>59830.384923106751</v>
      </c>
      <c r="L12" s="3">
        <v>13865602.577310193</v>
      </c>
      <c r="M12" s="4">
        <f t="shared" si="2"/>
        <v>30963383.239999998</v>
      </c>
      <c r="N12" s="4">
        <f t="shared" si="1"/>
        <v>0</v>
      </c>
    </row>
    <row r="13" spans="1:14" x14ac:dyDescent="0.25">
      <c r="A13" s="25">
        <v>105433</v>
      </c>
      <c r="B13" s="2">
        <v>45753</v>
      </c>
      <c r="C13" s="33">
        <v>30963383.239999998</v>
      </c>
      <c r="E13" t="s">
        <v>7</v>
      </c>
      <c r="J13" s="3">
        <v>17037950.277766697</v>
      </c>
      <c r="K13" s="3">
        <v>59830.384923106751</v>
      </c>
      <c r="L13" s="3">
        <v>13865602.577310193</v>
      </c>
      <c r="M13" s="4">
        <f t="shared" si="2"/>
        <v>30963383.239999998</v>
      </c>
      <c r="N13" s="4">
        <f t="shared" si="1"/>
        <v>0</v>
      </c>
    </row>
    <row r="14" spans="1:14" x14ac:dyDescent="0.25">
      <c r="A14" s="25">
        <v>105433</v>
      </c>
      <c r="B14" s="2">
        <v>45754</v>
      </c>
      <c r="C14" s="33">
        <v>31033156.719999999</v>
      </c>
      <c r="J14" s="3">
        <v>17076343.920791179</v>
      </c>
      <c r="K14" s="3">
        <v>59965.207856810965</v>
      </c>
      <c r="L14" s="3">
        <v>13896847.591352008</v>
      </c>
      <c r="M14" s="4">
        <f t="shared" si="2"/>
        <v>31033156.719999999</v>
      </c>
      <c r="N14" s="4">
        <f t="shared" si="1"/>
        <v>0</v>
      </c>
    </row>
    <row r="15" spans="1:14" x14ac:dyDescent="0.25">
      <c r="A15" s="42">
        <v>105433</v>
      </c>
      <c r="B15" s="43">
        <v>45755</v>
      </c>
      <c r="C15" s="44">
        <v>31101994.07</v>
      </c>
      <c r="J15" s="3">
        <v>17114222.447742268</v>
      </c>
      <c r="K15" s="3">
        <v>60098.221911369001</v>
      </c>
      <c r="L15" s="3">
        <v>13927673.400346363</v>
      </c>
      <c r="M15" s="4">
        <f t="shared" si="2"/>
        <v>31101994.07</v>
      </c>
      <c r="N15" s="4">
        <f t="shared" si="1"/>
        <v>0</v>
      </c>
    </row>
    <row r="16" spans="1:14" x14ac:dyDescent="0.25">
      <c r="A16" s="42">
        <v>105433</v>
      </c>
      <c r="B16" s="43">
        <v>45756</v>
      </c>
      <c r="C16" s="44">
        <v>30704691.77</v>
      </c>
      <c r="J16" s="3">
        <v>16895602.383514352</v>
      </c>
      <c r="K16" s="3">
        <v>59330.516736660327</v>
      </c>
      <c r="L16" s="3">
        <v>13749758.869748985</v>
      </c>
      <c r="M16" s="4">
        <f t="shared" si="2"/>
        <v>30704691.769999996</v>
      </c>
      <c r="N16" s="4">
        <f t="shared" si="1"/>
        <v>0</v>
      </c>
    </row>
    <row r="17" spans="1:14" x14ac:dyDescent="0.25">
      <c r="A17" s="25">
        <v>105433</v>
      </c>
      <c r="B17" s="2">
        <v>45757</v>
      </c>
      <c r="C17" s="33">
        <v>30810606.370000001</v>
      </c>
      <c r="J17" s="3">
        <v>16953883.084770486</v>
      </c>
      <c r="K17" s="3">
        <v>59535.174969188054</v>
      </c>
      <c r="L17" s="3">
        <v>13797188.110260328</v>
      </c>
      <c r="M17" s="4">
        <f t="shared" si="2"/>
        <v>30810606.370000005</v>
      </c>
      <c r="N17" s="4">
        <f t="shared" si="1"/>
        <v>0</v>
      </c>
    </row>
    <row r="18" spans="1:14" x14ac:dyDescent="0.25">
      <c r="A18" s="25">
        <v>105433</v>
      </c>
      <c r="B18" s="2">
        <v>45758</v>
      </c>
      <c r="C18" s="33">
        <v>30762055.260000002</v>
      </c>
      <c r="J18" s="3">
        <v>16927167.289803941</v>
      </c>
      <c r="K18" s="3">
        <v>59441.359911019885</v>
      </c>
      <c r="L18" s="3">
        <v>13775446.61028504</v>
      </c>
      <c r="M18" s="4">
        <f t="shared" si="2"/>
        <v>30762055.260000002</v>
      </c>
      <c r="N18" s="4">
        <f t="shared" si="1"/>
        <v>0</v>
      </c>
    </row>
    <row r="19" spans="1:14" x14ac:dyDescent="0.25">
      <c r="A19" s="25">
        <v>105433</v>
      </c>
      <c r="B19" s="2">
        <v>45759</v>
      </c>
      <c r="C19" s="33">
        <v>30762055.260000002</v>
      </c>
      <c r="J19" s="3">
        <v>16927167.289803941</v>
      </c>
      <c r="K19" s="3">
        <v>59441.359911019885</v>
      </c>
      <c r="L19" s="3">
        <v>13775446.61028504</v>
      </c>
      <c r="M19" s="4">
        <f t="shared" si="2"/>
        <v>30762055.260000002</v>
      </c>
      <c r="N19" s="4">
        <f t="shared" si="1"/>
        <v>0</v>
      </c>
    </row>
    <row r="20" spans="1:14" x14ac:dyDescent="0.25">
      <c r="A20" s="25">
        <v>105433</v>
      </c>
      <c r="B20" s="2">
        <v>45760</v>
      </c>
      <c r="C20" s="33">
        <v>30762055.260000002</v>
      </c>
      <c r="J20" s="3">
        <v>16927167.289803941</v>
      </c>
      <c r="K20" s="3">
        <v>59441.359911019885</v>
      </c>
      <c r="L20" s="3">
        <v>13775446.61028504</v>
      </c>
      <c r="M20" s="4">
        <f t="shared" si="2"/>
        <v>30762055.260000002</v>
      </c>
      <c r="N20" s="4">
        <f t="shared" si="1"/>
        <v>0</v>
      </c>
    </row>
    <row r="21" spans="1:14" x14ac:dyDescent="0.25">
      <c r="A21" s="25">
        <v>105433</v>
      </c>
      <c r="B21" s="2">
        <v>45761</v>
      </c>
      <c r="C21" s="33">
        <v>30619050.57</v>
      </c>
      <c r="G21" s="34"/>
      <c r="H21" s="34"/>
      <c r="I21" s="34"/>
      <c r="J21" s="3">
        <v>16848477.348888189</v>
      </c>
      <c r="K21" s="3">
        <v>59165.032689857027</v>
      </c>
      <c r="L21" s="3">
        <v>13711408.188421957</v>
      </c>
      <c r="M21" s="4">
        <f t="shared" si="2"/>
        <v>30619050.570000004</v>
      </c>
      <c r="N21" s="4">
        <f t="shared" si="1"/>
        <v>0</v>
      </c>
    </row>
    <row r="22" spans="1:14" x14ac:dyDescent="0.25">
      <c r="A22" s="42">
        <v>105433</v>
      </c>
      <c r="B22" s="43">
        <v>45762</v>
      </c>
      <c r="C22" s="44">
        <v>30665965.940000001</v>
      </c>
      <c r="G22" s="34"/>
      <c r="H22" s="34"/>
      <c r="I22" s="34"/>
      <c r="J22" s="3">
        <v>16874293.059501182</v>
      </c>
      <c r="K22" s="3">
        <v>59255.68701610274</v>
      </c>
      <c r="L22" s="3">
        <v>13732417.193482719</v>
      </c>
      <c r="M22" s="4">
        <f t="shared" si="2"/>
        <v>30665965.940000005</v>
      </c>
      <c r="N22" s="4">
        <f t="shared" si="1"/>
        <v>0</v>
      </c>
    </row>
    <row r="23" spans="1:14" x14ac:dyDescent="0.25">
      <c r="A23" s="42">
        <v>105433</v>
      </c>
      <c r="B23" s="43">
        <v>45763</v>
      </c>
      <c r="C23" s="44">
        <v>30519705.550000001</v>
      </c>
      <c r="G23" s="34"/>
      <c r="H23" s="34"/>
      <c r="I23" s="34"/>
      <c r="J23" s="3">
        <v>16793811.633001007</v>
      </c>
      <c r="K23" s="3">
        <v>58973.068822707166</v>
      </c>
      <c r="L23" s="3">
        <v>13666920.848176287</v>
      </c>
      <c r="M23" s="4">
        <f t="shared" si="2"/>
        <v>30519705.550000004</v>
      </c>
      <c r="N23" s="4">
        <f t="shared" si="1"/>
        <v>0</v>
      </c>
    </row>
    <row r="24" spans="1:14" x14ac:dyDescent="0.25">
      <c r="A24" s="42">
        <v>105433</v>
      </c>
      <c r="B24" s="43">
        <v>45764</v>
      </c>
      <c r="C24" s="44">
        <v>30519705.550000001</v>
      </c>
      <c r="G24" s="34"/>
      <c r="H24" s="34"/>
      <c r="I24" s="34"/>
      <c r="J24" s="3">
        <v>16793811.633001007</v>
      </c>
      <c r="K24" s="3">
        <v>58973.068822707166</v>
      </c>
      <c r="L24" s="3">
        <v>13666920.848176287</v>
      </c>
      <c r="M24" s="4">
        <f t="shared" si="2"/>
        <v>30519705.550000004</v>
      </c>
      <c r="N24" s="4">
        <f t="shared" si="1"/>
        <v>0</v>
      </c>
    </row>
    <row r="25" spans="1:14" x14ac:dyDescent="0.25">
      <c r="A25" s="25">
        <v>105433</v>
      </c>
      <c r="B25" s="2">
        <v>45765</v>
      </c>
      <c r="C25" s="33">
        <v>30519705.550000001</v>
      </c>
      <c r="G25" s="34"/>
      <c r="H25" s="34"/>
      <c r="I25" s="34"/>
      <c r="J25" s="3">
        <v>16793811.633001007</v>
      </c>
      <c r="K25" s="3">
        <v>58973.068822707166</v>
      </c>
      <c r="L25" s="3">
        <v>13666920.848176287</v>
      </c>
      <c r="M25" s="4">
        <f t="shared" si="2"/>
        <v>30519705.550000004</v>
      </c>
      <c r="N25" s="4">
        <f t="shared" si="1"/>
        <v>0</v>
      </c>
    </row>
    <row r="26" spans="1:14" x14ac:dyDescent="0.25">
      <c r="A26" s="25">
        <v>105433</v>
      </c>
      <c r="B26" s="2">
        <v>45766</v>
      </c>
      <c r="C26" s="33">
        <v>30519705.550000001</v>
      </c>
      <c r="G26" s="34"/>
      <c r="H26" s="34"/>
      <c r="I26" s="34"/>
      <c r="J26" s="3">
        <v>16793811.633001007</v>
      </c>
      <c r="K26" s="3">
        <v>58973.068822707166</v>
      </c>
      <c r="L26" s="3">
        <v>13666920.848176287</v>
      </c>
      <c r="M26" s="4">
        <f t="shared" si="2"/>
        <v>30519705.550000004</v>
      </c>
      <c r="N26" s="4">
        <f t="shared" si="1"/>
        <v>0</v>
      </c>
    </row>
    <row r="27" spans="1:14" x14ac:dyDescent="0.25">
      <c r="A27" s="25">
        <v>105433</v>
      </c>
      <c r="B27" s="2">
        <v>45767</v>
      </c>
      <c r="C27" s="33">
        <v>30519705.550000001</v>
      </c>
      <c r="G27" s="10"/>
      <c r="J27" s="3">
        <v>16793811.633001007</v>
      </c>
      <c r="K27" s="3">
        <v>58973.068822707166</v>
      </c>
      <c r="L27" s="3">
        <v>13666920.848176287</v>
      </c>
      <c r="M27" s="4">
        <f t="shared" si="2"/>
        <v>30519705.550000004</v>
      </c>
      <c r="N27" s="4">
        <f t="shared" si="1"/>
        <v>0</v>
      </c>
    </row>
    <row r="28" spans="1:14" x14ac:dyDescent="0.25">
      <c r="A28" s="25">
        <v>105433</v>
      </c>
      <c r="B28" s="2">
        <v>45768</v>
      </c>
      <c r="C28" s="33">
        <v>30288725.77</v>
      </c>
      <c r="G28" s="34"/>
      <c r="H28" s="34"/>
      <c r="I28" s="34"/>
      <c r="J28" s="3">
        <v>16666712.408206813</v>
      </c>
      <c r="K28" s="3">
        <v>58526.747791192698</v>
      </c>
      <c r="L28" s="3">
        <v>13563486.614001993</v>
      </c>
      <c r="M28" s="4">
        <f t="shared" si="2"/>
        <v>30288725.77</v>
      </c>
      <c r="N28" s="4">
        <f t="shared" si="1"/>
        <v>0</v>
      </c>
    </row>
    <row r="29" spans="1:14" x14ac:dyDescent="0.25">
      <c r="A29" s="42">
        <v>105433</v>
      </c>
      <c r="B29" s="43">
        <v>45769</v>
      </c>
      <c r="C29" s="44">
        <v>30261348.280000001</v>
      </c>
      <c r="G29" s="34"/>
      <c r="H29" s="34"/>
      <c r="I29" s="34"/>
      <c r="J29" s="3">
        <v>16651647.636061778</v>
      </c>
      <c r="K29" s="3">
        <v>58473.846409188278</v>
      </c>
      <c r="L29" s="3">
        <v>13551226.797529036</v>
      </c>
      <c r="M29" s="4">
        <f t="shared" si="2"/>
        <v>30261348.280000001</v>
      </c>
      <c r="N29" s="4">
        <f t="shared" si="1"/>
        <v>0</v>
      </c>
    </row>
    <row r="30" spans="1:14" x14ac:dyDescent="0.25">
      <c r="A30" s="42">
        <v>105433</v>
      </c>
      <c r="B30" s="43">
        <v>45770</v>
      </c>
      <c r="C30" s="44">
        <v>30342048.91</v>
      </c>
      <c r="G30" s="10"/>
      <c r="H30" s="34"/>
      <c r="I30" s="34"/>
      <c r="J30" s="3">
        <v>16696054.066414265</v>
      </c>
      <c r="K30" s="3">
        <v>58629.783818192074</v>
      </c>
      <c r="L30" s="3">
        <v>13587365.059767544</v>
      </c>
      <c r="M30" s="4">
        <f t="shared" si="2"/>
        <v>30342048.910000004</v>
      </c>
      <c r="N30" s="4">
        <f t="shared" si="1"/>
        <v>0</v>
      </c>
    </row>
    <row r="31" spans="1:14" x14ac:dyDescent="0.25">
      <c r="A31" s="25">
        <v>105433</v>
      </c>
      <c r="B31" s="2">
        <v>45771</v>
      </c>
      <c r="C31" s="33">
        <v>30314264.739999998</v>
      </c>
      <c r="G31" s="34"/>
      <c r="H31" s="34"/>
      <c r="I31" s="34"/>
      <c r="J31" s="3">
        <v>16680765.514019981</v>
      </c>
      <c r="K31" s="3">
        <v>58576.096610531844</v>
      </c>
      <c r="L31" s="3">
        <v>13574923.129369486</v>
      </c>
      <c r="M31" s="4">
        <f t="shared" si="2"/>
        <v>30314264.739999998</v>
      </c>
      <c r="N31" s="4">
        <f t="shared" si="1"/>
        <v>0</v>
      </c>
    </row>
    <row r="32" spans="1:14" x14ac:dyDescent="0.25">
      <c r="A32" s="25">
        <v>105433</v>
      </c>
      <c r="B32" s="2">
        <v>45772</v>
      </c>
      <c r="C32" s="33">
        <v>30332808.280000001</v>
      </c>
      <c r="G32" s="34"/>
      <c r="H32" s="34"/>
      <c r="I32" s="34"/>
      <c r="J32" s="3">
        <v>16690969.305706596</v>
      </c>
      <c r="K32" s="3">
        <v>58611.928196745714</v>
      </c>
      <c r="L32" s="3">
        <v>13583227.046096658</v>
      </c>
      <c r="M32" s="4">
        <f t="shared" si="2"/>
        <v>30332808.280000001</v>
      </c>
      <c r="N32" s="4">
        <f t="shared" si="1"/>
        <v>0</v>
      </c>
    </row>
    <row r="33" spans="1:14" x14ac:dyDescent="0.25">
      <c r="A33" s="25">
        <v>105433</v>
      </c>
      <c r="B33" s="2">
        <v>45773</v>
      </c>
      <c r="C33" s="33">
        <v>30332808.280000001</v>
      </c>
      <c r="G33" s="34"/>
      <c r="H33" s="34"/>
      <c r="I33" s="34"/>
      <c r="J33" s="3">
        <v>16690969.305706596</v>
      </c>
      <c r="K33" s="3">
        <v>58611.928196745714</v>
      </c>
      <c r="L33" s="3">
        <v>13583227.046096658</v>
      </c>
      <c r="M33" s="4">
        <f t="shared" si="2"/>
        <v>30332808.280000001</v>
      </c>
      <c r="N33" s="4">
        <f t="shared" si="1"/>
        <v>0</v>
      </c>
    </row>
    <row r="34" spans="1:14" x14ac:dyDescent="0.25">
      <c r="A34" s="25">
        <v>105433</v>
      </c>
      <c r="B34" s="2">
        <v>45774</v>
      </c>
      <c r="C34" s="33">
        <v>30332808.280000001</v>
      </c>
      <c r="G34" s="34"/>
      <c r="H34" s="34"/>
      <c r="I34" s="34"/>
      <c r="J34" s="3">
        <v>16690969.305706596</v>
      </c>
      <c r="K34" s="3">
        <v>58611.928196745714</v>
      </c>
      <c r="L34" s="3">
        <v>13583227.046096658</v>
      </c>
      <c r="M34" s="4">
        <f t="shared" si="2"/>
        <v>30332808.280000001</v>
      </c>
      <c r="N34" s="4">
        <f t="shared" si="1"/>
        <v>0</v>
      </c>
    </row>
    <row r="35" spans="1:14" x14ac:dyDescent="0.25">
      <c r="A35" s="25">
        <v>105433</v>
      </c>
      <c r="B35" s="2">
        <v>45775</v>
      </c>
      <c r="C35" s="33">
        <v>30369004.469999999</v>
      </c>
      <c r="G35" s="34"/>
      <c r="H35" s="34"/>
      <c r="I35" s="34"/>
      <c r="J35" s="3">
        <v>16710886.666825838</v>
      </c>
      <c r="K35" s="3">
        <v>58681.86990704474</v>
      </c>
      <c r="L35" s="3">
        <v>13599435.933267117</v>
      </c>
      <c r="M35" s="4">
        <f t="shared" si="2"/>
        <v>30369004.469999999</v>
      </c>
      <c r="N35" s="4">
        <f t="shared" si="1"/>
        <v>0</v>
      </c>
    </row>
    <row r="36" spans="1:14" x14ac:dyDescent="0.25">
      <c r="A36" s="42">
        <v>105433</v>
      </c>
      <c r="B36" s="43">
        <v>45776</v>
      </c>
      <c r="C36" s="44">
        <v>30360528.09</v>
      </c>
      <c r="G36" s="34"/>
      <c r="H36" s="34"/>
      <c r="I36" s="34"/>
      <c r="J36" s="3">
        <v>16706222.44328618</v>
      </c>
      <c r="K36" s="3">
        <v>58665.491041911577</v>
      </c>
      <c r="L36" s="3">
        <v>13595640.155671908</v>
      </c>
      <c r="M36" s="4">
        <f t="shared" si="2"/>
        <v>30360528.09</v>
      </c>
      <c r="N36" s="4">
        <f t="shared" si="1"/>
        <v>0</v>
      </c>
    </row>
    <row r="37" spans="1:14" x14ac:dyDescent="0.25">
      <c r="A37" s="42">
        <v>105433</v>
      </c>
      <c r="B37" s="43">
        <v>45777</v>
      </c>
      <c r="C37" s="44">
        <v>31015611.190000001</v>
      </c>
      <c r="J37" s="3">
        <v>17066689.295344733</v>
      </c>
      <c r="K37" s="3">
        <v>59931.304720146501</v>
      </c>
      <c r="L37" s="3">
        <v>13888990.589935124</v>
      </c>
      <c r="M37" s="4">
        <f t="shared" si="2"/>
        <v>31015611.190000001</v>
      </c>
      <c r="N37" s="4">
        <f t="shared" si="1"/>
        <v>0</v>
      </c>
    </row>
    <row r="38" spans="1:14" x14ac:dyDescent="0.25">
      <c r="A38" s="25"/>
      <c r="B38" s="2"/>
      <c r="C38" s="33"/>
      <c r="G38" s="34"/>
      <c r="H38" s="34"/>
      <c r="I38" s="34"/>
      <c r="J38" s="3"/>
      <c r="K38" s="3"/>
      <c r="L38" s="3"/>
      <c r="M38" s="4">
        <f t="shared" si="2"/>
        <v>0</v>
      </c>
      <c r="N38" s="4">
        <f t="shared" si="1"/>
        <v>0</v>
      </c>
    </row>
    <row r="39" spans="1:14" x14ac:dyDescent="0.25">
      <c r="A39" s="5"/>
      <c r="B39" s="6"/>
      <c r="J39" s="7"/>
    </row>
    <row r="40" spans="1:14" x14ac:dyDescent="0.25">
      <c r="A40" s="19" t="s">
        <v>8</v>
      </c>
      <c r="B40" s="8">
        <f>COUNT(B8:B38)</f>
        <v>30</v>
      </c>
      <c r="C40" s="4">
        <f>AVERAGE(C8:C38)</f>
        <v>30649560.83566666</v>
      </c>
      <c r="J40" s="4">
        <f>AVERAGE(J8:J38)</f>
        <v>16865265.966119096</v>
      </c>
      <c r="K40" s="4">
        <f>AVERAGE(K8:K38)</f>
        <v>59223.987518042108</v>
      </c>
      <c r="L40" s="4">
        <f>AVERAGE(L8:L38)</f>
        <v>13725070.882029539</v>
      </c>
      <c r="M40" s="4">
        <f>SUM(J40:L40)</f>
        <v>30649560.835666679</v>
      </c>
      <c r="N40" s="4">
        <f>M40-C40</f>
        <v>0</v>
      </c>
    </row>
    <row r="41" spans="1:14" x14ac:dyDescent="0.25">
      <c r="A41" s="19" t="s">
        <v>9</v>
      </c>
      <c r="B41" s="8">
        <v>1.62</v>
      </c>
      <c r="C41" s="9">
        <f>+C40*$B$42</f>
        <v>41376.907128149993</v>
      </c>
      <c r="D41" s="10">
        <f>C41*1.16</f>
        <v>47997.212268653988</v>
      </c>
      <c r="J41" s="20">
        <f>(+J40*$B$42)</f>
        <v>22768.109054260782</v>
      </c>
      <c r="K41" s="20">
        <f>(+K40*$B$42)</f>
        <v>79.952383149356848</v>
      </c>
      <c r="L41" s="20">
        <f>(+L40*$B$42)</f>
        <v>18528.84569073988</v>
      </c>
      <c r="M41" s="4">
        <f>SUM(J41:L41)</f>
        <v>41376.907128150022</v>
      </c>
      <c r="N41" s="4">
        <f>+C41/M41</f>
        <v>0.99999999999999933</v>
      </c>
    </row>
    <row r="42" spans="1:14" x14ac:dyDescent="0.25">
      <c r="A42" s="19" t="s">
        <v>10</v>
      </c>
      <c r="B42" s="11">
        <f>B41/360*B40/100</f>
        <v>1.3500000000000001E-3</v>
      </c>
      <c r="D42" s="10">
        <f>D41-C41</f>
        <v>6620.3051405039951</v>
      </c>
      <c r="M42" s="32">
        <f>C41/M41</f>
        <v>0.99999999999999933</v>
      </c>
    </row>
    <row r="46" spans="1:14" x14ac:dyDescent="0.25">
      <c r="J46" t="s">
        <v>19</v>
      </c>
      <c r="M46" s="10">
        <f>+'JUL24'!M41+'AGO24'!M41+'ABR25'!M41</f>
        <v>121638.35985390004</v>
      </c>
    </row>
  </sheetData>
  <mergeCells count="1">
    <mergeCell ref="A6:C6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3EC8-2E2E-4ACF-B5E6-859D4796684E}">
  <dimension ref="A1:N46"/>
  <sheetViews>
    <sheetView workbookViewId="0">
      <selection activeCell="D41" sqref="D41"/>
    </sheetView>
  </sheetViews>
  <sheetFormatPr baseColWidth="10" defaultRowHeight="15" x14ac:dyDescent="0.25"/>
  <cols>
    <col min="3" max="3" width="15.140625" bestFit="1" customWidth="1"/>
    <col min="6" max="6" width="14.140625" bestFit="1" customWidth="1"/>
    <col min="8" max="9" width="14.140625" bestFit="1" customWidth="1"/>
    <col min="10" max="12" width="17" bestFit="1" customWidth="1"/>
    <col min="13" max="14" width="15.140625" bestFit="1" customWidth="1"/>
  </cols>
  <sheetData>
    <row r="1" spans="1:14" x14ac:dyDescent="0.25">
      <c r="D1" s="38" t="s">
        <v>15</v>
      </c>
      <c r="E1" s="35">
        <v>45777</v>
      </c>
      <c r="F1" s="36">
        <v>16754158.91</v>
      </c>
      <c r="G1" s="36">
        <v>59947.59</v>
      </c>
      <c r="H1" s="36">
        <v>13685431.939999999</v>
      </c>
      <c r="I1" s="37">
        <f>+F1+G1+H1</f>
        <v>30499538.439999998</v>
      </c>
    </row>
    <row r="2" spans="1:14" x14ac:dyDescent="0.25">
      <c r="D2" s="38" t="s">
        <v>16</v>
      </c>
      <c r="E2" s="35">
        <v>45808</v>
      </c>
      <c r="F2" s="36">
        <v>16638474.539999999</v>
      </c>
      <c r="G2" s="36">
        <v>59745.87</v>
      </c>
      <c r="H2" s="36">
        <v>13641379.810000001</v>
      </c>
      <c r="I2" s="37">
        <f>+F2+G2+H2</f>
        <v>30339600.219999999</v>
      </c>
    </row>
    <row r="3" spans="1:14" x14ac:dyDescent="0.25">
      <c r="E3" s="38"/>
      <c r="F3" s="37"/>
    </row>
    <row r="4" spans="1:14" x14ac:dyDescent="0.25">
      <c r="E4" s="35">
        <f>+E1</f>
        <v>45777</v>
      </c>
      <c r="F4" s="13">
        <f t="shared" ref="F4:H5" si="0">+F1/$I1</f>
        <v>0.54932499857201122</v>
      </c>
      <c r="G4" s="13">
        <f t="shared" si="0"/>
        <v>1.96552449860615E-3</v>
      </c>
      <c r="H4" s="13">
        <f t="shared" si="0"/>
        <v>0.44870947692938268</v>
      </c>
      <c r="I4" s="12">
        <f>+F4+G4+H4</f>
        <v>1</v>
      </c>
    </row>
    <row r="5" spans="1:14" x14ac:dyDescent="0.25">
      <c r="E5" s="35">
        <f>+E2</f>
        <v>45808</v>
      </c>
      <c r="F5" s="13">
        <f t="shared" si="0"/>
        <v>0.54840783726055309</v>
      </c>
      <c r="G5" s="13">
        <f t="shared" si="0"/>
        <v>1.9692372202259694E-3</v>
      </c>
      <c r="H5" s="13">
        <f t="shared" si="0"/>
        <v>0.44962292551922101</v>
      </c>
      <c r="I5" s="12">
        <f>+F5+G5+H5</f>
        <v>1</v>
      </c>
    </row>
    <row r="6" spans="1:14" x14ac:dyDescent="0.25">
      <c r="A6" s="46" t="s">
        <v>0</v>
      </c>
      <c r="B6" s="46"/>
      <c r="C6" s="46"/>
      <c r="E6" s="39" t="s">
        <v>17</v>
      </c>
      <c r="F6" s="40">
        <f>AVERAGE(F4:F5)</f>
        <v>0.5488664179162821</v>
      </c>
      <c r="G6" s="40">
        <f>AVERAGE(G4:G5)</f>
        <v>1.9673808594160595E-3</v>
      </c>
      <c r="H6" s="40">
        <f>AVERAGE(H4:H5)</f>
        <v>0.44916620122430184</v>
      </c>
      <c r="I6" s="12"/>
    </row>
    <row r="7" spans="1:14" x14ac:dyDescent="0.25">
      <c r="A7" s="16" t="s">
        <v>1</v>
      </c>
      <c r="B7" s="17" t="s">
        <v>2</v>
      </c>
      <c r="C7" s="18" t="s">
        <v>3</v>
      </c>
      <c r="E7" s="35"/>
      <c r="F7" s="13"/>
      <c r="G7" s="13"/>
      <c r="H7" s="13"/>
      <c r="I7" s="12"/>
      <c r="J7" s="28" t="s">
        <v>4</v>
      </c>
      <c r="K7" s="14" t="s">
        <v>5</v>
      </c>
      <c r="L7" s="15" t="s">
        <v>6</v>
      </c>
    </row>
    <row r="8" spans="1:14" x14ac:dyDescent="0.25">
      <c r="A8" s="42">
        <v>105433</v>
      </c>
      <c r="B8" s="43">
        <v>45778</v>
      </c>
      <c r="C8" s="44">
        <v>30499538</v>
      </c>
      <c r="J8" s="3">
        <v>16740172.170161527</v>
      </c>
      <c r="K8" s="3">
        <v>60004.207282232761</v>
      </c>
      <c r="L8" s="3">
        <v>13699361.622556241</v>
      </c>
      <c r="M8" s="4">
        <f>SUM(J8:L8)</f>
        <v>30499538</v>
      </c>
      <c r="N8" s="4">
        <f>+C8-M8</f>
        <v>0</v>
      </c>
    </row>
    <row r="9" spans="1:14" x14ac:dyDescent="0.25">
      <c r="A9" s="25">
        <v>105433</v>
      </c>
      <c r="B9" s="2">
        <v>45779</v>
      </c>
      <c r="C9" s="33">
        <v>30452833.870000001</v>
      </c>
      <c r="J9" s="3">
        <v>16714537.841626531</v>
      </c>
      <c r="K9" s="3">
        <v>59912.322470815088</v>
      </c>
      <c r="L9" s="3">
        <v>13678383.705902655</v>
      </c>
      <c r="M9" s="4">
        <f>SUM(J9:L9)</f>
        <v>30452833.870000001</v>
      </c>
      <c r="N9" s="4">
        <f t="shared" ref="N9:N38" si="1">+C9-M9</f>
        <v>0</v>
      </c>
    </row>
    <row r="10" spans="1:14" x14ac:dyDescent="0.25">
      <c r="A10" s="25">
        <v>105433</v>
      </c>
      <c r="B10" s="2">
        <v>45780</v>
      </c>
      <c r="C10" s="33">
        <v>30432152.899999999</v>
      </c>
      <c r="J10" s="3">
        <v>16703186.751703596</v>
      </c>
      <c r="K10" s="3">
        <v>59871.635126282927</v>
      </c>
      <c r="L10" s="3">
        <v>13669094.513170119</v>
      </c>
      <c r="M10" s="4">
        <f>SUM(J10:L10)</f>
        <v>30432152.899999999</v>
      </c>
      <c r="N10" s="4">
        <f t="shared" si="1"/>
        <v>0</v>
      </c>
    </row>
    <row r="11" spans="1:14" x14ac:dyDescent="0.25">
      <c r="A11" s="25">
        <v>105433</v>
      </c>
      <c r="B11" s="2">
        <v>45781</v>
      </c>
      <c r="C11" s="33">
        <v>30452833.870000001</v>
      </c>
      <c r="J11" s="3">
        <v>16714537.841626531</v>
      </c>
      <c r="K11" s="3">
        <v>59912.322470815088</v>
      </c>
      <c r="L11" s="3">
        <v>13678383.705902655</v>
      </c>
      <c r="M11" s="4">
        <f t="shared" ref="M11:M38" si="2">SUM(J11:L11)</f>
        <v>30452833.870000001</v>
      </c>
      <c r="N11" s="4">
        <f t="shared" si="1"/>
        <v>0</v>
      </c>
    </row>
    <row r="12" spans="1:14" x14ac:dyDescent="0.25">
      <c r="A12" s="25">
        <v>105433</v>
      </c>
      <c r="B12" s="2">
        <v>45782</v>
      </c>
      <c r="C12" s="33">
        <v>30432152.899999999</v>
      </c>
      <c r="J12" s="3">
        <v>16703186.751703596</v>
      </c>
      <c r="K12" s="3">
        <v>59871.635126282927</v>
      </c>
      <c r="L12" s="3">
        <v>13669094.513170119</v>
      </c>
      <c r="M12" s="4">
        <f t="shared" si="2"/>
        <v>30432152.899999999</v>
      </c>
      <c r="N12" s="4">
        <f t="shared" si="1"/>
        <v>0</v>
      </c>
    </row>
    <row r="13" spans="1:14" x14ac:dyDescent="0.25">
      <c r="A13" s="25">
        <v>105433</v>
      </c>
      <c r="B13" s="2">
        <v>45783</v>
      </c>
      <c r="C13" s="33">
        <v>30432152.899999999</v>
      </c>
      <c r="E13" t="s">
        <v>7</v>
      </c>
      <c r="J13" s="3">
        <v>16703186.751703596</v>
      </c>
      <c r="K13" s="3">
        <v>59871.635126282927</v>
      </c>
      <c r="L13" s="3">
        <v>13669094.513170119</v>
      </c>
      <c r="M13" s="4">
        <f t="shared" si="2"/>
        <v>30432152.899999999</v>
      </c>
      <c r="N13" s="4">
        <f t="shared" si="1"/>
        <v>0</v>
      </c>
    </row>
    <row r="14" spans="1:14" x14ac:dyDescent="0.25">
      <c r="A14" s="25">
        <v>105433</v>
      </c>
      <c r="B14" s="2">
        <v>45784</v>
      </c>
      <c r="C14" s="33">
        <v>30427022.359999999</v>
      </c>
      <c r="J14" s="3">
        <v>16700370.77059182</v>
      </c>
      <c r="K14" s="3">
        <v>59861.541400088456</v>
      </c>
      <c r="L14" s="3">
        <v>13666790.048008092</v>
      </c>
      <c r="M14" s="4">
        <f t="shared" si="2"/>
        <v>30427022.359999999</v>
      </c>
      <c r="N14" s="4">
        <f t="shared" si="1"/>
        <v>0</v>
      </c>
    </row>
    <row r="15" spans="1:14" x14ac:dyDescent="0.25">
      <c r="A15" s="25">
        <v>105433</v>
      </c>
      <c r="B15" s="2">
        <v>45785</v>
      </c>
      <c r="C15" s="44">
        <v>30302044.960000001</v>
      </c>
      <c r="J15" s="3">
        <v>16631774.87273333</v>
      </c>
      <c r="K15" s="3">
        <v>59615.663255468877</v>
      </c>
      <c r="L15" s="3">
        <v>13610654.424011203</v>
      </c>
      <c r="M15" s="4">
        <f t="shared" si="2"/>
        <v>30302044.960000001</v>
      </c>
      <c r="N15" s="4">
        <f t="shared" si="1"/>
        <v>0</v>
      </c>
    </row>
    <row r="16" spans="1:14" x14ac:dyDescent="0.25">
      <c r="A16" s="25">
        <v>105433</v>
      </c>
      <c r="B16" s="2">
        <v>45786</v>
      </c>
      <c r="C16" s="44">
        <v>30223432.149999999</v>
      </c>
      <c r="J16" s="3">
        <v>16588626.941306295</v>
      </c>
      <c r="K16" s="3">
        <v>59461.001917769958</v>
      </c>
      <c r="L16" s="3">
        <v>13575344.206775934</v>
      </c>
      <c r="M16" s="4">
        <f t="shared" si="2"/>
        <v>30223432.149999999</v>
      </c>
      <c r="N16" s="4">
        <f t="shared" si="1"/>
        <v>0</v>
      </c>
    </row>
    <row r="17" spans="1:14" x14ac:dyDescent="0.25">
      <c r="A17" s="25">
        <v>105433</v>
      </c>
      <c r="B17" s="2">
        <v>45787</v>
      </c>
      <c r="C17" s="33">
        <v>30223432.149999999</v>
      </c>
      <c r="J17" s="3">
        <v>16588626.941306295</v>
      </c>
      <c r="K17" s="3">
        <v>59461.001917769958</v>
      </c>
      <c r="L17" s="3">
        <v>13575344.206775934</v>
      </c>
      <c r="M17" s="4">
        <f t="shared" si="2"/>
        <v>30223432.149999999</v>
      </c>
      <c r="N17" s="4">
        <f t="shared" si="1"/>
        <v>0</v>
      </c>
    </row>
    <row r="18" spans="1:14" x14ac:dyDescent="0.25">
      <c r="A18" s="25">
        <v>105433</v>
      </c>
      <c r="B18" s="2">
        <v>45788</v>
      </c>
      <c r="C18" s="33">
        <v>30223432.149999999</v>
      </c>
      <c r="J18" s="3">
        <v>16588626.941306295</v>
      </c>
      <c r="K18" s="3">
        <v>59461.001917769958</v>
      </c>
      <c r="L18" s="3">
        <v>13575344.206775934</v>
      </c>
      <c r="M18" s="4">
        <f t="shared" si="2"/>
        <v>30223432.149999999</v>
      </c>
      <c r="N18" s="4">
        <f t="shared" si="1"/>
        <v>0</v>
      </c>
    </row>
    <row r="19" spans="1:14" x14ac:dyDescent="0.25">
      <c r="A19" s="25">
        <v>105433</v>
      </c>
      <c r="B19" s="2">
        <v>45789</v>
      </c>
      <c r="C19" s="33">
        <v>30339772.140000001</v>
      </c>
      <c r="J19" s="3">
        <v>16652482.054878013</v>
      </c>
      <c r="K19" s="3">
        <v>59689.886987280617</v>
      </c>
      <c r="L19" s="3">
        <v>13627600.198134707</v>
      </c>
      <c r="M19" s="4">
        <f t="shared" si="2"/>
        <v>30339772.140000001</v>
      </c>
      <c r="N19" s="4">
        <f t="shared" si="1"/>
        <v>0</v>
      </c>
    </row>
    <row r="20" spans="1:14" x14ac:dyDescent="0.25">
      <c r="A20" s="25">
        <v>105433</v>
      </c>
      <c r="B20" s="2">
        <v>45790</v>
      </c>
      <c r="C20" s="33">
        <v>30123884.379999999</v>
      </c>
      <c r="J20" s="3">
        <v>16533988.513374843</v>
      </c>
      <c r="K20" s="3">
        <v>59265.153540474406</v>
      </c>
      <c r="L20" s="3">
        <v>13530630.713084683</v>
      </c>
      <c r="M20" s="4">
        <f t="shared" si="2"/>
        <v>30123884.380000003</v>
      </c>
      <c r="N20" s="4">
        <f t="shared" si="1"/>
        <v>0</v>
      </c>
    </row>
    <row r="21" spans="1:14" x14ac:dyDescent="0.25">
      <c r="A21" s="25">
        <v>105433</v>
      </c>
      <c r="B21" s="2">
        <v>45791</v>
      </c>
      <c r="C21" s="33">
        <v>30027712.289999999</v>
      </c>
      <c r="G21" s="34"/>
      <c r="H21" s="34"/>
      <c r="I21" s="34"/>
      <c r="J21" s="3">
        <v>16481202.882833019</v>
      </c>
      <c r="K21" s="3">
        <v>59075.94641139837</v>
      </c>
      <c r="L21" s="3">
        <v>13487433.460755581</v>
      </c>
      <c r="M21" s="4">
        <f t="shared" si="2"/>
        <v>30027712.289999999</v>
      </c>
      <c r="N21" s="4">
        <f t="shared" si="1"/>
        <v>0</v>
      </c>
    </row>
    <row r="22" spans="1:14" x14ac:dyDescent="0.25">
      <c r="A22" s="25">
        <v>105433</v>
      </c>
      <c r="B22" s="2">
        <v>45792</v>
      </c>
      <c r="C22" s="44">
        <v>30252409.32</v>
      </c>
      <c r="G22" s="34"/>
      <c r="H22" s="34"/>
      <c r="I22" s="34"/>
      <c r="J22" s="3">
        <v>16604531.536805548</v>
      </c>
      <c r="K22" s="3">
        <v>59518.011047388012</v>
      </c>
      <c r="L22" s="3">
        <v>13588359.772147065</v>
      </c>
      <c r="M22" s="4">
        <f t="shared" si="2"/>
        <v>30252409.32</v>
      </c>
      <c r="N22" s="4">
        <f t="shared" si="1"/>
        <v>0</v>
      </c>
    </row>
    <row r="23" spans="1:14" x14ac:dyDescent="0.25">
      <c r="A23" s="25">
        <v>105433</v>
      </c>
      <c r="B23" s="2">
        <v>45793</v>
      </c>
      <c r="C23" s="44">
        <v>30353706.260000002</v>
      </c>
      <c r="G23" s="34"/>
      <c r="H23" s="34"/>
      <c r="I23" s="34"/>
      <c r="J23" s="3">
        <v>16660130.025409229</v>
      </c>
      <c r="K23" s="3">
        <v>59717.300708261428</v>
      </c>
      <c r="L23" s="3">
        <v>13633858.933882512</v>
      </c>
      <c r="M23" s="4">
        <f t="shared" si="2"/>
        <v>30353706.260000005</v>
      </c>
      <c r="N23" s="4">
        <f t="shared" si="1"/>
        <v>0</v>
      </c>
    </row>
    <row r="24" spans="1:14" x14ac:dyDescent="0.25">
      <c r="A24" s="25">
        <v>105433</v>
      </c>
      <c r="B24" s="2">
        <v>45794</v>
      </c>
      <c r="C24" s="44">
        <v>30353706.260000002</v>
      </c>
      <c r="G24" s="34"/>
      <c r="H24" s="34"/>
      <c r="I24" s="34"/>
      <c r="J24" s="3">
        <v>16660130.025409229</v>
      </c>
      <c r="K24" s="3">
        <v>59717.300708261428</v>
      </c>
      <c r="L24" s="3">
        <v>13633858.933882512</v>
      </c>
      <c r="M24" s="4">
        <f t="shared" si="2"/>
        <v>30353706.260000005</v>
      </c>
      <c r="N24" s="4">
        <f t="shared" si="1"/>
        <v>0</v>
      </c>
    </row>
    <row r="25" spans="1:14" x14ac:dyDescent="0.25">
      <c r="A25" s="25">
        <v>105433</v>
      </c>
      <c r="B25" s="2">
        <v>45795</v>
      </c>
      <c r="C25" s="33">
        <v>30353706.260000002</v>
      </c>
      <c r="G25" s="34"/>
      <c r="H25" s="34"/>
      <c r="I25" s="34"/>
      <c r="J25" s="3">
        <v>16660130.025409229</v>
      </c>
      <c r="K25" s="3">
        <v>59717.300708261428</v>
      </c>
      <c r="L25" s="3">
        <v>13633858.933882512</v>
      </c>
      <c r="M25" s="4">
        <f t="shared" si="2"/>
        <v>30353706.260000005</v>
      </c>
      <c r="N25" s="4">
        <f t="shared" si="1"/>
        <v>0</v>
      </c>
    </row>
    <row r="26" spans="1:14" x14ac:dyDescent="0.25">
      <c r="A26" s="25">
        <v>105433</v>
      </c>
      <c r="B26" s="2">
        <v>45796</v>
      </c>
      <c r="C26" s="33">
        <v>30294385.379999999</v>
      </c>
      <c r="G26" s="34"/>
      <c r="H26" s="34"/>
      <c r="I26" s="34"/>
      <c r="J26" s="3">
        <v>16627570.786495985</v>
      </c>
      <c r="K26" s="3">
        <v>59600.593944385706</v>
      </c>
      <c r="L26" s="3">
        <v>13607213.999559628</v>
      </c>
      <c r="M26" s="4">
        <f t="shared" si="2"/>
        <v>30294385.379999999</v>
      </c>
      <c r="N26" s="4">
        <f t="shared" si="1"/>
        <v>0</v>
      </c>
    </row>
    <row r="27" spans="1:14" x14ac:dyDescent="0.25">
      <c r="A27" s="25">
        <v>105433</v>
      </c>
      <c r="B27" s="2">
        <v>45797</v>
      </c>
      <c r="C27" s="33">
        <v>30213997.489999998</v>
      </c>
      <c r="G27" s="10"/>
      <c r="J27" s="3">
        <v>16583448.573267838</v>
      </c>
      <c r="K27" s="3">
        <v>59442.440348270859</v>
      </c>
      <c r="L27" s="3">
        <v>13571106.476383891</v>
      </c>
      <c r="M27" s="4">
        <f t="shared" si="2"/>
        <v>30213997.490000002</v>
      </c>
      <c r="N27" s="4">
        <f t="shared" si="1"/>
        <v>0</v>
      </c>
    </row>
    <row r="28" spans="1:14" x14ac:dyDescent="0.25">
      <c r="A28" s="25">
        <v>105433</v>
      </c>
      <c r="B28" s="2">
        <v>45798</v>
      </c>
      <c r="C28" s="33">
        <v>30270583.129999999</v>
      </c>
      <c r="G28" s="34"/>
      <c r="H28" s="34"/>
      <c r="I28" s="34"/>
      <c r="J28" s="3">
        <v>16614506.530800138</v>
      </c>
      <c r="K28" s="3">
        <v>59553.765853324672</v>
      </c>
      <c r="L28" s="3">
        <v>13596522.833346536</v>
      </c>
      <c r="M28" s="4">
        <f t="shared" si="2"/>
        <v>30270583.129999999</v>
      </c>
      <c r="N28" s="4">
        <f t="shared" si="1"/>
        <v>0</v>
      </c>
    </row>
    <row r="29" spans="1:14" x14ac:dyDescent="0.25">
      <c r="A29" s="25">
        <v>105433</v>
      </c>
      <c r="B29" s="2">
        <v>45799</v>
      </c>
      <c r="C29" s="44">
        <v>30204465.210000001</v>
      </c>
      <c r="G29" s="34"/>
      <c r="H29" s="34"/>
      <c r="I29" s="34"/>
      <c r="J29" s="3">
        <v>16578216.624889664</v>
      </c>
      <c r="K29" s="3">
        <v>59423.686723052269</v>
      </c>
      <c r="L29" s="3">
        <v>13566824.898387285</v>
      </c>
      <c r="M29" s="4">
        <f t="shared" si="2"/>
        <v>30204465.210000001</v>
      </c>
      <c r="N29" s="4">
        <f t="shared" si="1"/>
        <v>0</v>
      </c>
    </row>
    <row r="30" spans="1:14" x14ac:dyDescent="0.25">
      <c r="A30" s="25">
        <v>105433</v>
      </c>
      <c r="B30" s="2">
        <v>45800</v>
      </c>
      <c r="C30" s="33">
        <v>30164092.09</v>
      </c>
      <c r="G30" s="10"/>
      <c r="H30" s="34"/>
      <c r="I30" s="34"/>
      <c r="J30" s="3">
        <v>16556057.17513516</v>
      </c>
      <c r="K30" s="3">
        <v>59344.257419529364</v>
      </c>
      <c r="L30" s="3">
        <v>13548690.657445312</v>
      </c>
      <c r="M30" s="4">
        <f t="shared" si="2"/>
        <v>30164092.09</v>
      </c>
      <c r="N30" s="4">
        <f t="shared" si="1"/>
        <v>0</v>
      </c>
    </row>
    <row r="31" spans="1:14" x14ac:dyDescent="0.25">
      <c r="A31" s="25">
        <v>105433</v>
      </c>
      <c r="B31" s="2">
        <v>45801</v>
      </c>
      <c r="C31" s="33">
        <v>30164092.09</v>
      </c>
      <c r="G31" s="34"/>
      <c r="H31" s="34"/>
      <c r="I31" s="34"/>
      <c r="J31" s="3">
        <v>16556057.17513516</v>
      </c>
      <c r="K31" s="3">
        <v>59344.257419529364</v>
      </c>
      <c r="L31" s="3">
        <v>13548690.657445312</v>
      </c>
      <c r="M31" s="4">
        <f t="shared" si="2"/>
        <v>30164092.09</v>
      </c>
      <c r="N31" s="4">
        <f t="shared" si="1"/>
        <v>0</v>
      </c>
    </row>
    <row r="32" spans="1:14" x14ac:dyDescent="0.25">
      <c r="A32" s="25">
        <v>105433</v>
      </c>
      <c r="B32" s="2">
        <v>45802</v>
      </c>
      <c r="C32" s="33">
        <v>30164092.09</v>
      </c>
      <c r="G32" s="34"/>
      <c r="H32" s="34"/>
      <c r="I32" s="34"/>
      <c r="J32" s="3">
        <v>16556057.17513516</v>
      </c>
      <c r="K32" s="3">
        <v>59344.257419529364</v>
      </c>
      <c r="L32" s="3">
        <v>13548690.657445312</v>
      </c>
      <c r="M32" s="4">
        <f t="shared" si="2"/>
        <v>30164092.09</v>
      </c>
      <c r="N32" s="4">
        <f t="shared" si="1"/>
        <v>0</v>
      </c>
    </row>
    <row r="33" spans="1:14" x14ac:dyDescent="0.25">
      <c r="A33" s="25">
        <v>105433</v>
      </c>
      <c r="B33" s="2">
        <v>45803</v>
      </c>
      <c r="C33" s="33">
        <v>30104427.57</v>
      </c>
      <c r="G33" s="34"/>
      <c r="H33" s="34"/>
      <c r="I33" s="34"/>
      <c r="J33" s="3">
        <v>16523309.323766066</v>
      </c>
      <c r="K33" s="3">
        <v>59226.874584895115</v>
      </c>
      <c r="L33" s="3">
        <v>13521891.37164904</v>
      </c>
      <c r="M33" s="4">
        <f t="shared" si="2"/>
        <v>30104427.57</v>
      </c>
      <c r="N33" s="4">
        <f t="shared" si="1"/>
        <v>0</v>
      </c>
    </row>
    <row r="34" spans="1:14" x14ac:dyDescent="0.25">
      <c r="A34" s="25">
        <v>105433</v>
      </c>
      <c r="B34" s="2">
        <v>45804</v>
      </c>
      <c r="C34" s="33">
        <v>30094593.870000001</v>
      </c>
      <c r="G34" s="34"/>
      <c r="H34" s="34"/>
      <c r="I34" s="34"/>
      <c r="J34" s="3">
        <v>16517911.936072202</v>
      </c>
      <c r="K34" s="3">
        <v>59207.52795173788</v>
      </c>
      <c r="L34" s="3">
        <v>13517474.405976061</v>
      </c>
      <c r="M34" s="4">
        <f t="shared" si="2"/>
        <v>30094593.870000001</v>
      </c>
      <c r="N34" s="4">
        <f t="shared" si="1"/>
        <v>0</v>
      </c>
    </row>
    <row r="35" spans="1:14" x14ac:dyDescent="0.25">
      <c r="A35" s="25">
        <v>105433</v>
      </c>
      <c r="B35" s="2">
        <v>45805</v>
      </c>
      <c r="C35" s="33">
        <v>30285145.84</v>
      </c>
      <c r="G35" s="34"/>
      <c r="H35" s="34"/>
      <c r="I35" s="34"/>
      <c r="J35" s="3">
        <v>16622499.513272991</v>
      </c>
      <c r="K35" s="3">
        <v>59582.416250239898</v>
      </c>
      <c r="L35" s="3">
        <v>13603063.910476768</v>
      </c>
      <c r="M35" s="4">
        <f t="shared" si="2"/>
        <v>30285145.84</v>
      </c>
      <c r="N35" s="4">
        <f t="shared" si="1"/>
        <v>0</v>
      </c>
    </row>
    <row r="36" spans="1:14" x14ac:dyDescent="0.25">
      <c r="A36" s="25">
        <v>105433</v>
      </c>
      <c r="B36" s="2">
        <v>45806</v>
      </c>
      <c r="C36" s="44">
        <v>30232078.199999999</v>
      </c>
      <c r="G36" s="34"/>
      <c r="H36" s="34"/>
      <c r="I36" s="34"/>
      <c r="J36" s="3">
        <v>16593372.46779892</v>
      </c>
      <c r="K36" s="3">
        <v>59478.011991049512</v>
      </c>
      <c r="L36" s="3">
        <v>13579227.720210029</v>
      </c>
      <c r="M36" s="4">
        <f t="shared" si="2"/>
        <v>30232078.199999999</v>
      </c>
      <c r="N36" s="4">
        <f t="shared" si="1"/>
        <v>0</v>
      </c>
    </row>
    <row r="37" spans="1:14" x14ac:dyDescent="0.25">
      <c r="A37" s="25">
        <v>105433</v>
      </c>
      <c r="B37" s="2">
        <v>45807</v>
      </c>
      <c r="C37" s="44">
        <v>30339600.210000001</v>
      </c>
      <c r="J37" s="3">
        <v>16652387.68827478</v>
      </c>
      <c r="K37" s="3">
        <v>59689.548735489458</v>
      </c>
      <c r="L37" s="3">
        <v>13627522.972989731</v>
      </c>
      <c r="M37" s="4">
        <f t="shared" si="2"/>
        <v>30339600.210000001</v>
      </c>
      <c r="N37" s="4">
        <f t="shared" si="1"/>
        <v>0</v>
      </c>
    </row>
    <row r="38" spans="1:14" x14ac:dyDescent="0.25">
      <c r="A38" s="25">
        <v>105433</v>
      </c>
      <c r="B38" s="2">
        <v>45808</v>
      </c>
      <c r="C38" s="33">
        <v>30339600.219999999</v>
      </c>
      <c r="G38" s="34"/>
      <c r="H38" s="34"/>
      <c r="I38" s="34"/>
      <c r="J38" s="3">
        <v>16652387.693763444</v>
      </c>
      <c r="K38" s="3">
        <v>59689.548755163269</v>
      </c>
      <c r="L38" s="3">
        <v>13627522.977481391</v>
      </c>
      <c r="M38" s="4">
        <f t="shared" si="2"/>
        <v>30339600.219999999</v>
      </c>
      <c r="N38" s="4">
        <f t="shared" si="1"/>
        <v>0</v>
      </c>
    </row>
    <row r="39" spans="1:14" x14ac:dyDescent="0.25">
      <c r="A39" s="5"/>
      <c r="B39" s="6"/>
      <c r="J39" s="7"/>
    </row>
    <row r="40" spans="1:14" x14ac:dyDescent="0.25">
      <c r="A40" s="19" t="s">
        <v>8</v>
      </c>
      <c r="B40" s="8">
        <f>COUNT(B8:B38)</f>
        <v>31</v>
      </c>
      <c r="C40" s="4">
        <f>AVERAGE(C8:C38)</f>
        <v>30283131.564838722</v>
      </c>
      <c r="J40" s="4">
        <f>AVERAGE(J8:J38)</f>
        <v>16621393.945280517</v>
      </c>
      <c r="K40" s="4">
        <f>AVERAGE(K8:K38)</f>
        <v>59578.453403841966</v>
      </c>
      <c r="L40" s="4">
        <f>AVERAGE(L8:L38)</f>
        <v>13602159.166154349</v>
      </c>
      <c r="M40" s="4">
        <f>SUM(J40:L40)</f>
        <v>30283131.564838707</v>
      </c>
      <c r="N40" s="4">
        <f>M40-C40</f>
        <v>0</v>
      </c>
    </row>
    <row r="41" spans="1:14" x14ac:dyDescent="0.25">
      <c r="A41" s="19" t="s">
        <v>9</v>
      </c>
      <c r="B41" s="8">
        <v>1.62</v>
      </c>
      <c r="C41" s="9">
        <f>+C40*$B$42</f>
        <v>42244.968532950021</v>
      </c>
      <c r="D41" s="10">
        <f>C41*1.16</f>
        <v>49004.16349822202</v>
      </c>
      <c r="J41" s="20">
        <f>(+J40*$B$42)</f>
        <v>23186.844553666324</v>
      </c>
      <c r="K41" s="20">
        <f>(+K40*$B$42)</f>
        <v>83.111942498359554</v>
      </c>
      <c r="L41" s="20">
        <f>(+L40*$B$42)</f>
        <v>18975.01203678532</v>
      </c>
      <c r="M41" s="4">
        <f>SUM(J41:L41)</f>
        <v>42244.968532950006</v>
      </c>
      <c r="N41" s="4">
        <f>+C41/M41</f>
        <v>1.0000000000000004</v>
      </c>
    </row>
    <row r="42" spans="1:14" x14ac:dyDescent="0.25">
      <c r="A42" s="19" t="s">
        <v>10</v>
      </c>
      <c r="B42" s="11">
        <f>B41/360*B40/100</f>
        <v>1.3950000000000002E-3</v>
      </c>
      <c r="D42" s="10">
        <f>D41-C41</f>
        <v>6759.1949652719995</v>
      </c>
      <c r="M42" s="32">
        <f>C41/M41</f>
        <v>1.0000000000000004</v>
      </c>
    </row>
    <row r="46" spans="1:14" x14ac:dyDescent="0.25">
      <c r="J46" t="s">
        <v>19</v>
      </c>
      <c r="M46" s="10">
        <f>+'JUL24'!M41+'AGO24'!M41+'MAY25'!M41</f>
        <v>122506.42125870002</v>
      </c>
    </row>
  </sheetData>
  <mergeCells count="1">
    <mergeCell ref="A6:C6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1A53C-C47E-45AA-84D3-FEC445C48DE1}">
  <dimension ref="A1:N45"/>
  <sheetViews>
    <sheetView topLeftCell="A29" workbookViewId="0">
      <selection activeCell="J40" sqref="J40:L40"/>
    </sheetView>
  </sheetViews>
  <sheetFormatPr baseColWidth="10" defaultRowHeight="15" x14ac:dyDescent="0.25"/>
  <cols>
    <col min="3" max="3" width="15.140625" bestFit="1" customWidth="1"/>
    <col min="6" max="6" width="14.140625" bestFit="1" customWidth="1"/>
    <col min="8" max="9" width="14.140625" bestFit="1" customWidth="1"/>
    <col min="10" max="12" width="17" bestFit="1" customWidth="1"/>
    <col min="13" max="14" width="15.140625" bestFit="1" customWidth="1"/>
  </cols>
  <sheetData>
    <row r="1" spans="1:14" x14ac:dyDescent="0.25">
      <c r="D1" s="38" t="s">
        <v>15</v>
      </c>
      <c r="E1" s="35">
        <v>45808</v>
      </c>
      <c r="F1" s="36">
        <v>16638474.539999999</v>
      </c>
      <c r="G1" s="36">
        <v>59745.87</v>
      </c>
      <c r="H1" s="36">
        <v>13641379.810000001</v>
      </c>
      <c r="I1" s="37">
        <f>+F1+G1+H1</f>
        <v>30339600.219999999</v>
      </c>
    </row>
    <row r="2" spans="1:14" x14ac:dyDescent="0.25">
      <c r="D2" s="38" t="s">
        <v>16</v>
      </c>
      <c r="E2" s="35">
        <v>45838</v>
      </c>
      <c r="F2" s="36">
        <v>16306112.119999999</v>
      </c>
      <c r="G2" s="36">
        <v>60057.1</v>
      </c>
      <c r="H2" s="36">
        <v>13480915.779999999</v>
      </c>
      <c r="I2" s="37">
        <f>+F2+G2+H2</f>
        <v>29847085</v>
      </c>
    </row>
    <row r="3" spans="1:14" x14ac:dyDescent="0.25">
      <c r="E3" s="38"/>
      <c r="F3" s="37"/>
    </row>
    <row r="4" spans="1:14" x14ac:dyDescent="0.25">
      <c r="E4" s="35">
        <f>+E1</f>
        <v>45808</v>
      </c>
      <c r="F4" s="13">
        <f t="shared" ref="F4:H5" si="0">+F1/$I1</f>
        <v>0.54840783726055309</v>
      </c>
      <c r="G4" s="13">
        <f t="shared" si="0"/>
        <v>1.9692372202259694E-3</v>
      </c>
      <c r="H4" s="13">
        <f t="shared" si="0"/>
        <v>0.44962292551922101</v>
      </c>
      <c r="I4" s="12">
        <f>+F4+G4+H4</f>
        <v>1</v>
      </c>
    </row>
    <row r="5" spans="1:14" x14ac:dyDescent="0.25">
      <c r="E5" s="35">
        <f>+E2</f>
        <v>45838</v>
      </c>
      <c r="F5" s="13">
        <f t="shared" si="0"/>
        <v>0.54632176375012831</v>
      </c>
      <c r="G5" s="13">
        <f t="shared" si="0"/>
        <v>2.0121596464110314E-3</v>
      </c>
      <c r="H5" s="13">
        <f t="shared" si="0"/>
        <v>0.45166607660346059</v>
      </c>
      <c r="I5" s="12">
        <f>+F5+G5+H5</f>
        <v>0.99999999999999989</v>
      </c>
    </row>
    <row r="6" spans="1:14" x14ac:dyDescent="0.25">
      <c r="A6" s="46" t="s">
        <v>0</v>
      </c>
      <c r="B6" s="46"/>
      <c r="C6" s="46"/>
      <c r="E6" s="39" t="s">
        <v>17</v>
      </c>
      <c r="F6" s="40">
        <f>AVERAGE(F4:F5)</f>
        <v>0.54736480050534064</v>
      </c>
      <c r="G6" s="40">
        <f>AVERAGE(G4:G5)</f>
        <v>1.9906984333185004E-3</v>
      </c>
      <c r="H6" s="40">
        <f>AVERAGE(H4:H5)</f>
        <v>0.4506445010613408</v>
      </c>
      <c r="I6" s="12"/>
    </row>
    <row r="7" spans="1:14" x14ac:dyDescent="0.25">
      <c r="A7" s="16" t="s">
        <v>1</v>
      </c>
      <c r="B7" s="17" t="s">
        <v>2</v>
      </c>
      <c r="C7" s="18" t="s">
        <v>3</v>
      </c>
      <c r="E7" s="35"/>
      <c r="F7" s="13"/>
      <c r="G7" s="13"/>
      <c r="H7" s="13"/>
      <c r="I7" s="12"/>
      <c r="J7" s="28" t="s">
        <v>4</v>
      </c>
      <c r="K7" s="14" t="s">
        <v>5</v>
      </c>
      <c r="L7" s="15" t="s">
        <v>6</v>
      </c>
    </row>
    <row r="8" spans="1:14" x14ac:dyDescent="0.25">
      <c r="A8" s="42">
        <v>105433</v>
      </c>
      <c r="B8" s="43">
        <v>45809</v>
      </c>
      <c r="C8" s="44">
        <v>30339600.210000001</v>
      </c>
      <c r="J8" s="3">
        <v>16606829.216358442</v>
      </c>
      <c r="K8" s="3">
        <v>60396.994605556647</v>
      </c>
      <c r="L8" s="3">
        <v>13672373.999036001</v>
      </c>
      <c r="M8" s="4">
        <f>SUM(J8:L8)</f>
        <v>30339600.210000001</v>
      </c>
      <c r="N8" s="4">
        <f>+C8-M8</f>
        <v>0</v>
      </c>
    </row>
    <row r="9" spans="1:14" x14ac:dyDescent="0.25">
      <c r="A9" s="25">
        <v>105433</v>
      </c>
      <c r="B9" s="2">
        <v>45810</v>
      </c>
      <c r="C9" s="33">
        <v>30101106.420000002</v>
      </c>
      <c r="J9" s="3">
        <v>16476286.110573329</v>
      </c>
      <c r="K9" s="3">
        <v>59922.225391447457</v>
      </c>
      <c r="L9" s="3">
        <v>13564898.084035223</v>
      </c>
      <c r="M9" s="4">
        <f>SUM(J9:L9)</f>
        <v>30101106.420000002</v>
      </c>
      <c r="N9" s="4">
        <f t="shared" ref="N9:N37" si="1">+C9-M9</f>
        <v>0</v>
      </c>
    </row>
    <row r="10" spans="1:14" x14ac:dyDescent="0.25">
      <c r="A10" s="25">
        <v>105433</v>
      </c>
      <c r="B10" s="2">
        <v>45811</v>
      </c>
      <c r="C10" s="33">
        <v>30099641.600000001</v>
      </c>
      <c r="J10" s="3">
        <v>16475484.319666253</v>
      </c>
      <c r="K10" s="3">
        <v>59919.309376568366</v>
      </c>
      <c r="L10" s="3">
        <v>13564237.970957179</v>
      </c>
      <c r="M10" s="4">
        <f>SUM(J10:L10)</f>
        <v>30099641.600000001</v>
      </c>
      <c r="N10" s="4">
        <f t="shared" si="1"/>
        <v>0</v>
      </c>
    </row>
    <row r="11" spans="1:14" x14ac:dyDescent="0.25">
      <c r="A11" s="25">
        <v>105433</v>
      </c>
      <c r="B11" s="2">
        <v>45812</v>
      </c>
      <c r="C11" s="33">
        <v>29984876.670000002</v>
      </c>
      <c r="J11" s="3">
        <v>16412666.036651794</v>
      </c>
      <c r="K11" s="3">
        <v>59690.847010217454</v>
      </c>
      <c r="L11" s="3">
        <v>13512519.786337988</v>
      </c>
      <c r="M11" s="4">
        <f t="shared" ref="M11:M37" si="2">SUM(J11:L11)</f>
        <v>29984876.670000002</v>
      </c>
      <c r="N11" s="4">
        <f t="shared" si="1"/>
        <v>0</v>
      </c>
    </row>
    <row r="12" spans="1:14" x14ac:dyDescent="0.25">
      <c r="A12" s="25">
        <v>105433</v>
      </c>
      <c r="B12" s="2">
        <v>45813</v>
      </c>
      <c r="C12" s="33">
        <v>29996310.440000001</v>
      </c>
      <c r="J12" s="3">
        <v>16418924.479886867</v>
      </c>
      <c r="K12" s="3">
        <v>59713.608198243383</v>
      </c>
      <c r="L12" s="3">
        <v>13517672.351914888</v>
      </c>
      <c r="M12" s="4">
        <f t="shared" si="2"/>
        <v>29996310.439999998</v>
      </c>
      <c r="N12" s="4">
        <f t="shared" si="1"/>
        <v>0</v>
      </c>
    </row>
    <row r="13" spans="1:14" x14ac:dyDescent="0.25">
      <c r="A13" s="25">
        <v>105433</v>
      </c>
      <c r="B13" s="2">
        <v>45814</v>
      </c>
      <c r="C13" s="33">
        <v>29995465.370000001</v>
      </c>
      <c r="E13" t="s">
        <v>7</v>
      </c>
      <c r="J13" s="3">
        <v>16418461.918314904</v>
      </c>
      <c r="K13" s="3">
        <v>59711.925918718334</v>
      </c>
      <c r="L13" s="3">
        <v>13517291.525766376</v>
      </c>
      <c r="M13" s="4">
        <f t="shared" si="2"/>
        <v>29995465.369999997</v>
      </c>
      <c r="N13" s="4">
        <f t="shared" si="1"/>
        <v>0</v>
      </c>
    </row>
    <row r="14" spans="1:14" x14ac:dyDescent="0.25">
      <c r="A14" s="42">
        <v>105433</v>
      </c>
      <c r="B14" s="43">
        <v>45815</v>
      </c>
      <c r="C14" s="44">
        <v>29995465.370000001</v>
      </c>
      <c r="J14" s="3">
        <v>16418461.918314904</v>
      </c>
      <c r="K14" s="3">
        <v>59711.925918718334</v>
      </c>
      <c r="L14" s="3">
        <v>13517291.525766376</v>
      </c>
      <c r="M14" s="4">
        <f t="shared" si="2"/>
        <v>29995465.369999997</v>
      </c>
      <c r="N14" s="4">
        <f t="shared" si="1"/>
        <v>0</v>
      </c>
    </row>
    <row r="15" spans="1:14" x14ac:dyDescent="0.25">
      <c r="A15" s="42">
        <v>105433</v>
      </c>
      <c r="B15" s="43">
        <v>45816</v>
      </c>
      <c r="C15" s="44">
        <v>29995465.370000001</v>
      </c>
      <c r="J15" s="3">
        <v>16418461.918314904</v>
      </c>
      <c r="K15" s="3">
        <v>59711.925918718334</v>
      </c>
      <c r="L15" s="3">
        <v>13517291.525766376</v>
      </c>
      <c r="M15" s="4">
        <f t="shared" si="2"/>
        <v>29995465.369999997</v>
      </c>
      <c r="N15" s="4">
        <f t="shared" si="1"/>
        <v>0</v>
      </c>
    </row>
    <row r="16" spans="1:14" x14ac:dyDescent="0.25">
      <c r="A16" s="25">
        <v>105433</v>
      </c>
      <c r="B16" s="2">
        <v>45817</v>
      </c>
      <c r="C16" s="33">
        <v>29929668.93</v>
      </c>
      <c r="J16" s="3">
        <v>16382447.263060343</v>
      </c>
      <c r="K16" s="3">
        <v>59580.945048692396</v>
      </c>
      <c r="L16" s="3">
        <v>13487640.721890964</v>
      </c>
      <c r="M16" s="4">
        <f t="shared" si="2"/>
        <v>29929668.93</v>
      </c>
      <c r="N16" s="4">
        <f t="shared" si="1"/>
        <v>0</v>
      </c>
    </row>
    <row r="17" spans="1:14" x14ac:dyDescent="0.25">
      <c r="A17" s="25">
        <v>105433</v>
      </c>
      <c r="B17" s="2">
        <v>45818</v>
      </c>
      <c r="C17" s="33">
        <v>29997631.43</v>
      </c>
      <c r="J17" s="3">
        <v>16419647.543314686</v>
      </c>
      <c r="K17" s="3">
        <v>59716.237890966804</v>
      </c>
      <c r="L17" s="3">
        <v>13518267.648794346</v>
      </c>
      <c r="M17" s="4">
        <f t="shared" si="2"/>
        <v>29997631.43</v>
      </c>
      <c r="N17" s="4">
        <f t="shared" si="1"/>
        <v>0</v>
      </c>
    </row>
    <row r="18" spans="1:14" x14ac:dyDescent="0.25">
      <c r="A18" s="25">
        <v>105433</v>
      </c>
      <c r="B18" s="2">
        <v>45819</v>
      </c>
      <c r="C18" s="33">
        <v>29805540.02</v>
      </c>
      <c r="J18" s="3">
        <v>16314503.467001246</v>
      </c>
      <c r="K18" s="3">
        <v>59333.841822025861</v>
      </c>
      <c r="L18" s="3">
        <v>13431702.711176725</v>
      </c>
      <c r="M18" s="4">
        <f t="shared" si="2"/>
        <v>29805540.019999996</v>
      </c>
      <c r="N18" s="4">
        <f t="shared" si="1"/>
        <v>0</v>
      </c>
    </row>
    <row r="19" spans="1:14" x14ac:dyDescent="0.25">
      <c r="A19" s="25">
        <v>105433</v>
      </c>
      <c r="B19" s="2">
        <v>45820</v>
      </c>
      <c r="C19" s="33">
        <v>29877534.34</v>
      </c>
      <c r="J19" s="3">
        <v>16353910.623605564</v>
      </c>
      <c r="K19" s="3">
        <v>59477.160802057697</v>
      </c>
      <c r="L19" s="3">
        <v>13464146.555592377</v>
      </c>
      <c r="M19" s="4">
        <f t="shared" si="2"/>
        <v>29877534.339999996</v>
      </c>
      <c r="N19" s="4">
        <f t="shared" si="1"/>
        <v>0</v>
      </c>
    </row>
    <row r="20" spans="1:14" x14ac:dyDescent="0.25">
      <c r="A20" s="25">
        <v>105433</v>
      </c>
      <c r="B20" s="2">
        <v>45821</v>
      </c>
      <c r="C20" s="33">
        <v>29883790.93</v>
      </c>
      <c r="J20" s="3">
        <v>16357335.260742757</v>
      </c>
      <c r="K20" s="3">
        <v>59489.615785968614</v>
      </c>
      <c r="L20" s="3">
        <v>13466966.053471271</v>
      </c>
      <c r="M20" s="4">
        <f t="shared" si="2"/>
        <v>29883790.93</v>
      </c>
      <c r="N20" s="4">
        <f t="shared" si="1"/>
        <v>0</v>
      </c>
    </row>
    <row r="21" spans="1:14" x14ac:dyDescent="0.25">
      <c r="A21" s="42">
        <v>105433</v>
      </c>
      <c r="B21" s="43">
        <v>45822</v>
      </c>
      <c r="C21" s="44">
        <v>29883790.93</v>
      </c>
      <c r="G21" s="34"/>
      <c r="H21" s="34"/>
      <c r="I21" s="34"/>
      <c r="J21" s="3">
        <v>16357335.260742757</v>
      </c>
      <c r="K21" s="3">
        <v>59489.615785968614</v>
      </c>
      <c r="L21" s="3">
        <v>13466966.053471271</v>
      </c>
      <c r="M21" s="4">
        <f t="shared" si="2"/>
        <v>29883790.93</v>
      </c>
      <c r="N21" s="4">
        <f t="shared" si="1"/>
        <v>0</v>
      </c>
    </row>
    <row r="22" spans="1:14" x14ac:dyDescent="0.25">
      <c r="A22" s="42">
        <v>105433</v>
      </c>
      <c r="B22" s="43">
        <v>45823</v>
      </c>
      <c r="C22" s="44">
        <v>29883790.93</v>
      </c>
      <c r="G22" s="34"/>
      <c r="H22" s="34"/>
      <c r="I22" s="34"/>
      <c r="J22" s="3">
        <v>16357335.260742757</v>
      </c>
      <c r="K22" s="3">
        <v>59489.615785968614</v>
      </c>
      <c r="L22" s="3">
        <v>13466966.053471271</v>
      </c>
      <c r="M22" s="4">
        <f t="shared" si="2"/>
        <v>29883790.93</v>
      </c>
      <c r="N22" s="4">
        <f t="shared" si="1"/>
        <v>0</v>
      </c>
    </row>
    <row r="23" spans="1:14" x14ac:dyDescent="0.25">
      <c r="A23" s="25">
        <v>105433</v>
      </c>
      <c r="B23" s="2">
        <v>45824</v>
      </c>
      <c r="C23" s="33">
        <v>29816328.920000002</v>
      </c>
      <c r="G23" s="34"/>
      <c r="H23" s="34"/>
      <c r="I23" s="34"/>
      <c r="J23" s="3">
        <v>16320408.93109742</v>
      </c>
      <c r="K23" s="3">
        <v>59355.319268353102</v>
      </c>
      <c r="L23" s="3">
        <v>13436564.669634227</v>
      </c>
      <c r="M23" s="4">
        <f t="shared" si="2"/>
        <v>29816328.920000002</v>
      </c>
      <c r="N23" s="4">
        <f t="shared" si="1"/>
        <v>0</v>
      </c>
    </row>
    <row r="24" spans="1:14" x14ac:dyDescent="0.25">
      <c r="A24" s="25">
        <v>105433</v>
      </c>
      <c r="B24" s="2">
        <v>45825</v>
      </c>
      <c r="C24" s="33">
        <v>29861179.879999999</v>
      </c>
      <c r="G24" s="34"/>
      <c r="H24" s="34"/>
      <c r="I24" s="34"/>
      <c r="J24" s="3">
        <v>16344958.767870292</v>
      </c>
      <c r="K24" s="3">
        <v>59444.604004157925</v>
      </c>
      <c r="L24" s="3">
        <v>13456776.508125547</v>
      </c>
      <c r="M24" s="4">
        <f t="shared" si="2"/>
        <v>29861179.879999995</v>
      </c>
      <c r="N24" s="4">
        <f t="shared" si="1"/>
        <v>0</v>
      </c>
    </row>
    <row r="25" spans="1:14" x14ac:dyDescent="0.25">
      <c r="A25" s="25">
        <v>105433</v>
      </c>
      <c r="B25" s="2">
        <v>45826</v>
      </c>
      <c r="C25" s="33">
        <v>29920022.68</v>
      </c>
      <c r="G25" s="34"/>
      <c r="H25" s="34"/>
      <c r="I25" s="34"/>
      <c r="J25" s="3">
        <v>16377167.245353468</v>
      </c>
      <c r="K25" s="3">
        <v>59561.742273930002</v>
      </c>
      <c r="L25" s="3">
        <v>13483293.692372601</v>
      </c>
      <c r="M25" s="4">
        <f t="shared" si="2"/>
        <v>29920022.68</v>
      </c>
      <c r="N25" s="4">
        <f t="shared" si="1"/>
        <v>0</v>
      </c>
    </row>
    <row r="26" spans="1:14" x14ac:dyDescent="0.25">
      <c r="A26" s="25">
        <v>105433</v>
      </c>
      <c r="B26" s="2">
        <v>45827</v>
      </c>
      <c r="C26" s="33">
        <v>29973948.050000001</v>
      </c>
      <c r="G26" s="34"/>
      <c r="H26" s="34"/>
      <c r="I26" s="34"/>
      <c r="J26" s="3">
        <v>16406684.094745694</v>
      </c>
      <c r="K26" s="3">
        <v>59669.091423505124</v>
      </c>
      <c r="L26" s="3">
        <v>13507594.863830799</v>
      </c>
      <c r="M26" s="4">
        <f t="shared" si="2"/>
        <v>29973948.049999997</v>
      </c>
      <c r="N26" s="4">
        <f t="shared" si="1"/>
        <v>0</v>
      </c>
    </row>
    <row r="27" spans="1:14" x14ac:dyDescent="0.25">
      <c r="A27" s="25">
        <v>105433</v>
      </c>
      <c r="B27" s="2">
        <v>45828</v>
      </c>
      <c r="C27" s="33">
        <v>30044608.120000001</v>
      </c>
      <c r="G27" s="10"/>
      <c r="J27" s="3">
        <v>16445360.929864937</v>
      </c>
      <c r="K27" s="3">
        <v>59809.754314152298</v>
      </c>
      <c r="L27" s="3">
        <v>13539437.435820909</v>
      </c>
      <c r="M27" s="4">
        <f t="shared" si="2"/>
        <v>30044608.119999997</v>
      </c>
      <c r="N27" s="4">
        <f t="shared" si="1"/>
        <v>0</v>
      </c>
    </row>
    <row r="28" spans="1:14" x14ac:dyDescent="0.25">
      <c r="A28" s="42">
        <v>105433</v>
      </c>
      <c r="B28" s="43">
        <v>45829</v>
      </c>
      <c r="C28" s="44">
        <v>30044608.120000001</v>
      </c>
      <c r="G28" s="34"/>
      <c r="H28" s="34"/>
      <c r="I28" s="34"/>
      <c r="J28" s="3">
        <v>16445360.929864937</v>
      </c>
      <c r="K28" s="3">
        <v>59809.754314152298</v>
      </c>
      <c r="L28" s="3">
        <v>13539437.435820909</v>
      </c>
      <c r="M28" s="4">
        <f t="shared" si="2"/>
        <v>30044608.119999997</v>
      </c>
      <c r="N28" s="4">
        <f t="shared" si="1"/>
        <v>0</v>
      </c>
    </row>
    <row r="29" spans="1:14" x14ac:dyDescent="0.25">
      <c r="A29" s="42">
        <v>105433</v>
      </c>
      <c r="B29" s="43">
        <v>45830</v>
      </c>
      <c r="C29" s="44">
        <v>30044608.120000001</v>
      </c>
      <c r="G29" s="34"/>
      <c r="H29" s="34"/>
      <c r="I29" s="34"/>
      <c r="J29" s="3">
        <v>16445360.929864937</v>
      </c>
      <c r="K29" s="3">
        <v>59809.754314152298</v>
      </c>
      <c r="L29" s="3">
        <v>13539437.435820909</v>
      </c>
      <c r="M29" s="4">
        <f t="shared" si="2"/>
        <v>30044608.119999997</v>
      </c>
      <c r="N29" s="4">
        <f t="shared" si="1"/>
        <v>0</v>
      </c>
    </row>
    <row r="30" spans="1:14" x14ac:dyDescent="0.25">
      <c r="A30" s="25">
        <v>105433</v>
      </c>
      <c r="B30" s="2">
        <v>45831</v>
      </c>
      <c r="C30" s="33">
        <v>30087567.260000002</v>
      </c>
      <c r="G30" s="10"/>
      <c r="H30" s="34"/>
      <c r="I30" s="34"/>
      <c r="J30" s="3">
        <v>16468875.25096092</v>
      </c>
      <c r="K30" s="3">
        <v>59895.273006847012</v>
      </c>
      <c r="L30" s="3">
        <v>13558796.736032233</v>
      </c>
      <c r="M30" s="4">
        <f t="shared" si="2"/>
        <v>30087567.259999998</v>
      </c>
      <c r="N30" s="4">
        <f t="shared" si="1"/>
        <v>0</v>
      </c>
    </row>
    <row r="31" spans="1:14" x14ac:dyDescent="0.25">
      <c r="A31" s="25">
        <v>105433</v>
      </c>
      <c r="B31" s="2">
        <v>45832</v>
      </c>
      <c r="C31" s="33">
        <v>30025645.170000002</v>
      </c>
      <c r="G31" s="34"/>
      <c r="H31" s="34"/>
      <c r="I31" s="34"/>
      <c r="J31" s="3">
        <v>16434981.278521195</v>
      </c>
      <c r="K31" s="3">
        <v>59772.004799296199</v>
      </c>
      <c r="L31" s="3">
        <v>13530891.886679508</v>
      </c>
      <c r="M31" s="4">
        <f t="shared" si="2"/>
        <v>30025645.170000002</v>
      </c>
      <c r="N31" s="4">
        <f t="shared" si="1"/>
        <v>0</v>
      </c>
    </row>
    <row r="32" spans="1:14" x14ac:dyDescent="0.25">
      <c r="A32" s="25">
        <v>105433</v>
      </c>
      <c r="B32" s="2">
        <v>45833</v>
      </c>
      <c r="C32" s="33">
        <v>29888345.449999999</v>
      </c>
      <c r="G32" s="34"/>
      <c r="H32" s="34"/>
      <c r="I32" s="34"/>
      <c r="J32" s="3">
        <v>16359828.244673956</v>
      </c>
      <c r="K32" s="3">
        <v>59498.682461797129</v>
      </c>
      <c r="L32" s="3">
        <v>13469018.522864245</v>
      </c>
      <c r="M32" s="4">
        <f t="shared" si="2"/>
        <v>29888345.449999996</v>
      </c>
      <c r="N32" s="4">
        <f t="shared" si="1"/>
        <v>0</v>
      </c>
    </row>
    <row r="33" spans="1:14" x14ac:dyDescent="0.25">
      <c r="A33" s="25">
        <v>105433</v>
      </c>
      <c r="B33" s="2">
        <v>45834</v>
      </c>
      <c r="C33" s="33">
        <v>29902071.969999999</v>
      </c>
      <c r="G33" s="34"/>
      <c r="H33" s="34"/>
      <c r="I33" s="34"/>
      <c r="J33" s="3">
        <v>16367341.658555388</v>
      </c>
      <c r="K33" s="3">
        <v>59526.007823656044</v>
      </c>
      <c r="L33" s="3">
        <v>13475204.303620953</v>
      </c>
      <c r="M33" s="4">
        <f t="shared" si="2"/>
        <v>29902071.969999999</v>
      </c>
      <c r="N33" s="4">
        <f t="shared" si="1"/>
        <v>0</v>
      </c>
    </row>
    <row r="34" spans="1:14" x14ac:dyDescent="0.25">
      <c r="A34" s="25">
        <v>105433</v>
      </c>
      <c r="B34" s="2">
        <v>45835</v>
      </c>
      <c r="C34" s="33">
        <v>29851575.539999999</v>
      </c>
      <c r="G34" s="34"/>
      <c r="H34" s="34"/>
      <c r="I34" s="34"/>
      <c r="J34" s="3">
        <v>16339701.690222206</v>
      </c>
      <c r="K34" s="3">
        <v>59425.484659566864</v>
      </c>
      <c r="L34" s="3">
        <v>13452448.365118224</v>
      </c>
      <c r="M34" s="4">
        <f t="shared" si="2"/>
        <v>29851575.539999999</v>
      </c>
      <c r="N34" s="4">
        <f t="shared" si="1"/>
        <v>0</v>
      </c>
    </row>
    <row r="35" spans="1:14" x14ac:dyDescent="0.25">
      <c r="A35" s="42">
        <v>105433</v>
      </c>
      <c r="B35" s="43">
        <v>45836</v>
      </c>
      <c r="C35" s="44">
        <v>29851575.539999999</v>
      </c>
      <c r="G35" s="34"/>
      <c r="H35" s="34"/>
      <c r="I35" s="34"/>
      <c r="J35" s="3">
        <v>16339701.690222206</v>
      </c>
      <c r="K35" s="3">
        <v>59425.484659566864</v>
      </c>
      <c r="L35" s="3">
        <v>13452448.365118224</v>
      </c>
      <c r="M35" s="4">
        <f t="shared" si="2"/>
        <v>29851575.539999999</v>
      </c>
      <c r="N35" s="4">
        <f t="shared" si="1"/>
        <v>0</v>
      </c>
    </row>
    <row r="36" spans="1:14" x14ac:dyDescent="0.25">
      <c r="A36" s="42">
        <v>105433</v>
      </c>
      <c r="B36" s="43">
        <v>45837</v>
      </c>
      <c r="C36" s="44">
        <v>29851575.539999999</v>
      </c>
      <c r="G36" s="34"/>
      <c r="H36" s="34"/>
      <c r="I36" s="34"/>
      <c r="J36" s="3">
        <v>16339701.690222206</v>
      </c>
      <c r="K36" s="3">
        <v>59425.484659566864</v>
      </c>
      <c r="L36" s="3">
        <v>13452448.365118224</v>
      </c>
      <c r="M36" s="4">
        <f t="shared" si="2"/>
        <v>29851575.539999999</v>
      </c>
      <c r="N36" s="4">
        <f t="shared" si="1"/>
        <v>0</v>
      </c>
    </row>
    <row r="37" spans="1:14" x14ac:dyDescent="0.25">
      <c r="A37" s="25">
        <v>105433</v>
      </c>
      <c r="B37" s="2">
        <v>45838</v>
      </c>
      <c r="C37" s="33">
        <v>29847084.98</v>
      </c>
      <c r="J37" s="3">
        <v>16337243.71574365</v>
      </c>
      <c r="K37" s="3">
        <v>59416.545308810142</v>
      </c>
      <c r="L37" s="3">
        <v>13450424.718947539</v>
      </c>
      <c r="M37" s="4">
        <f t="shared" si="2"/>
        <v>29847084.979999997</v>
      </c>
      <c r="N37" s="4">
        <f t="shared" si="1"/>
        <v>0</v>
      </c>
    </row>
    <row r="38" spans="1:14" x14ac:dyDescent="0.25">
      <c r="A38" s="5"/>
      <c r="B38" s="6"/>
      <c r="J38" s="7"/>
    </row>
    <row r="39" spans="1:14" x14ac:dyDescent="0.25">
      <c r="A39" s="19" t="s">
        <v>8</v>
      </c>
      <c r="B39" s="8">
        <f>COUNT(B8:B37)</f>
        <v>30</v>
      </c>
      <c r="C39" s="4">
        <f>AVERAGE(C8:C37)</f>
        <v>29959347.476666663</v>
      </c>
      <c r="J39" s="4">
        <f>AVERAGE(J8:J37)</f>
        <v>16398692.254835833</v>
      </c>
      <c r="K39" s="4">
        <f>AVERAGE(K8:K37)</f>
        <v>59640.026085044883</v>
      </c>
      <c r="L39" s="4">
        <f>AVERAGE(L8:L37)</f>
        <v>13501015.195745789</v>
      </c>
      <c r="M39" s="4">
        <f>SUM(J39:L39)</f>
        <v>29959347.476666667</v>
      </c>
      <c r="N39" s="4">
        <f>M39-C39</f>
        <v>0</v>
      </c>
    </row>
    <row r="40" spans="1:14" x14ac:dyDescent="0.25">
      <c r="A40" s="19" t="s">
        <v>9</v>
      </c>
      <c r="B40" s="8">
        <v>1.62</v>
      </c>
      <c r="C40" s="9">
        <f>+C39*$B$41</f>
        <v>40445.119093499998</v>
      </c>
      <c r="D40" s="10">
        <f>C40*1.16</f>
        <v>46916.338148459996</v>
      </c>
      <c r="J40" s="20">
        <f>(+J39*$B$41)</f>
        <v>22138.234544028375</v>
      </c>
      <c r="K40" s="20">
        <f>(+K39*$B$41)</f>
        <v>80.51403521481059</v>
      </c>
      <c r="L40" s="20">
        <f>(+L39*$B$41)</f>
        <v>18226.370514256814</v>
      </c>
      <c r="M40" s="4">
        <f>SUM(J40:L40)</f>
        <v>40445.119093500005</v>
      </c>
      <c r="N40" s="4">
        <f>+C40/M40</f>
        <v>0.99999999999999978</v>
      </c>
    </row>
    <row r="41" spans="1:14" x14ac:dyDescent="0.25">
      <c r="A41" s="19" t="s">
        <v>10</v>
      </c>
      <c r="B41" s="11">
        <f>B40/360*B39/100</f>
        <v>1.3500000000000001E-3</v>
      </c>
      <c r="D41" s="10">
        <f>D40-C40</f>
        <v>6471.2190549599982</v>
      </c>
      <c r="M41" s="32">
        <f>C40/M40</f>
        <v>0.99999999999999978</v>
      </c>
    </row>
    <row r="45" spans="1:14" x14ac:dyDescent="0.25">
      <c r="J45" t="s">
        <v>19</v>
      </c>
      <c r="M45" s="10">
        <f>+'JUL24'!M41+'AGO24'!M41+'JUN25'!M40</f>
        <v>120706.57181925002</v>
      </c>
    </row>
  </sheetData>
  <mergeCells count="1">
    <mergeCell ref="A6:C6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E2E5C-4F2E-4A9B-BAB2-7FD14869128A}">
  <dimension ref="A1:N46"/>
  <sheetViews>
    <sheetView topLeftCell="A31" workbookViewId="0">
      <selection activeCell="J41" sqref="J41:L41"/>
    </sheetView>
  </sheetViews>
  <sheetFormatPr baseColWidth="10" defaultRowHeight="15" x14ac:dyDescent="0.25"/>
  <cols>
    <col min="3" max="3" width="15.140625" bestFit="1" customWidth="1"/>
    <col min="6" max="6" width="14.140625" bestFit="1" customWidth="1"/>
    <col min="8" max="9" width="14.140625" bestFit="1" customWidth="1"/>
    <col min="10" max="12" width="17" bestFit="1" customWidth="1"/>
    <col min="13" max="14" width="15.140625" bestFit="1" customWidth="1"/>
  </cols>
  <sheetData>
    <row r="1" spans="1:14" x14ac:dyDescent="0.25">
      <c r="D1" s="38" t="s">
        <v>15</v>
      </c>
      <c r="E1" s="35">
        <v>45838</v>
      </c>
      <c r="F1" s="36">
        <v>16306112.119999999</v>
      </c>
      <c r="G1" s="36">
        <v>60057.1</v>
      </c>
      <c r="H1" s="36">
        <v>13480915.779999999</v>
      </c>
      <c r="I1" s="37">
        <f>+F1+G1+H1</f>
        <v>29847085</v>
      </c>
    </row>
    <row r="2" spans="1:14" x14ac:dyDescent="0.25">
      <c r="D2" s="38" t="s">
        <v>16</v>
      </c>
      <c r="E2" s="35">
        <v>45869</v>
      </c>
      <c r="F2" s="36">
        <v>16204284.210000001</v>
      </c>
      <c r="G2" s="36">
        <v>60444.02</v>
      </c>
      <c r="H2" s="36">
        <v>13394982.310000001</v>
      </c>
      <c r="I2" s="37">
        <f>+F2+G2+H2</f>
        <v>29659710.539999999</v>
      </c>
    </row>
    <row r="3" spans="1:14" x14ac:dyDescent="0.25">
      <c r="E3" s="38"/>
      <c r="F3" s="37"/>
    </row>
    <row r="4" spans="1:14" x14ac:dyDescent="0.25">
      <c r="E4" s="35">
        <f>+E1</f>
        <v>45838</v>
      </c>
      <c r="F4" s="13">
        <f t="shared" ref="F4:H5" si="0">+F1/$I1</f>
        <v>0.54632176375012831</v>
      </c>
      <c r="G4" s="13">
        <f t="shared" si="0"/>
        <v>2.0121596464110314E-3</v>
      </c>
      <c r="H4" s="13">
        <f t="shared" si="0"/>
        <v>0.45166607660346059</v>
      </c>
      <c r="I4" s="12">
        <f>+F4+G4+H4</f>
        <v>0.99999999999999989</v>
      </c>
    </row>
    <row r="5" spans="1:14" x14ac:dyDescent="0.25">
      <c r="E5" s="35">
        <f>+E2</f>
        <v>45869</v>
      </c>
      <c r="F5" s="13">
        <f t="shared" si="0"/>
        <v>0.54633993100325118</v>
      </c>
      <c r="G5" s="13">
        <f t="shared" si="0"/>
        <v>2.0379167193315434E-3</v>
      </c>
      <c r="H5" s="13">
        <f t="shared" si="0"/>
        <v>0.45162215227741737</v>
      </c>
      <c r="I5" s="12">
        <f>+F5+G5+H5</f>
        <v>1</v>
      </c>
    </row>
    <row r="6" spans="1:14" x14ac:dyDescent="0.25">
      <c r="A6" s="46" t="s">
        <v>0</v>
      </c>
      <c r="B6" s="46"/>
      <c r="C6" s="46"/>
      <c r="E6" s="39" t="s">
        <v>17</v>
      </c>
      <c r="F6" s="40">
        <f>AVERAGE(F4:F5)</f>
        <v>0.54633084737668969</v>
      </c>
      <c r="G6" s="40">
        <f>AVERAGE(G4:G5)</f>
        <v>2.0250381828712874E-3</v>
      </c>
      <c r="H6" s="40">
        <f>AVERAGE(H4:H5)</f>
        <v>0.45164411444043895</v>
      </c>
      <c r="I6" s="12"/>
    </row>
    <row r="7" spans="1:14" x14ac:dyDescent="0.25">
      <c r="A7" s="16" t="s">
        <v>1</v>
      </c>
      <c r="B7" s="17" t="s">
        <v>2</v>
      </c>
      <c r="C7" s="18" t="s">
        <v>3</v>
      </c>
      <c r="E7" s="35"/>
      <c r="F7" s="13"/>
      <c r="G7" s="13"/>
      <c r="H7" s="13"/>
      <c r="I7" s="12"/>
      <c r="J7" s="28" t="s">
        <v>4</v>
      </c>
      <c r="K7" s="14" t="s">
        <v>5</v>
      </c>
      <c r="L7" s="15" t="s">
        <v>6</v>
      </c>
    </row>
    <row r="8" spans="1:14" x14ac:dyDescent="0.25">
      <c r="A8" s="25">
        <v>105433</v>
      </c>
      <c r="B8" s="2">
        <v>45839</v>
      </c>
      <c r="C8" s="33">
        <v>29778775.879999999</v>
      </c>
      <c r="J8" s="3">
        <v>16269063.860360928</v>
      </c>
      <c r="K8" s="3">
        <v>60303.158196166522</v>
      </c>
      <c r="L8" s="3">
        <v>13449408.861442903</v>
      </c>
      <c r="M8" s="4">
        <f>SUM(J8:L8)</f>
        <v>29778775.879999995</v>
      </c>
      <c r="N8" s="4">
        <f>+C8-M8</f>
        <v>0</v>
      </c>
    </row>
    <row r="9" spans="1:14" x14ac:dyDescent="0.25">
      <c r="A9" s="25">
        <v>105433</v>
      </c>
      <c r="B9" s="2">
        <v>45840</v>
      </c>
      <c r="C9" s="33">
        <v>29795429.690000001</v>
      </c>
      <c r="J9" s="3">
        <v>16278162.350490279</v>
      </c>
      <c r="K9" s="3">
        <v>60336.882797306811</v>
      </c>
      <c r="L9" s="3">
        <v>13456930.456712414</v>
      </c>
      <c r="M9" s="4">
        <f>SUM(J9:L9)</f>
        <v>29795429.689999998</v>
      </c>
      <c r="N9" s="4">
        <f t="shared" ref="N9:N38" si="1">+C9-M9</f>
        <v>0</v>
      </c>
    </row>
    <row r="10" spans="1:14" x14ac:dyDescent="0.25">
      <c r="A10" s="25">
        <v>105433</v>
      </c>
      <c r="B10" s="2">
        <v>45841</v>
      </c>
      <c r="C10" s="33">
        <v>29697479.850000001</v>
      </c>
      <c r="J10" s="3">
        <v>16224649.331402669</v>
      </c>
      <c r="K10" s="3">
        <v>60138.530631300673</v>
      </c>
      <c r="L10" s="3">
        <v>13412691.987966031</v>
      </c>
      <c r="M10" s="4">
        <f>SUM(J10:L10)</f>
        <v>29697479.850000001</v>
      </c>
      <c r="N10" s="4">
        <f t="shared" si="1"/>
        <v>0</v>
      </c>
    </row>
    <row r="11" spans="1:14" x14ac:dyDescent="0.25">
      <c r="A11" s="25">
        <v>105433</v>
      </c>
      <c r="B11" s="2">
        <v>45842</v>
      </c>
      <c r="C11" s="33">
        <v>29655936.260000002</v>
      </c>
      <c r="J11" s="3">
        <v>16201952.786674898</v>
      </c>
      <c r="K11" s="3">
        <v>60054.403275297125</v>
      </c>
      <c r="L11" s="3">
        <v>13393929.070049804</v>
      </c>
      <c r="M11" s="4">
        <f t="shared" ref="M11:M38" si="2">SUM(J11:L11)</f>
        <v>29655936.259999998</v>
      </c>
      <c r="N11" s="4">
        <f t="shared" si="1"/>
        <v>0</v>
      </c>
    </row>
    <row r="12" spans="1:14" x14ac:dyDescent="0.25">
      <c r="A12" s="42">
        <v>105433</v>
      </c>
      <c r="B12" s="43">
        <v>45843</v>
      </c>
      <c r="C12" s="44">
        <v>29655936.260000002</v>
      </c>
      <c r="J12" s="3">
        <v>16201952.786674898</v>
      </c>
      <c r="K12" s="3">
        <v>60054.403275297125</v>
      </c>
      <c r="L12" s="3">
        <v>13393929.070049804</v>
      </c>
      <c r="M12" s="4">
        <f t="shared" si="2"/>
        <v>29655936.259999998</v>
      </c>
      <c r="N12" s="4">
        <f t="shared" si="1"/>
        <v>0</v>
      </c>
    </row>
    <row r="13" spans="1:14" x14ac:dyDescent="0.25">
      <c r="A13" s="42">
        <v>105433</v>
      </c>
      <c r="B13" s="43">
        <v>45844</v>
      </c>
      <c r="C13" s="44">
        <v>29655936.260000002</v>
      </c>
      <c r="E13" t="s">
        <v>7</v>
      </c>
      <c r="J13" s="3">
        <v>16201952.786674898</v>
      </c>
      <c r="K13" s="3">
        <v>60054.403275297125</v>
      </c>
      <c r="L13" s="3">
        <v>13393929.070049804</v>
      </c>
      <c r="M13" s="4">
        <f t="shared" si="2"/>
        <v>29655936.259999998</v>
      </c>
      <c r="N13" s="4">
        <f t="shared" si="1"/>
        <v>0</v>
      </c>
    </row>
    <row r="14" spans="1:14" x14ac:dyDescent="0.25">
      <c r="A14" s="25">
        <v>105433</v>
      </c>
      <c r="B14" s="2">
        <v>45845</v>
      </c>
      <c r="C14" s="33">
        <v>29661891.239999998</v>
      </c>
      <c r="J14" s="3">
        <v>16205206.175944408</v>
      </c>
      <c r="K14" s="3">
        <v>60066.462337175355</v>
      </c>
      <c r="L14" s="3">
        <v>13396618.601718413</v>
      </c>
      <c r="M14" s="4">
        <f t="shared" si="2"/>
        <v>29661891.239999995</v>
      </c>
      <c r="N14" s="4">
        <f t="shared" si="1"/>
        <v>0</v>
      </c>
    </row>
    <row r="15" spans="1:14" x14ac:dyDescent="0.25">
      <c r="A15" s="25">
        <v>105433</v>
      </c>
      <c r="B15" s="2">
        <v>45846</v>
      </c>
      <c r="C15" s="33">
        <v>29690316.57</v>
      </c>
      <c r="J15" s="3">
        <v>16220735.810570272</v>
      </c>
      <c r="K15" s="3">
        <v>60124.024715786072</v>
      </c>
      <c r="L15" s="3">
        <v>13409456.734713942</v>
      </c>
      <c r="M15" s="4">
        <f t="shared" si="2"/>
        <v>29690316.57</v>
      </c>
      <c r="N15" s="4">
        <f t="shared" si="1"/>
        <v>0</v>
      </c>
    </row>
    <row r="16" spans="1:14" x14ac:dyDescent="0.25">
      <c r="A16" s="25">
        <v>105433</v>
      </c>
      <c r="B16" s="2">
        <v>45847</v>
      </c>
      <c r="C16" s="33">
        <v>29480167.530000001</v>
      </c>
      <c r="J16" s="3">
        <v>16105924.907471674</v>
      </c>
      <c r="K16" s="3">
        <v>59698.46488569233</v>
      </c>
      <c r="L16" s="3">
        <v>13314544.157642633</v>
      </c>
      <c r="M16" s="4">
        <f t="shared" si="2"/>
        <v>29480167.530000001</v>
      </c>
      <c r="N16" s="4">
        <f t="shared" si="1"/>
        <v>0</v>
      </c>
    </row>
    <row r="17" spans="1:14" x14ac:dyDescent="0.25">
      <c r="A17" s="25">
        <v>105433</v>
      </c>
      <c r="B17" s="2">
        <v>45848</v>
      </c>
      <c r="C17" s="33">
        <v>29576786.859999999</v>
      </c>
      <c r="J17" s="3">
        <v>16158711.02790354</v>
      </c>
      <c r="K17" s="3">
        <v>59894.122718145773</v>
      </c>
      <c r="L17" s="3">
        <v>13358181.709378311</v>
      </c>
      <c r="M17" s="4">
        <f t="shared" si="2"/>
        <v>29576786.859999999</v>
      </c>
      <c r="N17" s="4">
        <f t="shared" si="1"/>
        <v>0</v>
      </c>
    </row>
    <row r="18" spans="1:14" x14ac:dyDescent="0.25">
      <c r="A18" s="25">
        <v>105433</v>
      </c>
      <c r="B18" s="2">
        <v>45849</v>
      </c>
      <c r="C18" s="33">
        <v>29566181.489999998</v>
      </c>
      <c r="J18" s="3">
        <v>16152916.987124696</v>
      </c>
      <c r="K18" s="3">
        <v>59872.646438952288</v>
      </c>
      <c r="L18" s="3">
        <v>13353391.856436348</v>
      </c>
      <c r="M18" s="4">
        <f t="shared" si="2"/>
        <v>29566181.489999995</v>
      </c>
      <c r="N18" s="4">
        <f t="shared" si="1"/>
        <v>0</v>
      </c>
    </row>
    <row r="19" spans="1:14" x14ac:dyDescent="0.25">
      <c r="A19" s="42">
        <v>105433</v>
      </c>
      <c r="B19" s="43">
        <v>45850</v>
      </c>
      <c r="C19" s="44">
        <v>29566181.489999998</v>
      </c>
      <c r="J19" s="3">
        <v>16152916.987124696</v>
      </c>
      <c r="K19" s="3">
        <v>59872.646438952288</v>
      </c>
      <c r="L19" s="3">
        <v>13353391.856436348</v>
      </c>
      <c r="M19" s="4">
        <f t="shared" si="2"/>
        <v>29566181.489999995</v>
      </c>
      <c r="N19" s="4">
        <f t="shared" si="1"/>
        <v>0</v>
      </c>
    </row>
    <row r="20" spans="1:14" x14ac:dyDescent="0.25">
      <c r="A20" s="42">
        <v>105433</v>
      </c>
      <c r="B20" s="43">
        <v>45851</v>
      </c>
      <c r="C20" s="44">
        <v>29566181.489999998</v>
      </c>
      <c r="J20" s="3">
        <v>16152916.987124696</v>
      </c>
      <c r="K20" s="3">
        <v>59872.646438952288</v>
      </c>
      <c r="L20" s="3">
        <v>13353391.856436348</v>
      </c>
      <c r="M20" s="4">
        <f t="shared" si="2"/>
        <v>29566181.489999995</v>
      </c>
      <c r="N20" s="4">
        <f t="shared" si="1"/>
        <v>0</v>
      </c>
    </row>
    <row r="21" spans="1:14" x14ac:dyDescent="0.25">
      <c r="A21" s="25">
        <v>105433</v>
      </c>
      <c r="B21" s="2">
        <v>45852</v>
      </c>
      <c r="C21" s="33">
        <v>29634712.969999999</v>
      </c>
      <c r="G21" s="34"/>
      <c r="H21" s="34"/>
      <c r="I21" s="34"/>
      <c r="J21" s="3">
        <v>16190357.848665075</v>
      </c>
      <c r="K21" s="3">
        <v>60011.425302680967</v>
      </c>
      <c r="L21" s="3">
        <v>13384343.696032239</v>
      </c>
      <c r="M21" s="4">
        <f t="shared" si="2"/>
        <v>29634712.969999995</v>
      </c>
      <c r="N21" s="4">
        <f t="shared" si="1"/>
        <v>0</v>
      </c>
    </row>
    <row r="22" spans="1:14" x14ac:dyDescent="0.25">
      <c r="A22" s="25">
        <v>105433</v>
      </c>
      <c r="B22" s="2">
        <v>45853</v>
      </c>
      <c r="C22" s="33">
        <v>29697651.539999999</v>
      </c>
      <c r="G22" s="34"/>
      <c r="H22" s="34"/>
      <c r="I22" s="34"/>
      <c r="J22" s="3">
        <v>16224743.130945854</v>
      </c>
      <c r="K22" s="3">
        <v>60138.878310106287</v>
      </c>
      <c r="L22" s="3">
        <v>13412769.530744037</v>
      </c>
      <c r="M22" s="4">
        <f t="shared" si="2"/>
        <v>29697651.539999999</v>
      </c>
      <c r="N22" s="4">
        <f t="shared" si="1"/>
        <v>0</v>
      </c>
    </row>
    <row r="23" spans="1:14" x14ac:dyDescent="0.25">
      <c r="A23" s="25">
        <v>105433</v>
      </c>
      <c r="B23" s="2">
        <v>45854</v>
      </c>
      <c r="C23" s="33">
        <v>29611836.379999999</v>
      </c>
      <c r="G23" s="34"/>
      <c r="H23" s="34"/>
      <c r="I23" s="34"/>
      <c r="J23" s="3">
        <v>16177859.661865287</v>
      </c>
      <c r="K23" s="3">
        <v>59965.09933443708</v>
      </c>
      <c r="L23" s="3">
        <v>13374011.618800273</v>
      </c>
      <c r="M23" s="4">
        <f t="shared" si="2"/>
        <v>29611836.379999995</v>
      </c>
      <c r="N23" s="4">
        <f t="shared" si="1"/>
        <v>0</v>
      </c>
    </row>
    <row r="24" spans="1:14" x14ac:dyDescent="0.25">
      <c r="A24" s="25">
        <v>105433</v>
      </c>
      <c r="B24" s="2">
        <v>45855</v>
      </c>
      <c r="C24" s="33">
        <v>29674177.469999999</v>
      </c>
      <c r="G24" s="34"/>
      <c r="H24" s="34"/>
      <c r="I24" s="34"/>
      <c r="J24" s="3">
        <v>16211918.522391373</v>
      </c>
      <c r="K24" s="3">
        <v>60091.342422048896</v>
      </c>
      <c r="L24" s="3">
        <v>13402167.605186574</v>
      </c>
      <c r="M24" s="4">
        <f t="shared" si="2"/>
        <v>29674177.469999999</v>
      </c>
      <c r="N24" s="4">
        <f t="shared" si="1"/>
        <v>0</v>
      </c>
    </row>
    <row r="25" spans="1:14" x14ac:dyDescent="0.25">
      <c r="A25" s="25">
        <v>105433</v>
      </c>
      <c r="B25" s="2">
        <v>45856</v>
      </c>
      <c r="C25" s="33">
        <v>29615616.129999999</v>
      </c>
      <c r="G25" s="34"/>
      <c r="H25" s="34"/>
      <c r="I25" s="34"/>
      <c r="J25" s="3">
        <v>16179924.655885659</v>
      </c>
      <c r="K25" s="3">
        <v>59972.75347250879</v>
      </c>
      <c r="L25" s="3">
        <v>13375718.720641829</v>
      </c>
      <c r="M25" s="4">
        <f t="shared" si="2"/>
        <v>29615616.129999995</v>
      </c>
      <c r="N25" s="4">
        <f t="shared" si="1"/>
        <v>0</v>
      </c>
    </row>
    <row r="26" spans="1:14" x14ac:dyDescent="0.25">
      <c r="A26" s="42">
        <v>105433</v>
      </c>
      <c r="B26" s="43">
        <v>45857</v>
      </c>
      <c r="C26" s="44">
        <v>29615616.129999999</v>
      </c>
      <c r="G26" s="34"/>
      <c r="H26" s="34"/>
      <c r="I26" s="34"/>
      <c r="J26" s="3">
        <v>16179924.655885659</v>
      </c>
      <c r="K26" s="3">
        <v>59972.75347250879</v>
      </c>
      <c r="L26" s="3">
        <v>13375718.720641829</v>
      </c>
      <c r="M26" s="4">
        <f t="shared" si="2"/>
        <v>29615616.129999995</v>
      </c>
      <c r="N26" s="4">
        <f t="shared" si="1"/>
        <v>0</v>
      </c>
    </row>
    <row r="27" spans="1:14" x14ac:dyDescent="0.25">
      <c r="A27" s="42">
        <v>105433</v>
      </c>
      <c r="B27" s="43">
        <v>45858</v>
      </c>
      <c r="C27" s="44">
        <v>29615616.129999999</v>
      </c>
      <c r="G27" s="10"/>
      <c r="J27" s="3">
        <v>16179924.655885659</v>
      </c>
      <c r="K27" s="3">
        <v>59972.75347250879</v>
      </c>
      <c r="L27" s="3">
        <v>13375718.720641829</v>
      </c>
      <c r="M27" s="4">
        <f t="shared" si="2"/>
        <v>29615616.129999995</v>
      </c>
      <c r="N27" s="4">
        <f t="shared" si="1"/>
        <v>0</v>
      </c>
    </row>
    <row r="28" spans="1:14" x14ac:dyDescent="0.25">
      <c r="A28" s="25">
        <v>105433</v>
      </c>
      <c r="B28" s="2">
        <v>45859</v>
      </c>
      <c r="C28" s="33">
        <v>29513798.609999999</v>
      </c>
      <c r="G28" s="34"/>
      <c r="H28" s="34"/>
      <c r="I28" s="34"/>
      <c r="J28" s="3">
        <v>16124298.603906266</v>
      </c>
      <c r="K28" s="3">
        <v>59766.569106823525</v>
      </c>
      <c r="L28" s="3">
        <v>13329733.436986908</v>
      </c>
      <c r="M28" s="4">
        <f t="shared" si="2"/>
        <v>29513798.609999999</v>
      </c>
      <c r="N28" s="4">
        <f t="shared" si="1"/>
        <v>0</v>
      </c>
    </row>
    <row r="29" spans="1:14" x14ac:dyDescent="0.25">
      <c r="A29" s="25">
        <v>105433</v>
      </c>
      <c r="B29" s="2">
        <v>45860</v>
      </c>
      <c r="C29" s="33">
        <v>29516896.460000001</v>
      </c>
      <c r="G29" s="34"/>
      <c r="H29" s="34"/>
      <c r="I29" s="34"/>
      <c r="J29" s="3">
        <v>16125991.054921813</v>
      </c>
      <c r="K29" s="3">
        <v>59772.84237135834</v>
      </c>
      <c r="L29" s="3">
        <v>13331132.562706828</v>
      </c>
      <c r="M29" s="4">
        <f t="shared" si="2"/>
        <v>29516896.460000001</v>
      </c>
      <c r="N29" s="4">
        <f t="shared" si="1"/>
        <v>0</v>
      </c>
    </row>
    <row r="30" spans="1:14" x14ac:dyDescent="0.25">
      <c r="A30" s="25">
        <v>105433</v>
      </c>
      <c r="B30" s="2">
        <v>45861</v>
      </c>
      <c r="C30" s="33">
        <v>29846633.559999999</v>
      </c>
      <c r="G30" s="10"/>
      <c r="H30" s="34"/>
      <c r="I30" s="34"/>
      <c r="J30" s="3">
        <v>16306136.604176344</v>
      </c>
      <c r="K30" s="3">
        <v>60440.572589167583</v>
      </c>
      <c r="L30" s="3">
        <v>13480056.383234486</v>
      </c>
      <c r="M30" s="4">
        <f t="shared" si="2"/>
        <v>29846633.559999999</v>
      </c>
      <c r="N30" s="4">
        <f t="shared" si="1"/>
        <v>0</v>
      </c>
    </row>
    <row r="31" spans="1:14" x14ac:dyDescent="0.25">
      <c r="A31" s="25">
        <v>105433</v>
      </c>
      <c r="B31" s="2">
        <v>45862</v>
      </c>
      <c r="C31" s="33">
        <v>29509906.100000001</v>
      </c>
      <c r="G31" s="34"/>
      <c r="H31" s="34"/>
      <c r="I31" s="34"/>
      <c r="J31" s="3">
        <v>16122172.005619545</v>
      </c>
      <c r="K31" s="3">
        <v>59758.686625446324</v>
      </c>
      <c r="L31" s="3">
        <v>13327975.407755008</v>
      </c>
      <c r="M31" s="4">
        <f t="shared" si="2"/>
        <v>29509906.100000001</v>
      </c>
      <c r="N31" s="4">
        <f t="shared" si="1"/>
        <v>0</v>
      </c>
    </row>
    <row r="32" spans="1:14" x14ac:dyDescent="0.25">
      <c r="A32" s="25">
        <v>105433</v>
      </c>
      <c r="B32" s="2">
        <v>45863</v>
      </c>
      <c r="C32" s="33">
        <v>29465415.609999999</v>
      </c>
      <c r="G32" s="34"/>
      <c r="H32" s="34"/>
      <c r="I32" s="34"/>
      <c r="J32" s="3">
        <v>16097865.47851764</v>
      </c>
      <c r="K32" s="3">
        <v>59668.591684421663</v>
      </c>
      <c r="L32" s="3">
        <v>13307881.539797936</v>
      </c>
      <c r="M32" s="4">
        <f t="shared" si="2"/>
        <v>29465415.609999999</v>
      </c>
      <c r="N32" s="4">
        <f t="shared" si="1"/>
        <v>0</v>
      </c>
    </row>
    <row r="33" spans="1:14" x14ac:dyDescent="0.25">
      <c r="A33" s="42">
        <v>105433</v>
      </c>
      <c r="B33" s="43">
        <v>45864</v>
      </c>
      <c r="C33" s="44">
        <v>29465415.609999999</v>
      </c>
      <c r="G33" s="34"/>
      <c r="H33" s="34"/>
      <c r="I33" s="34"/>
      <c r="J33" s="3">
        <v>16097865.47851764</v>
      </c>
      <c r="K33" s="3">
        <v>59668.591684421663</v>
      </c>
      <c r="L33" s="3">
        <v>13307881.539797936</v>
      </c>
      <c r="M33" s="4">
        <f t="shared" si="2"/>
        <v>29465415.609999999</v>
      </c>
      <c r="N33" s="4">
        <f t="shared" si="1"/>
        <v>0</v>
      </c>
    </row>
    <row r="34" spans="1:14" x14ac:dyDescent="0.25">
      <c r="A34" s="42">
        <v>105433</v>
      </c>
      <c r="B34" s="43">
        <v>45865</v>
      </c>
      <c r="C34" s="44">
        <v>29465415.609999999</v>
      </c>
      <c r="G34" s="34"/>
      <c r="H34" s="34"/>
      <c r="I34" s="34"/>
      <c r="J34" s="3">
        <v>16097865.47851764</v>
      </c>
      <c r="K34" s="3">
        <v>59668.591684421663</v>
      </c>
      <c r="L34" s="3">
        <v>13307881.539797936</v>
      </c>
      <c r="M34" s="4">
        <f t="shared" si="2"/>
        <v>29465415.609999999</v>
      </c>
      <c r="N34" s="4">
        <f t="shared" si="1"/>
        <v>0</v>
      </c>
    </row>
    <row r="35" spans="1:14" x14ac:dyDescent="0.25">
      <c r="A35" s="25">
        <v>105433</v>
      </c>
      <c r="B35" s="2">
        <v>45866</v>
      </c>
      <c r="C35" s="33">
        <v>29587309.239999998</v>
      </c>
      <c r="G35" s="34"/>
      <c r="H35" s="34"/>
      <c r="I35" s="34"/>
      <c r="J35" s="3">
        <v>16164459.72868536</v>
      </c>
      <c r="K35" s="3">
        <v>59915.430939420447</v>
      </c>
      <c r="L35" s="3">
        <v>13362934.080375217</v>
      </c>
      <c r="M35" s="4">
        <f t="shared" si="2"/>
        <v>29587309.239999998</v>
      </c>
      <c r="N35" s="4">
        <f t="shared" si="1"/>
        <v>0</v>
      </c>
    </row>
    <row r="36" spans="1:14" x14ac:dyDescent="0.25">
      <c r="A36" s="25">
        <v>105433</v>
      </c>
      <c r="B36" s="2">
        <v>45867</v>
      </c>
      <c r="C36" s="33">
        <v>29694508.98</v>
      </c>
      <c r="G36" s="34"/>
      <c r="H36" s="34"/>
      <c r="I36" s="34"/>
      <c r="J36" s="3">
        <v>16223026.253478121</v>
      </c>
      <c r="K36" s="3">
        <v>60132.514506114327</v>
      </c>
      <c r="L36" s="3">
        <v>13411350.212015763</v>
      </c>
      <c r="M36" s="4">
        <f t="shared" si="2"/>
        <v>29694508.979999997</v>
      </c>
      <c r="N36" s="4">
        <f t="shared" si="1"/>
        <v>0</v>
      </c>
    </row>
    <row r="37" spans="1:14" x14ac:dyDescent="0.25">
      <c r="A37" s="25">
        <v>105433</v>
      </c>
      <c r="B37" s="2">
        <v>45868</v>
      </c>
      <c r="C37" s="33">
        <v>29658237.82</v>
      </c>
      <c r="G37" s="34"/>
      <c r="H37" s="34"/>
      <c r="I37" s="34"/>
      <c r="J37" s="3">
        <v>16203210.199899986</v>
      </c>
      <c r="K37" s="3">
        <v>60059.064022177292</v>
      </c>
      <c r="L37" s="3">
        <v>13394968.556077834</v>
      </c>
      <c r="M37" s="4">
        <f t="shared" ref="M37" si="3">SUM(J37:L37)</f>
        <v>29658237.82</v>
      </c>
      <c r="N37" s="4">
        <f t="shared" ref="N37" si="4">+C37-M37</f>
        <v>0</v>
      </c>
    </row>
    <row r="38" spans="1:14" x14ac:dyDescent="0.25">
      <c r="A38" s="25">
        <v>105433</v>
      </c>
      <c r="B38" s="2">
        <v>45869</v>
      </c>
      <c r="C38" s="33">
        <v>29658636.66</v>
      </c>
      <c r="J38" s="3">
        <v>16203428.098495154</v>
      </c>
      <c r="K38" s="3">
        <v>60059.87168840615</v>
      </c>
      <c r="L38" s="3">
        <v>13395148.689816438</v>
      </c>
      <c r="M38" s="4">
        <f t="shared" si="2"/>
        <v>29658636.659999996</v>
      </c>
      <c r="N38" s="4">
        <f t="shared" si="1"/>
        <v>0</v>
      </c>
    </row>
    <row r="39" spans="1:14" x14ac:dyDescent="0.25">
      <c r="A39" s="5"/>
      <c r="B39" s="6"/>
      <c r="J39" s="7"/>
    </row>
    <row r="40" spans="1:14" x14ac:dyDescent="0.25">
      <c r="A40" s="19" t="s">
        <v>8</v>
      </c>
      <c r="B40" s="8">
        <f>COUNT(B8:B38)</f>
        <v>31</v>
      </c>
      <c r="C40" s="4">
        <f>AVERAGE(C8:C38)</f>
        <v>29619180.705806457</v>
      </c>
      <c r="J40" s="4">
        <f>AVERAGE(J8:J38)</f>
        <v>16181872.093606532</v>
      </c>
      <c r="K40" s="4">
        <f>AVERAGE(K8:K38)</f>
        <v>59979.971874622621</v>
      </c>
      <c r="L40" s="4">
        <f>AVERAGE(L8:L38)</f>
        <v>13377328.640325293</v>
      </c>
      <c r="M40" s="4">
        <f>SUM(J40:L40)</f>
        <v>29619180.705806449</v>
      </c>
      <c r="N40" s="4">
        <f>M40-C40</f>
        <v>0</v>
      </c>
    </row>
    <row r="41" spans="1:14" x14ac:dyDescent="0.25">
      <c r="A41" s="19" t="s">
        <v>9</v>
      </c>
      <c r="B41" s="8">
        <v>1.62</v>
      </c>
      <c r="C41" s="9">
        <f>+C40*$B$42</f>
        <v>41318.757084600009</v>
      </c>
      <c r="D41" s="10">
        <f>C41*1.16</f>
        <v>47929.758218136005</v>
      </c>
      <c r="J41" s="20">
        <f>(+J40*$B$42)</f>
        <v>22573.711570581116</v>
      </c>
      <c r="K41" s="20">
        <f>(+K40*$B$42)</f>
        <v>83.672060765098564</v>
      </c>
      <c r="L41" s="20">
        <f>(+L40*$B$42)</f>
        <v>18661.373453253786</v>
      </c>
      <c r="M41" s="4">
        <f>SUM(J41:L41)</f>
        <v>41318.757084600002</v>
      </c>
      <c r="N41" s="4">
        <f>+C41/M41</f>
        <v>1.0000000000000002</v>
      </c>
    </row>
    <row r="42" spans="1:14" x14ac:dyDescent="0.25">
      <c r="A42" s="19" t="s">
        <v>10</v>
      </c>
      <c r="B42" s="11">
        <f>B41/360*B40/100</f>
        <v>1.3950000000000002E-3</v>
      </c>
      <c r="D42" s="10">
        <f>D41-C41</f>
        <v>6611.0011335359959</v>
      </c>
      <c r="M42" s="32">
        <f>C41/M41</f>
        <v>1.0000000000000002</v>
      </c>
    </row>
    <row r="46" spans="1:14" x14ac:dyDescent="0.25">
      <c r="J46" t="s">
        <v>19</v>
      </c>
      <c r="M46" s="10">
        <f>+'JUL24'!M41+'AGO24'!M41+'JUL25'!M41</f>
        <v>121580.20981035002</v>
      </c>
    </row>
  </sheetData>
  <mergeCells count="1">
    <mergeCell ref="A6:C6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8B60C-51AA-4228-B1CA-6CE1E8764FDE}">
  <dimension ref="A1:N46"/>
  <sheetViews>
    <sheetView topLeftCell="A2" workbookViewId="0">
      <selection activeCell="A16" sqref="A16:C16"/>
    </sheetView>
  </sheetViews>
  <sheetFormatPr baseColWidth="10" defaultRowHeight="15" x14ac:dyDescent="0.25"/>
  <cols>
    <col min="3" max="3" width="15.140625" bestFit="1" customWidth="1"/>
    <col min="6" max="6" width="14.140625" bestFit="1" customWidth="1"/>
    <col min="8" max="9" width="14.140625" bestFit="1" customWidth="1"/>
    <col min="10" max="12" width="17" bestFit="1" customWidth="1"/>
    <col min="13" max="14" width="15.140625" bestFit="1" customWidth="1"/>
  </cols>
  <sheetData>
    <row r="1" spans="1:14" x14ac:dyDescent="0.25">
      <c r="D1" s="38" t="s">
        <v>15</v>
      </c>
      <c r="E1" s="35">
        <v>45869</v>
      </c>
      <c r="F1" s="36">
        <v>16204284.210000001</v>
      </c>
      <c r="G1" s="36">
        <v>60444.02</v>
      </c>
      <c r="H1" s="36">
        <v>13394982.310000001</v>
      </c>
      <c r="I1" s="37">
        <f>+F1+G1+H1</f>
        <v>29659710.539999999</v>
      </c>
    </row>
    <row r="2" spans="1:14" x14ac:dyDescent="0.25">
      <c r="D2" s="38" t="s">
        <v>16</v>
      </c>
      <c r="E2" s="35">
        <v>45900</v>
      </c>
      <c r="F2" s="36">
        <v>16183005.77</v>
      </c>
      <c r="G2" s="36">
        <v>60705.19</v>
      </c>
      <c r="H2" s="36">
        <v>13458874.029999999</v>
      </c>
      <c r="I2" s="37">
        <f>+F2+G2+H2</f>
        <v>29702584.989999998</v>
      </c>
    </row>
    <row r="3" spans="1:14" x14ac:dyDescent="0.25">
      <c r="E3" s="38"/>
      <c r="F3" s="37"/>
    </row>
    <row r="4" spans="1:14" x14ac:dyDescent="0.25">
      <c r="E4" s="35">
        <f>+E1</f>
        <v>45869</v>
      </c>
      <c r="F4" s="13">
        <f t="shared" ref="F4:H5" si="0">+F1/$I1</f>
        <v>0.54633993100325118</v>
      </c>
      <c r="G4" s="13">
        <f t="shared" si="0"/>
        <v>2.0379167193315434E-3</v>
      </c>
      <c r="H4" s="13">
        <f t="shared" si="0"/>
        <v>0.45162215227741737</v>
      </c>
      <c r="I4" s="12">
        <f>+F4+G4+H4</f>
        <v>1</v>
      </c>
    </row>
    <row r="5" spans="1:14" x14ac:dyDescent="0.25">
      <c r="E5" s="35">
        <f>+E2</f>
        <v>45900</v>
      </c>
      <c r="F5" s="13">
        <f t="shared" si="0"/>
        <v>0.5448349285238423</v>
      </c>
      <c r="G5" s="13">
        <f t="shared" si="0"/>
        <v>2.0437679084307878E-3</v>
      </c>
      <c r="H5" s="13">
        <f t="shared" si="0"/>
        <v>0.45312130356772695</v>
      </c>
      <c r="I5" s="12">
        <f>+F5+G5+H5</f>
        <v>1</v>
      </c>
    </row>
    <row r="6" spans="1:14" x14ac:dyDescent="0.25">
      <c r="A6" s="46" t="s">
        <v>0</v>
      </c>
      <c r="B6" s="46"/>
      <c r="C6" s="46"/>
      <c r="E6" s="39" t="s">
        <v>17</v>
      </c>
      <c r="F6" s="40">
        <f>AVERAGE(F4:F5)</f>
        <v>0.54558742976354679</v>
      </c>
      <c r="G6" s="40">
        <f>AVERAGE(G4:G5)</f>
        <v>2.0408423138811656E-3</v>
      </c>
      <c r="H6" s="40">
        <f>AVERAGE(H4:H5)</f>
        <v>0.45237172792257219</v>
      </c>
      <c r="I6" s="12"/>
    </row>
    <row r="7" spans="1:14" x14ac:dyDescent="0.25">
      <c r="A7" s="16" t="s">
        <v>1</v>
      </c>
      <c r="B7" s="17" t="s">
        <v>2</v>
      </c>
      <c r="C7" s="18" t="s">
        <v>3</v>
      </c>
      <c r="E7" s="35"/>
      <c r="F7" s="13"/>
      <c r="G7" s="13"/>
      <c r="H7" s="13"/>
      <c r="I7" s="12"/>
      <c r="J7" s="28" t="s">
        <v>4</v>
      </c>
      <c r="K7" s="14" t="s">
        <v>5</v>
      </c>
      <c r="L7" s="15" t="s">
        <v>6</v>
      </c>
    </row>
    <row r="8" spans="1:14" x14ac:dyDescent="0.25">
      <c r="A8" s="25">
        <v>105433</v>
      </c>
      <c r="B8" s="2">
        <v>45870</v>
      </c>
      <c r="C8" s="33">
        <v>29709093.23</v>
      </c>
      <c r="J8" s="3">
        <v>16208907.815961288</v>
      </c>
      <c r="K8" s="3">
        <v>60631.574570824472</v>
      </c>
      <c r="L8" s="3">
        <v>13439553.839467892</v>
      </c>
      <c r="M8" s="4">
        <f>SUM(J8:L8)</f>
        <v>29709093.230000004</v>
      </c>
      <c r="N8" s="4">
        <f>+C8-M8</f>
        <v>0</v>
      </c>
    </row>
    <row r="9" spans="1:14" x14ac:dyDescent="0.25">
      <c r="A9" s="42">
        <v>105433</v>
      </c>
      <c r="B9" s="43">
        <v>45871</v>
      </c>
      <c r="C9" s="44">
        <v>29709093.23</v>
      </c>
      <c r="J9" s="3">
        <v>16208907.815961288</v>
      </c>
      <c r="K9" s="3">
        <v>60631.574570824472</v>
      </c>
      <c r="L9" s="3">
        <v>13439553.839467892</v>
      </c>
      <c r="M9" s="4">
        <f>SUM(J9:L9)</f>
        <v>29709093.230000004</v>
      </c>
      <c r="N9" s="4">
        <f t="shared" ref="N9:N38" si="1">+C9-M9</f>
        <v>0</v>
      </c>
    </row>
    <row r="10" spans="1:14" x14ac:dyDescent="0.25">
      <c r="A10" s="42">
        <v>105433</v>
      </c>
      <c r="B10" s="43">
        <v>45872</v>
      </c>
      <c r="C10" s="44">
        <v>29709093.23</v>
      </c>
      <c r="J10" s="3">
        <v>16208907.815961288</v>
      </c>
      <c r="K10" s="3">
        <v>60631.574570824472</v>
      </c>
      <c r="L10" s="3">
        <v>13439553.839467892</v>
      </c>
      <c r="M10" s="4">
        <f>SUM(J10:L10)</f>
        <v>29709093.230000004</v>
      </c>
      <c r="N10" s="4">
        <f t="shared" si="1"/>
        <v>0</v>
      </c>
    </row>
    <row r="11" spans="1:14" x14ac:dyDescent="0.25">
      <c r="A11" s="25">
        <v>105433</v>
      </c>
      <c r="B11" s="2">
        <v>45873</v>
      </c>
      <c r="C11" s="33">
        <v>29644677.84</v>
      </c>
      <c r="J11" s="3">
        <v>16173763.588893972</v>
      </c>
      <c r="K11" s="3">
        <v>60500.112917247316</v>
      </c>
      <c r="L11" s="3">
        <v>13410414.138188785</v>
      </c>
      <c r="M11" s="4">
        <f t="shared" ref="M11:M38" si="2">SUM(J11:L11)</f>
        <v>29644677.840000004</v>
      </c>
      <c r="N11" s="4">
        <f t="shared" si="1"/>
        <v>0</v>
      </c>
    </row>
    <row r="12" spans="1:14" x14ac:dyDescent="0.25">
      <c r="A12" s="25">
        <v>105433</v>
      </c>
      <c r="B12" s="2">
        <v>45874</v>
      </c>
      <c r="C12" s="33">
        <v>29622509.039999999</v>
      </c>
      <c r="J12" s="3">
        <v>16161668.570281029</v>
      </c>
      <c r="K12" s="3">
        <v>60454.869892159346</v>
      </c>
      <c r="L12" s="3">
        <v>13400385.599826815</v>
      </c>
      <c r="M12" s="4">
        <f t="shared" si="2"/>
        <v>29622509.040000003</v>
      </c>
      <c r="N12" s="4">
        <f t="shared" si="1"/>
        <v>0</v>
      </c>
    </row>
    <row r="13" spans="1:14" x14ac:dyDescent="0.25">
      <c r="A13" s="25">
        <v>105433</v>
      </c>
      <c r="B13" s="2">
        <v>45875</v>
      </c>
      <c r="C13" s="33">
        <v>29427978.989999998</v>
      </c>
      <c r="E13" t="s">
        <v>7</v>
      </c>
      <c r="J13" s="3">
        <v>16055535.420289755</v>
      </c>
      <c r="K13" s="3">
        <v>60057.86473479792</v>
      </c>
      <c r="L13" s="3">
        <v>13312385.70497545</v>
      </c>
      <c r="M13" s="4">
        <f t="shared" si="2"/>
        <v>29427978.990000002</v>
      </c>
      <c r="N13" s="4">
        <f t="shared" si="1"/>
        <v>0</v>
      </c>
    </row>
    <row r="14" spans="1:14" x14ac:dyDescent="0.25">
      <c r="A14" s="25">
        <v>105433</v>
      </c>
      <c r="B14" s="2">
        <v>45876</v>
      </c>
      <c r="C14" s="33">
        <v>29557461.399999999</v>
      </c>
      <c r="J14" s="3">
        <v>16126179.395561244</v>
      </c>
      <c r="K14" s="3">
        <v>60322.11791602923</v>
      </c>
      <c r="L14" s="3">
        <v>13370959.886522729</v>
      </c>
      <c r="M14" s="4">
        <f t="shared" si="2"/>
        <v>29557461.400000002</v>
      </c>
      <c r="N14" s="4">
        <f t="shared" si="1"/>
        <v>0</v>
      </c>
    </row>
    <row r="15" spans="1:14" x14ac:dyDescent="0.25">
      <c r="A15" s="25">
        <v>105433</v>
      </c>
      <c r="B15" s="2">
        <v>45877</v>
      </c>
      <c r="C15" s="33">
        <v>29416104.59</v>
      </c>
      <c r="J15" s="3">
        <v>16049056.896913771</v>
      </c>
      <c r="K15" s="3">
        <v>60033.630956825975</v>
      </c>
      <c r="L15" s="3">
        <v>13307014.062129406</v>
      </c>
      <c r="M15" s="4">
        <f t="shared" si="2"/>
        <v>29416104.590000004</v>
      </c>
      <c r="N15" s="4">
        <f t="shared" si="1"/>
        <v>0</v>
      </c>
    </row>
    <row r="16" spans="1:14" x14ac:dyDescent="0.25">
      <c r="A16" s="42">
        <v>105433</v>
      </c>
      <c r="B16" s="43">
        <v>45878</v>
      </c>
      <c r="C16" s="44">
        <v>29416104.59</v>
      </c>
      <c r="J16" s="3">
        <v>16049056.896913771</v>
      </c>
      <c r="K16" s="3">
        <v>60033.630956825975</v>
      </c>
      <c r="L16" s="3">
        <v>13307014.062129406</v>
      </c>
      <c r="M16" s="4">
        <f t="shared" si="2"/>
        <v>29416104.590000004</v>
      </c>
      <c r="N16" s="4">
        <f t="shared" si="1"/>
        <v>0</v>
      </c>
    </row>
    <row r="17" spans="1:14" x14ac:dyDescent="0.25">
      <c r="A17" s="42">
        <v>105433</v>
      </c>
      <c r="B17" s="43">
        <v>45879</v>
      </c>
      <c r="C17" s="44">
        <v>29416104.59</v>
      </c>
      <c r="J17" s="3">
        <v>16049056.896913771</v>
      </c>
      <c r="K17" s="3">
        <v>60033.630956825975</v>
      </c>
      <c r="L17" s="3">
        <v>13307014.062129406</v>
      </c>
      <c r="M17" s="4">
        <f t="shared" si="2"/>
        <v>29416104.590000004</v>
      </c>
      <c r="N17" s="4">
        <f t="shared" si="1"/>
        <v>0</v>
      </c>
    </row>
    <row r="18" spans="1:14" x14ac:dyDescent="0.25">
      <c r="A18" s="25">
        <v>105433</v>
      </c>
      <c r="B18" s="2">
        <v>45880</v>
      </c>
      <c r="C18" s="33">
        <v>29561348.899999999</v>
      </c>
      <c r="J18" s="3">
        <v>16128300.36669445</v>
      </c>
      <c r="K18" s="3">
        <v>60330.051690524444</v>
      </c>
      <c r="L18" s="3">
        <v>13372718.481615027</v>
      </c>
      <c r="M18" s="4">
        <f t="shared" si="2"/>
        <v>29561348.900000002</v>
      </c>
      <c r="N18" s="4">
        <f t="shared" si="1"/>
        <v>0</v>
      </c>
    </row>
    <row r="19" spans="1:14" x14ac:dyDescent="0.25">
      <c r="A19" s="25">
        <v>105433</v>
      </c>
      <c r="B19" s="2">
        <v>45881</v>
      </c>
      <c r="C19" s="33">
        <v>29455966.219999999</v>
      </c>
      <c r="J19" s="3">
        <v>16070804.901171656</v>
      </c>
      <c r="K19" s="3">
        <v>60114.98225803025</v>
      </c>
      <c r="L19" s="3">
        <v>13325046.336570317</v>
      </c>
      <c r="M19" s="4">
        <f t="shared" si="2"/>
        <v>29455966.220000006</v>
      </c>
      <c r="N19" s="4">
        <f t="shared" si="1"/>
        <v>0</v>
      </c>
    </row>
    <row r="20" spans="1:14" x14ac:dyDescent="0.25">
      <c r="A20" s="25">
        <v>105433</v>
      </c>
      <c r="B20" s="2">
        <v>45882</v>
      </c>
      <c r="C20" s="33">
        <v>29577685.82</v>
      </c>
      <c r="J20" s="3">
        <v>16137213.584887505</v>
      </c>
      <c r="K20" s="3">
        <v>60363.39276813894</v>
      </c>
      <c r="L20" s="3">
        <v>13380108.842344362</v>
      </c>
      <c r="M20" s="4">
        <f t="shared" si="2"/>
        <v>29577685.820000008</v>
      </c>
      <c r="N20" s="4">
        <f t="shared" si="1"/>
        <v>0</v>
      </c>
    </row>
    <row r="21" spans="1:14" x14ac:dyDescent="0.25">
      <c r="A21" s="25">
        <v>105433</v>
      </c>
      <c r="B21" s="2">
        <v>45883</v>
      </c>
      <c r="C21" s="33">
        <v>29715174.969999999</v>
      </c>
      <c r="G21" s="34"/>
      <c r="H21" s="34"/>
      <c r="I21" s="34"/>
      <c r="J21" s="3">
        <v>16212225.936856378</v>
      </c>
      <c r="K21" s="3">
        <v>60643.986443158494</v>
      </c>
      <c r="L21" s="3">
        <v>13442305.046700466</v>
      </c>
      <c r="M21" s="4">
        <f t="shared" si="2"/>
        <v>29715174.970000003</v>
      </c>
      <c r="N21" s="4">
        <f t="shared" si="1"/>
        <v>0</v>
      </c>
    </row>
    <row r="22" spans="1:14" x14ac:dyDescent="0.25">
      <c r="A22" s="25">
        <v>105433</v>
      </c>
      <c r="B22" s="2">
        <v>45884</v>
      </c>
      <c r="C22" s="33">
        <v>29607662.539999999</v>
      </c>
      <c r="G22" s="34"/>
      <c r="H22" s="34"/>
      <c r="I22" s="34"/>
      <c r="J22" s="3">
        <v>16153568.506505044</v>
      </c>
      <c r="K22" s="3">
        <v>60424.570526746305</v>
      </c>
      <c r="L22" s="3">
        <v>13393669.462968212</v>
      </c>
      <c r="M22" s="4">
        <f t="shared" si="2"/>
        <v>29607662.540000003</v>
      </c>
      <c r="N22" s="4">
        <f t="shared" si="1"/>
        <v>0</v>
      </c>
    </row>
    <row r="23" spans="1:14" x14ac:dyDescent="0.25">
      <c r="A23" s="42">
        <v>105433</v>
      </c>
      <c r="B23" s="43">
        <v>45885</v>
      </c>
      <c r="C23" s="44">
        <v>29607662.539999999</v>
      </c>
      <c r="G23" s="34"/>
      <c r="H23" s="34"/>
      <c r="I23" s="34"/>
      <c r="J23" s="3">
        <v>16153568.506505044</v>
      </c>
      <c r="K23" s="3">
        <v>60424.570526746305</v>
      </c>
      <c r="L23" s="3">
        <v>13393669.462968212</v>
      </c>
      <c r="M23" s="4">
        <f t="shared" si="2"/>
        <v>29607662.540000003</v>
      </c>
      <c r="N23" s="4">
        <f t="shared" si="1"/>
        <v>0</v>
      </c>
    </row>
    <row r="24" spans="1:14" x14ac:dyDescent="0.25">
      <c r="A24" s="42">
        <v>105433</v>
      </c>
      <c r="B24" s="43">
        <v>45886</v>
      </c>
      <c r="C24" s="44">
        <v>29607662.539999999</v>
      </c>
      <c r="G24" s="34"/>
      <c r="H24" s="34"/>
      <c r="I24" s="34"/>
      <c r="J24" s="3">
        <v>16153568.506505044</v>
      </c>
      <c r="K24" s="3">
        <v>60424.570526746305</v>
      </c>
      <c r="L24" s="3">
        <v>13393669.462968212</v>
      </c>
      <c r="M24" s="4">
        <f t="shared" si="2"/>
        <v>29607662.540000003</v>
      </c>
      <c r="N24" s="4">
        <f t="shared" si="1"/>
        <v>0</v>
      </c>
    </row>
    <row r="25" spans="1:14" x14ac:dyDescent="0.25">
      <c r="A25" s="25">
        <v>105433</v>
      </c>
      <c r="B25" s="2">
        <v>45887</v>
      </c>
      <c r="C25" s="33">
        <v>29634672.989999998</v>
      </c>
      <c r="G25" s="34"/>
      <c r="H25" s="34"/>
      <c r="I25" s="34"/>
      <c r="J25" s="3">
        <v>16168305.068497302</v>
      </c>
      <c r="K25" s="3">
        <v>60479.694596023277</v>
      </c>
      <c r="L25" s="3">
        <v>13405888.226906678</v>
      </c>
      <c r="M25" s="4">
        <f t="shared" si="2"/>
        <v>29634672.990000002</v>
      </c>
      <c r="N25" s="4">
        <f t="shared" si="1"/>
        <v>0</v>
      </c>
    </row>
    <row r="26" spans="1:14" x14ac:dyDescent="0.25">
      <c r="A26" s="25">
        <v>105433</v>
      </c>
      <c r="B26" s="2">
        <v>45888</v>
      </c>
      <c r="C26" s="33">
        <v>29686812.57</v>
      </c>
      <c r="G26" s="34"/>
      <c r="H26" s="34"/>
      <c r="I26" s="34"/>
      <c r="J26" s="3">
        <v>16196751.767938454</v>
      </c>
      <c r="K26" s="3">
        <v>60586.103257115275</v>
      </c>
      <c r="L26" s="3">
        <v>13429474.698804436</v>
      </c>
      <c r="M26" s="4">
        <f t="shared" si="2"/>
        <v>29686812.570000008</v>
      </c>
      <c r="N26" s="4">
        <f t="shared" si="1"/>
        <v>0</v>
      </c>
    </row>
    <row r="27" spans="1:14" x14ac:dyDescent="0.25">
      <c r="A27" s="25">
        <v>105433</v>
      </c>
      <c r="B27" s="2">
        <v>45889</v>
      </c>
      <c r="C27" s="33">
        <v>29693962.050000001</v>
      </c>
      <c r="G27" s="10"/>
      <c r="J27" s="3">
        <v>16200652.434355799</v>
      </c>
      <c r="K27" s="3">
        <v>60600.694218421522</v>
      </c>
      <c r="L27" s="3">
        <v>13432708.921425784</v>
      </c>
      <c r="M27" s="4">
        <f t="shared" si="2"/>
        <v>29693962.050000004</v>
      </c>
      <c r="N27" s="4">
        <f t="shared" si="1"/>
        <v>0</v>
      </c>
    </row>
    <row r="28" spans="1:14" x14ac:dyDescent="0.25">
      <c r="A28" s="25">
        <v>105433</v>
      </c>
      <c r="B28" s="2">
        <v>45890</v>
      </c>
      <c r="C28" s="33">
        <v>29750492.550000001</v>
      </c>
      <c r="G28" s="34"/>
      <c r="H28" s="34"/>
      <c r="I28" s="34"/>
      <c r="J28" s="3">
        <v>16231494.764554048</v>
      </c>
      <c r="K28" s="3">
        <v>60716.064054846378</v>
      </c>
      <c r="L28" s="3">
        <v>13458281.721391112</v>
      </c>
      <c r="M28" s="4">
        <f t="shared" si="2"/>
        <v>29750492.550000004</v>
      </c>
      <c r="N28" s="4">
        <f t="shared" si="1"/>
        <v>0</v>
      </c>
    </row>
    <row r="29" spans="1:14" x14ac:dyDescent="0.25">
      <c r="A29" s="25">
        <v>105433</v>
      </c>
      <c r="B29" s="2">
        <v>45891</v>
      </c>
      <c r="C29" s="33">
        <v>29636713.149999999</v>
      </c>
      <c r="G29" s="34"/>
      <c r="H29" s="34"/>
      <c r="I29" s="34"/>
      <c r="J29" s="3">
        <v>16169418.154148009</v>
      </c>
      <c r="K29" s="3">
        <v>60483.858240878362</v>
      </c>
      <c r="L29" s="3">
        <v>13406811.137611117</v>
      </c>
      <c r="M29" s="4">
        <f t="shared" si="2"/>
        <v>29636713.150000006</v>
      </c>
      <c r="N29" s="4">
        <f t="shared" si="1"/>
        <v>0</v>
      </c>
    </row>
    <row r="30" spans="1:14" x14ac:dyDescent="0.25">
      <c r="A30" s="42">
        <v>105433</v>
      </c>
      <c r="B30" s="43">
        <v>45892</v>
      </c>
      <c r="C30" s="44">
        <v>29636713.149999999</v>
      </c>
      <c r="G30" s="10"/>
      <c r="H30" s="34"/>
      <c r="I30" s="34"/>
      <c r="J30" s="3">
        <v>16169418.154148009</v>
      </c>
      <c r="K30" s="3">
        <v>60483.858240878362</v>
      </c>
      <c r="L30" s="3">
        <v>13406811.137611117</v>
      </c>
      <c r="M30" s="4">
        <f t="shared" si="2"/>
        <v>29636713.150000006</v>
      </c>
      <c r="N30" s="4">
        <f t="shared" si="1"/>
        <v>0</v>
      </c>
    </row>
    <row r="31" spans="1:14" x14ac:dyDescent="0.25">
      <c r="A31" s="42">
        <v>105433</v>
      </c>
      <c r="B31" s="43">
        <v>45893</v>
      </c>
      <c r="C31" s="44">
        <v>29636713.149999999</v>
      </c>
      <c r="G31" s="34"/>
      <c r="H31" s="34"/>
      <c r="I31" s="34"/>
      <c r="J31" s="3">
        <v>16169418.154148009</v>
      </c>
      <c r="K31" s="3">
        <v>60483.858240878362</v>
      </c>
      <c r="L31" s="3">
        <v>13406811.137611117</v>
      </c>
      <c r="M31" s="4">
        <f t="shared" si="2"/>
        <v>29636713.150000006</v>
      </c>
      <c r="N31" s="4">
        <f t="shared" si="1"/>
        <v>0</v>
      </c>
    </row>
    <row r="32" spans="1:14" x14ac:dyDescent="0.25">
      <c r="A32" s="25">
        <v>105433</v>
      </c>
      <c r="B32" s="2">
        <v>45894</v>
      </c>
      <c r="C32" s="33">
        <v>29577191.449999999</v>
      </c>
      <c r="G32" s="34"/>
      <c r="H32" s="34"/>
      <c r="I32" s="34"/>
      <c r="J32" s="3">
        <v>16136943.862829851</v>
      </c>
      <c r="K32" s="3">
        <v>60362.383836924229</v>
      </c>
      <c r="L32" s="3">
        <v>13379885.203333229</v>
      </c>
      <c r="M32" s="4">
        <f t="shared" si="2"/>
        <v>29577191.450000003</v>
      </c>
      <c r="N32" s="4">
        <f t="shared" si="1"/>
        <v>0</v>
      </c>
    </row>
    <row r="33" spans="1:14" x14ac:dyDescent="0.25">
      <c r="A33" s="25">
        <v>105433</v>
      </c>
      <c r="B33" s="2">
        <v>45895</v>
      </c>
      <c r="C33" s="33">
        <v>29602151.300000001</v>
      </c>
      <c r="G33" s="34"/>
      <c r="H33" s="34"/>
      <c r="I33" s="34"/>
      <c r="J33" s="3">
        <v>16150561.643238636</v>
      </c>
      <c r="K33" s="3">
        <v>60413.322954952353</v>
      </c>
      <c r="L33" s="3">
        <v>13391176.333806416</v>
      </c>
      <c r="M33" s="4">
        <f t="shared" si="2"/>
        <v>29602151.300000004</v>
      </c>
      <c r="N33" s="4">
        <f t="shared" si="1"/>
        <v>0</v>
      </c>
    </row>
    <row r="34" spans="1:14" x14ac:dyDescent="0.25">
      <c r="A34" s="25">
        <v>105433</v>
      </c>
      <c r="B34" s="2">
        <v>45896</v>
      </c>
      <c r="C34" s="33">
        <v>29696059.219999999</v>
      </c>
      <c r="G34" s="34"/>
      <c r="H34" s="34"/>
      <c r="I34" s="34"/>
      <c r="J34" s="3">
        <v>16201796.623945875</v>
      </c>
      <c r="K34" s="3">
        <v>60604.974211696921</v>
      </c>
      <c r="L34" s="3">
        <v>13433657.621842431</v>
      </c>
      <c r="M34" s="4">
        <f t="shared" si="2"/>
        <v>29696059.220000003</v>
      </c>
      <c r="N34" s="4">
        <f t="shared" si="1"/>
        <v>0</v>
      </c>
    </row>
    <row r="35" spans="1:14" x14ac:dyDescent="0.25">
      <c r="A35" s="25">
        <v>105433</v>
      </c>
      <c r="B35" s="2">
        <v>45897</v>
      </c>
      <c r="C35" s="33">
        <v>29707305.239999998</v>
      </c>
      <c r="G35" s="34"/>
      <c r="H35" s="34"/>
      <c r="I35" s="34"/>
      <c r="J35" s="3">
        <v>16207932.311092746</v>
      </c>
      <c r="K35" s="3">
        <v>60627.925565175668</v>
      </c>
      <c r="L35" s="3">
        <v>13438745.003342083</v>
      </c>
      <c r="M35" s="4">
        <f t="shared" si="2"/>
        <v>29707305.240000002</v>
      </c>
      <c r="N35" s="4">
        <f t="shared" si="1"/>
        <v>0</v>
      </c>
    </row>
    <row r="36" spans="1:14" x14ac:dyDescent="0.25">
      <c r="A36" s="25">
        <v>105433</v>
      </c>
      <c r="B36" s="2">
        <v>45898</v>
      </c>
      <c r="C36" s="33">
        <v>29702284.350000001</v>
      </c>
      <c r="G36" s="34"/>
      <c r="H36" s="34"/>
      <c r="I36" s="34"/>
      <c r="J36" s="3">
        <v>16205192.976622522</v>
      </c>
      <c r="K36" s="3">
        <v>60617.678720410338</v>
      </c>
      <c r="L36" s="3">
        <v>13436473.694657074</v>
      </c>
      <c r="M36" s="4">
        <f t="shared" si="2"/>
        <v>29702284.350000009</v>
      </c>
      <c r="N36" s="4">
        <f t="shared" si="1"/>
        <v>0</v>
      </c>
    </row>
    <row r="37" spans="1:14" x14ac:dyDescent="0.25">
      <c r="A37" s="42">
        <v>105433</v>
      </c>
      <c r="B37" s="43">
        <v>45899</v>
      </c>
      <c r="C37" s="44">
        <v>29702284.350000001</v>
      </c>
      <c r="G37" s="34"/>
      <c r="H37" s="34"/>
      <c r="I37" s="34"/>
      <c r="J37" s="3">
        <v>16205192.976622522</v>
      </c>
      <c r="K37" s="3">
        <v>60617.678720410338</v>
      </c>
      <c r="L37" s="3">
        <v>13436473.694657074</v>
      </c>
      <c r="M37" s="4">
        <f t="shared" si="2"/>
        <v>29702284.350000009</v>
      </c>
      <c r="N37" s="4">
        <f t="shared" si="1"/>
        <v>0</v>
      </c>
    </row>
    <row r="38" spans="1:14" x14ac:dyDescent="0.25">
      <c r="A38" s="42">
        <v>105433</v>
      </c>
      <c r="B38" s="43">
        <v>45900</v>
      </c>
      <c r="C38" s="44">
        <v>29702284.350000001</v>
      </c>
      <c r="J38" s="3">
        <v>16205192.976622522</v>
      </c>
      <c r="K38" s="3">
        <v>60617.678720410338</v>
      </c>
      <c r="L38" s="3">
        <v>13436473.694657074</v>
      </c>
      <c r="M38" s="4">
        <f t="shared" si="2"/>
        <v>29702284.350000009</v>
      </c>
      <c r="N38" s="4">
        <f t="shared" si="1"/>
        <v>0</v>
      </c>
    </row>
    <row r="39" spans="1:14" x14ac:dyDescent="0.25">
      <c r="A39" s="5"/>
      <c r="B39" s="6"/>
      <c r="J39" s="7"/>
    </row>
    <row r="40" spans="1:14" x14ac:dyDescent="0.25">
      <c r="A40" s="19" t="s">
        <v>8</v>
      </c>
      <c r="B40" s="8">
        <f>COUNT(B8:B38)</f>
        <v>31</v>
      </c>
      <c r="C40" s="4">
        <f>AVERAGE(C8:C38)</f>
        <v>29617000.778387096</v>
      </c>
      <c r="J40" s="4">
        <f>AVERAGE(J8:J38)</f>
        <v>16158663.331985179</v>
      </c>
      <c r="K40" s="4">
        <f>AVERAGE(K8:K38)</f>
        <v>60443.628398783818</v>
      </c>
      <c r="L40" s="4">
        <f>AVERAGE(L8:L38)</f>
        <v>13397893.818003135</v>
      </c>
      <c r="M40" s="4">
        <f>SUM(J40:L40)</f>
        <v>29617000.7783871</v>
      </c>
      <c r="N40" s="4">
        <f>M40-C40</f>
        <v>0</v>
      </c>
    </row>
    <row r="41" spans="1:14" x14ac:dyDescent="0.25">
      <c r="A41" s="19" t="s">
        <v>9</v>
      </c>
      <c r="B41" s="8">
        <v>1.62</v>
      </c>
      <c r="C41" s="9">
        <f>+C40*$B$42</f>
        <v>41315.716085850006</v>
      </c>
      <c r="D41" s="10">
        <f>C41*1.16</f>
        <v>47926.230659586006</v>
      </c>
      <c r="J41" s="20">
        <f>(+J40*$B$42)</f>
        <v>22541.33534811933</v>
      </c>
      <c r="K41" s="20">
        <f>(+K40*$B$42)</f>
        <v>84.318861616303437</v>
      </c>
      <c r="L41" s="20">
        <f>(+L40*$B$42)</f>
        <v>18690.061876114374</v>
      </c>
      <c r="M41" s="4">
        <f>SUM(J41:L41)</f>
        <v>41315.716085850006</v>
      </c>
      <c r="N41" s="4">
        <f>+C41/M41</f>
        <v>1</v>
      </c>
    </row>
    <row r="42" spans="1:14" x14ac:dyDescent="0.25">
      <c r="A42" s="19" t="s">
        <v>10</v>
      </c>
      <c r="B42" s="11">
        <f>B41/360*B40/100</f>
        <v>1.3950000000000002E-3</v>
      </c>
      <c r="D42" s="10">
        <f>D41-C41</f>
        <v>6610.5145737359999</v>
      </c>
      <c r="M42" s="32">
        <f>C41/M41</f>
        <v>1</v>
      </c>
    </row>
    <row r="46" spans="1:14" x14ac:dyDescent="0.25">
      <c r="J46" t="s">
        <v>19</v>
      </c>
      <c r="M46" s="10">
        <f>+'JUL24'!M41+'AGO24'!M41+'AGO25'!M41</f>
        <v>121577.16881160002</v>
      </c>
    </row>
  </sheetData>
  <mergeCells count="1">
    <mergeCell ref="A6:C6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6C91C-E26E-4B15-A9DA-511BA5BEBDE9}">
  <dimension ref="A1:N45"/>
  <sheetViews>
    <sheetView workbookViewId="0">
      <selection activeCell="F22" sqref="F22"/>
    </sheetView>
  </sheetViews>
  <sheetFormatPr baseColWidth="10" defaultRowHeight="15" x14ac:dyDescent="0.25"/>
  <cols>
    <col min="3" max="3" width="15.140625" bestFit="1" customWidth="1"/>
    <col min="6" max="6" width="14.140625" bestFit="1" customWidth="1"/>
    <col min="8" max="9" width="14.140625" bestFit="1" customWidth="1"/>
    <col min="10" max="12" width="17" bestFit="1" customWidth="1"/>
    <col min="13" max="14" width="15.140625" bestFit="1" customWidth="1"/>
  </cols>
  <sheetData>
    <row r="1" spans="1:14" x14ac:dyDescent="0.25">
      <c r="D1" s="38" t="s">
        <v>15</v>
      </c>
      <c r="E1" s="35">
        <v>45900</v>
      </c>
      <c r="F1" s="36">
        <v>16183005.77</v>
      </c>
      <c r="G1" s="36">
        <v>60705.19</v>
      </c>
      <c r="H1" s="36">
        <v>13458874.029999999</v>
      </c>
      <c r="I1" s="37">
        <f>+F1+G1+H1</f>
        <v>29702584.989999998</v>
      </c>
    </row>
    <row r="2" spans="1:14" x14ac:dyDescent="0.25">
      <c r="D2" s="38" t="s">
        <v>16</v>
      </c>
      <c r="E2" s="35">
        <v>45930</v>
      </c>
      <c r="F2" s="36">
        <v>16129691.73</v>
      </c>
      <c r="G2" s="36">
        <v>60995.88</v>
      </c>
      <c r="H2" s="36">
        <v>13631978.189999999</v>
      </c>
      <c r="I2" s="37">
        <f>+F2+G2+H2</f>
        <v>29822665.800000001</v>
      </c>
    </row>
    <row r="3" spans="1:14" x14ac:dyDescent="0.25">
      <c r="E3" s="38"/>
      <c r="F3" s="37"/>
    </row>
    <row r="4" spans="1:14" x14ac:dyDescent="0.25">
      <c r="E4" s="35">
        <f>+E1</f>
        <v>45900</v>
      </c>
      <c r="F4" s="13">
        <f t="shared" ref="F4:H5" si="0">+F1/$I1</f>
        <v>0.5448349285238423</v>
      </c>
      <c r="G4" s="13">
        <f t="shared" si="0"/>
        <v>2.0437679084307878E-3</v>
      </c>
      <c r="H4" s="13">
        <f t="shared" si="0"/>
        <v>0.45312130356772695</v>
      </c>
      <c r="I4" s="12">
        <f>+F4+G4+H4</f>
        <v>1</v>
      </c>
    </row>
    <row r="5" spans="1:14" x14ac:dyDescent="0.25">
      <c r="E5" s="35">
        <f>+E2</f>
        <v>45930</v>
      </c>
      <c r="F5" s="13">
        <f t="shared" si="0"/>
        <v>0.54085345147112907</v>
      </c>
      <c r="G5" s="13">
        <f t="shared" si="0"/>
        <v>2.0452859717188659E-3</v>
      </c>
      <c r="H5" s="13">
        <f t="shared" si="0"/>
        <v>0.45710126255715205</v>
      </c>
      <c r="I5" s="12">
        <f>+F5+G5+H5</f>
        <v>1</v>
      </c>
    </row>
    <row r="6" spans="1:14" x14ac:dyDescent="0.25">
      <c r="A6" s="46" t="s">
        <v>0</v>
      </c>
      <c r="B6" s="46"/>
      <c r="C6" s="46"/>
      <c r="E6" s="39" t="s">
        <v>17</v>
      </c>
      <c r="F6" s="40">
        <f>AVERAGE(F4:F5)</f>
        <v>0.54284418999748563</v>
      </c>
      <c r="G6" s="40">
        <f>AVERAGE(G4:G5)</f>
        <v>2.0445269400748266E-3</v>
      </c>
      <c r="H6" s="40">
        <f>AVERAGE(H4:H5)</f>
        <v>0.45511128306243953</v>
      </c>
      <c r="I6" s="12"/>
    </row>
    <row r="7" spans="1:14" x14ac:dyDescent="0.25">
      <c r="A7" s="16" t="s">
        <v>1</v>
      </c>
      <c r="B7" s="17" t="s">
        <v>2</v>
      </c>
      <c r="C7" s="18" t="s">
        <v>3</v>
      </c>
      <c r="E7" s="35"/>
      <c r="F7" s="13"/>
      <c r="G7" s="13"/>
      <c r="H7" s="13"/>
      <c r="I7" s="12"/>
      <c r="J7" s="28" t="s">
        <v>4</v>
      </c>
      <c r="K7" s="14" t="s">
        <v>5</v>
      </c>
      <c r="L7" s="15" t="s">
        <v>6</v>
      </c>
    </row>
    <row r="8" spans="1:14" x14ac:dyDescent="0.25">
      <c r="A8" s="25">
        <v>105433</v>
      </c>
      <c r="B8" s="2">
        <v>45901</v>
      </c>
      <c r="C8" s="33">
        <v>29725532.149999999</v>
      </c>
      <c r="J8" s="3">
        <v>16136332.422210967</v>
      </c>
      <c r="K8" s="3">
        <v>60774.651288735382</v>
      </c>
      <c r="L8" s="3">
        <v>13528425.076500297</v>
      </c>
      <c r="M8" s="4">
        <f>SUM(J8:L8)</f>
        <v>29725532.149999999</v>
      </c>
      <c r="N8" s="4">
        <f>+C8-M8</f>
        <v>0</v>
      </c>
    </row>
    <row r="9" spans="1:14" x14ac:dyDescent="0.25">
      <c r="A9" s="25">
        <v>105433</v>
      </c>
      <c r="B9" s="2">
        <v>45902</v>
      </c>
      <c r="C9" s="33">
        <v>29777190.670000002</v>
      </c>
      <c r="J9" s="3">
        <v>16164374.949656837</v>
      </c>
      <c r="K9" s="3">
        <v>60880.268524559782</v>
      </c>
      <c r="L9" s="3">
        <v>13551935.451818604</v>
      </c>
      <c r="M9" s="4">
        <f>SUM(J9:L9)</f>
        <v>29777190.670000002</v>
      </c>
      <c r="N9" s="4">
        <f t="shared" ref="N9:N37" si="1">+C9-M9</f>
        <v>0</v>
      </c>
    </row>
    <row r="10" spans="1:14" x14ac:dyDescent="0.25">
      <c r="A10" s="25">
        <v>105433</v>
      </c>
      <c r="B10" s="2">
        <v>45903</v>
      </c>
      <c r="C10" s="33">
        <v>29754879.93</v>
      </c>
      <c r="J10" s="3">
        <v>16152263.694073291</v>
      </c>
      <c r="K10" s="3">
        <v>60834.653615576768</v>
      </c>
      <c r="L10" s="3">
        <v>13541781.582311131</v>
      </c>
      <c r="M10" s="4">
        <f>SUM(J10:L10)</f>
        <v>29754879.93</v>
      </c>
      <c r="N10" s="4">
        <f t="shared" si="1"/>
        <v>0</v>
      </c>
    </row>
    <row r="11" spans="1:14" x14ac:dyDescent="0.25">
      <c r="A11" s="25">
        <v>105433</v>
      </c>
      <c r="B11" s="2">
        <v>45904</v>
      </c>
      <c r="C11" s="33">
        <v>29879886.469999999</v>
      </c>
      <c r="J11" s="3">
        <v>16220122.768023979</v>
      </c>
      <c r="K11" s="3">
        <v>61090.232854292313</v>
      </c>
      <c r="L11" s="3">
        <v>13598673.469121726</v>
      </c>
      <c r="M11" s="4">
        <f t="shared" ref="M11:M37" si="2">SUM(J11:L11)</f>
        <v>29879886.469999999</v>
      </c>
      <c r="N11" s="4">
        <f t="shared" si="1"/>
        <v>0</v>
      </c>
    </row>
    <row r="12" spans="1:14" x14ac:dyDescent="0.25">
      <c r="A12" s="25">
        <v>105433</v>
      </c>
      <c r="B12" s="2">
        <v>45905</v>
      </c>
      <c r="C12" s="33">
        <v>29885050.030000001</v>
      </c>
      <c r="J12" s="3">
        <v>16222925.776569685</v>
      </c>
      <c r="K12" s="3">
        <v>61100.789891819011</v>
      </c>
      <c r="L12" s="3">
        <v>13601023.463538498</v>
      </c>
      <c r="M12" s="4">
        <f t="shared" si="2"/>
        <v>29885050.030000001</v>
      </c>
      <c r="N12" s="4">
        <f t="shared" si="1"/>
        <v>0</v>
      </c>
    </row>
    <row r="13" spans="1:14" x14ac:dyDescent="0.25">
      <c r="A13" s="42">
        <v>105433</v>
      </c>
      <c r="B13" s="43">
        <v>45906</v>
      </c>
      <c r="C13" s="44">
        <v>29885050.030000001</v>
      </c>
      <c r="E13" t="s">
        <v>7</v>
      </c>
      <c r="J13" s="3">
        <v>16222925.776569685</v>
      </c>
      <c r="K13" s="3">
        <v>61100.789891819011</v>
      </c>
      <c r="L13" s="3">
        <v>13601023.463538498</v>
      </c>
      <c r="M13" s="4">
        <f t="shared" si="2"/>
        <v>29885050.030000001</v>
      </c>
      <c r="N13" s="4">
        <f t="shared" si="1"/>
        <v>0</v>
      </c>
    </row>
    <row r="14" spans="1:14" x14ac:dyDescent="0.25">
      <c r="A14" s="42">
        <v>105433</v>
      </c>
      <c r="B14" s="43">
        <v>45907</v>
      </c>
      <c r="C14" s="44">
        <v>29885050.030000001</v>
      </c>
      <c r="J14" s="3">
        <v>16222925.776569685</v>
      </c>
      <c r="K14" s="3">
        <v>61100.789891819011</v>
      </c>
      <c r="L14" s="3">
        <v>13601023.463538498</v>
      </c>
      <c r="M14" s="4">
        <f t="shared" si="2"/>
        <v>29885050.030000001</v>
      </c>
      <c r="N14" s="4">
        <f t="shared" si="1"/>
        <v>0</v>
      </c>
    </row>
    <row r="15" spans="1:14" x14ac:dyDescent="0.25">
      <c r="A15" s="25">
        <v>105433</v>
      </c>
      <c r="B15" s="2">
        <v>45908</v>
      </c>
      <c r="C15" s="33">
        <v>29917346.23</v>
      </c>
      <c r="J15" s="3">
        <v>16240457.581098681</v>
      </c>
      <c r="K15" s="3">
        <v>61166.820342781051</v>
      </c>
      <c r="L15" s="3">
        <v>13615721.828558538</v>
      </c>
      <c r="M15" s="4">
        <f t="shared" si="2"/>
        <v>29917346.23</v>
      </c>
      <c r="N15" s="4">
        <f t="shared" si="1"/>
        <v>0</v>
      </c>
    </row>
    <row r="16" spans="1:14" x14ac:dyDescent="0.25">
      <c r="A16" s="25">
        <v>105433</v>
      </c>
      <c r="B16" s="2">
        <v>45909</v>
      </c>
      <c r="C16" s="33">
        <v>29904791.09</v>
      </c>
      <c r="J16" s="3">
        <v>16233642.096295075</v>
      </c>
      <c r="K16" s="3">
        <v>61141.151020814643</v>
      </c>
      <c r="L16" s="3">
        <v>13610007.842684109</v>
      </c>
      <c r="M16" s="4">
        <f t="shared" si="2"/>
        <v>29904791.089999996</v>
      </c>
      <c r="N16" s="4">
        <f t="shared" si="1"/>
        <v>0</v>
      </c>
    </row>
    <row r="17" spans="1:14" x14ac:dyDescent="0.25">
      <c r="A17" s="25">
        <v>105433</v>
      </c>
      <c r="B17" s="2">
        <v>45910</v>
      </c>
      <c r="C17" s="33">
        <v>29885851.559999999</v>
      </c>
      <c r="J17" s="3">
        <v>16223360.882473292</v>
      </c>
      <c r="K17" s="3">
        <v>61102.428641497281</v>
      </c>
      <c r="L17" s="3">
        <v>13601388.248885209</v>
      </c>
      <c r="M17" s="4">
        <f t="shared" si="2"/>
        <v>29885851.559999999</v>
      </c>
      <c r="N17" s="4">
        <f t="shared" si="1"/>
        <v>0</v>
      </c>
    </row>
    <row r="18" spans="1:14" x14ac:dyDescent="0.25">
      <c r="A18" s="25">
        <v>105433</v>
      </c>
      <c r="B18" s="2">
        <v>45911</v>
      </c>
      <c r="C18" s="33">
        <v>29931197.350000001</v>
      </c>
      <c r="J18" s="3">
        <v>16247976.581115639</v>
      </c>
      <c r="K18" s="3">
        <v>61195.139330771264</v>
      </c>
      <c r="L18" s="3">
        <v>13622025.62955359</v>
      </c>
      <c r="M18" s="4">
        <f t="shared" si="2"/>
        <v>29931197.350000001</v>
      </c>
      <c r="N18" s="4">
        <f t="shared" si="1"/>
        <v>0</v>
      </c>
    </row>
    <row r="19" spans="1:14" x14ac:dyDescent="0.25">
      <c r="A19" s="25">
        <v>105433</v>
      </c>
      <c r="B19" s="2">
        <v>45912</v>
      </c>
      <c r="C19" s="33">
        <v>29824130.440000001</v>
      </c>
      <c r="J19" s="3">
        <v>16189855.931081155</v>
      </c>
      <c r="K19" s="3">
        <v>60976.238148885699</v>
      </c>
      <c r="L19" s="3">
        <v>13573298.270769959</v>
      </c>
      <c r="M19" s="4">
        <f t="shared" si="2"/>
        <v>29824130.439999998</v>
      </c>
      <c r="N19" s="4">
        <f t="shared" si="1"/>
        <v>0</v>
      </c>
    </row>
    <row r="20" spans="1:14" x14ac:dyDescent="0.25">
      <c r="A20" s="42">
        <v>105433</v>
      </c>
      <c r="B20" s="43">
        <v>45913</v>
      </c>
      <c r="C20" s="44">
        <v>29824130.440000001</v>
      </c>
      <c r="J20" s="3">
        <v>16189855.931081155</v>
      </c>
      <c r="K20" s="3">
        <v>60976.238148885699</v>
      </c>
      <c r="L20" s="3">
        <v>13573298.270769959</v>
      </c>
      <c r="M20" s="4">
        <f t="shared" si="2"/>
        <v>29824130.439999998</v>
      </c>
      <c r="N20" s="4">
        <f t="shared" si="1"/>
        <v>0</v>
      </c>
    </row>
    <row r="21" spans="1:14" x14ac:dyDescent="0.25">
      <c r="A21" s="42">
        <v>105433</v>
      </c>
      <c r="B21" s="43">
        <v>45914</v>
      </c>
      <c r="C21" s="44">
        <v>29824130.440000001</v>
      </c>
      <c r="G21" s="34"/>
      <c r="H21" s="34"/>
      <c r="I21" s="34"/>
      <c r="J21" s="3">
        <v>16189855.931081155</v>
      </c>
      <c r="K21" s="3">
        <v>60976.238148885699</v>
      </c>
      <c r="L21" s="3">
        <v>13573298.270769959</v>
      </c>
      <c r="M21" s="4">
        <f t="shared" si="2"/>
        <v>29824130.439999998</v>
      </c>
      <c r="N21" s="4">
        <f t="shared" si="1"/>
        <v>0</v>
      </c>
    </row>
    <row r="22" spans="1:14" x14ac:dyDescent="0.25">
      <c r="A22" s="25">
        <v>105433</v>
      </c>
      <c r="B22" s="2">
        <v>45915</v>
      </c>
      <c r="C22" s="33">
        <v>29702238.649999999</v>
      </c>
      <c r="G22" s="34"/>
      <c r="H22" s="34"/>
      <c r="I22" s="34"/>
      <c r="J22" s="3">
        <v>16123687.681071261</v>
      </c>
      <c r="K22" s="3">
        <v>60727.027100456748</v>
      </c>
      <c r="L22" s="3">
        <v>13517823.941828281</v>
      </c>
      <c r="M22" s="4">
        <f t="shared" si="2"/>
        <v>29702238.649999999</v>
      </c>
      <c r="N22" s="4">
        <f t="shared" si="1"/>
        <v>0</v>
      </c>
    </row>
    <row r="23" spans="1:14" x14ac:dyDescent="0.25">
      <c r="A23" s="42">
        <v>105433</v>
      </c>
      <c r="B23" s="43">
        <v>45916</v>
      </c>
      <c r="C23" s="44">
        <v>29702238.649999999</v>
      </c>
      <c r="G23" s="34"/>
      <c r="H23" s="34"/>
      <c r="I23" s="34"/>
      <c r="J23" s="3">
        <v>16123687.681071261</v>
      </c>
      <c r="K23" s="3">
        <v>60727.027100456748</v>
      </c>
      <c r="L23" s="3">
        <v>13517823.941828281</v>
      </c>
      <c r="M23" s="4">
        <f t="shared" si="2"/>
        <v>29702238.649999999</v>
      </c>
      <c r="N23" s="4">
        <f t="shared" si="1"/>
        <v>0</v>
      </c>
    </row>
    <row r="24" spans="1:14" x14ac:dyDescent="0.25">
      <c r="A24" s="25">
        <v>105433</v>
      </c>
      <c r="B24" s="2">
        <v>45917</v>
      </c>
      <c r="C24" s="33">
        <v>29597019.789999999</v>
      </c>
      <c r="G24" s="34"/>
      <c r="H24" s="34"/>
      <c r="I24" s="34"/>
      <c r="J24" s="3">
        <v>16066570.234242102</v>
      </c>
      <c r="K24" s="3">
        <v>60511.904306582786</v>
      </c>
      <c r="L24" s="3">
        <v>13469937.651451314</v>
      </c>
      <c r="M24" s="4">
        <f t="shared" si="2"/>
        <v>29597019.789999999</v>
      </c>
      <c r="N24" s="4">
        <f t="shared" si="1"/>
        <v>0</v>
      </c>
    </row>
    <row r="25" spans="1:14" x14ac:dyDescent="0.25">
      <c r="A25" s="25">
        <v>105433</v>
      </c>
      <c r="B25" s="2">
        <v>45918</v>
      </c>
      <c r="C25" s="33">
        <v>29573537.050000001</v>
      </c>
      <c r="G25" s="34"/>
      <c r="H25" s="34"/>
      <c r="I25" s="34"/>
      <c r="J25" s="3">
        <v>16053822.765267881</v>
      </c>
      <c r="K25" s="3">
        <v>60463.893212026014</v>
      </c>
      <c r="L25" s="3">
        <v>13459250.391520094</v>
      </c>
      <c r="M25" s="4">
        <f t="shared" si="2"/>
        <v>29573537.050000001</v>
      </c>
      <c r="N25" s="4">
        <f t="shared" si="1"/>
        <v>0</v>
      </c>
    </row>
    <row r="26" spans="1:14" x14ac:dyDescent="0.25">
      <c r="A26" s="25">
        <v>105433</v>
      </c>
      <c r="B26" s="2">
        <v>45919</v>
      </c>
      <c r="C26" s="33">
        <v>29691561.760000002</v>
      </c>
      <c r="G26" s="34"/>
      <c r="H26" s="34"/>
      <c r="I26" s="34"/>
      <c r="J26" s="3">
        <v>16117891.79336752</v>
      </c>
      <c r="K26" s="3">
        <v>60705.197911215539</v>
      </c>
      <c r="L26" s="3">
        <v>13512964.768721266</v>
      </c>
      <c r="M26" s="4">
        <f t="shared" si="2"/>
        <v>29691561.760000002</v>
      </c>
      <c r="N26" s="4">
        <f t="shared" si="1"/>
        <v>0</v>
      </c>
    </row>
    <row r="27" spans="1:14" x14ac:dyDescent="0.25">
      <c r="A27" s="42">
        <v>105433</v>
      </c>
      <c r="B27" s="43">
        <v>45920</v>
      </c>
      <c r="C27" s="44">
        <v>29691561.760000002</v>
      </c>
      <c r="G27" s="10"/>
      <c r="J27" s="3">
        <v>16117891.79336752</v>
      </c>
      <c r="K27" s="3">
        <v>60705.197911215539</v>
      </c>
      <c r="L27" s="3">
        <v>13512964.768721266</v>
      </c>
      <c r="M27" s="4">
        <f t="shared" si="2"/>
        <v>29691561.760000002</v>
      </c>
      <c r="N27" s="4">
        <f t="shared" si="1"/>
        <v>0</v>
      </c>
    </row>
    <row r="28" spans="1:14" x14ac:dyDescent="0.25">
      <c r="A28" s="42">
        <v>105433</v>
      </c>
      <c r="B28" s="43">
        <v>45921</v>
      </c>
      <c r="C28" s="44">
        <v>29691561.760000002</v>
      </c>
      <c r="G28" s="34"/>
      <c r="H28" s="34"/>
      <c r="I28" s="34"/>
      <c r="J28" s="3">
        <v>16117891.79336752</v>
      </c>
      <c r="K28" s="3">
        <v>60705.197911215539</v>
      </c>
      <c r="L28" s="3">
        <v>13512964.768721266</v>
      </c>
      <c r="M28" s="4">
        <f t="shared" si="2"/>
        <v>29691561.760000002</v>
      </c>
      <c r="N28" s="4">
        <f t="shared" si="1"/>
        <v>0</v>
      </c>
    </row>
    <row r="29" spans="1:14" x14ac:dyDescent="0.25">
      <c r="A29" s="25">
        <v>105433</v>
      </c>
      <c r="B29" s="2">
        <v>45922</v>
      </c>
      <c r="C29" s="33">
        <v>29779937.32</v>
      </c>
      <c r="G29" s="34"/>
      <c r="H29" s="34"/>
      <c r="I29" s="34"/>
      <c r="J29" s="3">
        <v>16165865.952651294</v>
      </c>
      <c r="K29" s="3">
        <v>60885.884124479737</v>
      </c>
      <c r="L29" s="3">
        <v>13553185.483224226</v>
      </c>
      <c r="M29" s="4">
        <f t="shared" si="2"/>
        <v>29779937.32</v>
      </c>
      <c r="N29" s="4">
        <f t="shared" si="1"/>
        <v>0</v>
      </c>
    </row>
    <row r="30" spans="1:14" x14ac:dyDescent="0.25">
      <c r="A30" s="25">
        <v>105433</v>
      </c>
      <c r="B30" s="2">
        <v>45923</v>
      </c>
      <c r="C30" s="33">
        <v>29730816.300000001</v>
      </c>
      <c r="G30" s="10"/>
      <c r="H30" s="34"/>
      <c r="I30" s="34"/>
      <c r="J30" s="3">
        <v>16139200.892337544</v>
      </c>
      <c r="K30" s="3">
        <v>60785.454875765783</v>
      </c>
      <c r="L30" s="3">
        <v>13530829.952786691</v>
      </c>
      <c r="M30" s="4">
        <f t="shared" si="2"/>
        <v>29730816.300000001</v>
      </c>
      <c r="N30" s="4">
        <f t="shared" si="1"/>
        <v>0</v>
      </c>
    </row>
    <row r="31" spans="1:14" x14ac:dyDescent="0.25">
      <c r="A31" s="25">
        <v>105433</v>
      </c>
      <c r="B31" s="2">
        <v>45924</v>
      </c>
      <c r="C31" s="33">
        <v>29815774.850000001</v>
      </c>
      <c r="G31" s="34"/>
      <c r="H31" s="34"/>
      <c r="I31" s="34"/>
      <c r="J31" s="3">
        <v>16185320.147595655</v>
      </c>
      <c r="K31" s="3">
        <v>60959.15492003048</v>
      </c>
      <c r="L31" s="3">
        <v>13569495.547484316</v>
      </c>
      <c r="M31" s="4">
        <f t="shared" si="2"/>
        <v>29815774.850000001</v>
      </c>
      <c r="N31" s="4">
        <f t="shared" si="1"/>
        <v>0</v>
      </c>
    </row>
    <row r="32" spans="1:14" x14ac:dyDescent="0.25">
      <c r="A32" s="25">
        <v>105433</v>
      </c>
      <c r="B32" s="2">
        <v>45925</v>
      </c>
      <c r="C32" s="33">
        <v>29785429.59</v>
      </c>
      <c r="G32" s="34"/>
      <c r="H32" s="34"/>
      <c r="I32" s="34"/>
      <c r="J32" s="3">
        <v>16168847.399510691</v>
      </c>
      <c r="K32" s="3">
        <v>60897.1132184569</v>
      </c>
      <c r="L32" s="3">
        <v>13555685.077270852</v>
      </c>
      <c r="M32" s="4">
        <f t="shared" si="2"/>
        <v>29785429.59</v>
      </c>
      <c r="N32" s="4">
        <f t="shared" si="1"/>
        <v>0</v>
      </c>
    </row>
    <row r="33" spans="1:14" x14ac:dyDescent="0.25">
      <c r="A33" s="25">
        <v>105433</v>
      </c>
      <c r="B33" s="2">
        <v>45926</v>
      </c>
      <c r="C33" s="33">
        <v>29744815.52</v>
      </c>
      <c r="G33" s="34"/>
      <c r="H33" s="34"/>
      <c r="I33" s="34"/>
      <c r="J33" s="3">
        <v>16146800.287579039</v>
      </c>
      <c r="K33" s="3">
        <v>60814.076658195816</v>
      </c>
      <c r="L33" s="3">
        <v>13537201.155762764</v>
      </c>
      <c r="M33" s="4">
        <f t="shared" si="2"/>
        <v>29744815.519999996</v>
      </c>
      <c r="N33" s="4">
        <f t="shared" si="1"/>
        <v>0</v>
      </c>
    </row>
    <row r="34" spans="1:14" x14ac:dyDescent="0.25">
      <c r="A34" s="42">
        <v>105433</v>
      </c>
      <c r="B34" s="43">
        <v>45927</v>
      </c>
      <c r="C34" s="44">
        <v>29744815.52</v>
      </c>
      <c r="G34" s="34"/>
      <c r="H34" s="34"/>
      <c r="I34" s="34"/>
      <c r="J34" s="3">
        <v>16146800.287579039</v>
      </c>
      <c r="K34" s="3">
        <v>60814.076658195816</v>
      </c>
      <c r="L34" s="3">
        <v>13537201.155762764</v>
      </c>
      <c r="M34" s="4">
        <f t="shared" si="2"/>
        <v>29744815.519999996</v>
      </c>
      <c r="N34" s="4">
        <f t="shared" si="1"/>
        <v>0</v>
      </c>
    </row>
    <row r="35" spans="1:14" x14ac:dyDescent="0.25">
      <c r="A35" s="42">
        <v>105433</v>
      </c>
      <c r="B35" s="43">
        <v>45928</v>
      </c>
      <c r="C35" s="44">
        <v>29744815.52</v>
      </c>
      <c r="G35" s="34"/>
      <c r="H35" s="34"/>
      <c r="I35" s="34"/>
      <c r="J35" s="3">
        <v>16146800.287579039</v>
      </c>
      <c r="K35" s="3">
        <v>60814.076658195816</v>
      </c>
      <c r="L35" s="3">
        <v>13537201.155762764</v>
      </c>
      <c r="M35" s="4">
        <f t="shared" si="2"/>
        <v>29744815.519999996</v>
      </c>
      <c r="N35" s="4">
        <f t="shared" si="1"/>
        <v>0</v>
      </c>
    </row>
    <row r="36" spans="1:14" x14ac:dyDescent="0.25">
      <c r="A36" s="25">
        <v>105433</v>
      </c>
      <c r="B36" s="2">
        <v>45929</v>
      </c>
      <c r="C36" s="33">
        <v>29692373.43</v>
      </c>
      <c r="G36" s="34"/>
      <c r="H36" s="34"/>
      <c r="I36" s="34"/>
      <c r="J36" s="3">
        <v>16118332.403711215</v>
      </c>
      <c r="K36" s="3">
        <v>60706.857392396982</v>
      </c>
      <c r="L36" s="3">
        <v>13513334.168896388</v>
      </c>
      <c r="M36" s="4">
        <f t="shared" si="2"/>
        <v>29692373.43</v>
      </c>
      <c r="N36" s="4">
        <f t="shared" si="1"/>
        <v>0</v>
      </c>
    </row>
    <row r="37" spans="1:14" x14ac:dyDescent="0.25">
      <c r="A37" s="25">
        <v>105433</v>
      </c>
      <c r="B37" s="2">
        <v>45930</v>
      </c>
      <c r="C37" s="33">
        <v>29822665.789999999</v>
      </c>
      <c r="J37" s="3">
        <v>16189060.854338273</v>
      </c>
      <c r="K37" s="3">
        <v>60973.243632502912</v>
      </c>
      <c r="L37" s="3">
        <v>13572631.692029221</v>
      </c>
      <c r="M37" s="4">
        <f t="shared" si="2"/>
        <v>29822665.789999999</v>
      </c>
      <c r="N37" s="4">
        <f t="shared" si="1"/>
        <v>0</v>
      </c>
    </row>
    <row r="38" spans="1:14" x14ac:dyDescent="0.25">
      <c r="A38" s="5"/>
      <c r="B38" s="6"/>
      <c r="J38" s="7"/>
    </row>
    <row r="39" spans="1:14" x14ac:dyDescent="0.25">
      <c r="A39" s="19" t="s">
        <v>8</v>
      </c>
      <c r="B39" s="8">
        <f>COUNT(B8:B37)</f>
        <v>30</v>
      </c>
      <c r="C39" s="4">
        <f>AVERAGE(C8:C37)</f>
        <v>29780512.670666661</v>
      </c>
      <c r="J39" s="4">
        <f>AVERAGE(J8:J37)</f>
        <v>16166178.278417906</v>
      </c>
      <c r="K39" s="4">
        <f>AVERAGE(K8:K37)</f>
        <v>60887.060444417722</v>
      </c>
      <c r="L39" s="4">
        <f>AVERAGE(L8:L37)</f>
        <v>13553447.331804346</v>
      </c>
      <c r="M39" s="4">
        <f>SUM(J39:L39)</f>
        <v>29780512.670666672</v>
      </c>
      <c r="N39" s="4">
        <f>M39-C39</f>
        <v>0</v>
      </c>
    </row>
    <row r="40" spans="1:14" x14ac:dyDescent="0.25">
      <c r="A40" s="19" t="s">
        <v>9</v>
      </c>
      <c r="B40" s="8">
        <v>1.62</v>
      </c>
      <c r="C40" s="9">
        <f>+C39*$B$41</f>
        <v>40203.692105399998</v>
      </c>
      <c r="D40" s="10">
        <f>C40*1.16</f>
        <v>46636.282842263994</v>
      </c>
      <c r="J40" s="20">
        <f>(+J39*$B$41)</f>
        <v>21824.340675864172</v>
      </c>
      <c r="K40" s="20">
        <f>(+K39*$B$41)</f>
        <v>82.197531599963924</v>
      </c>
      <c r="L40" s="20">
        <f>(+L39*$B$41)</f>
        <v>18297.15389793587</v>
      </c>
      <c r="M40" s="4">
        <f>SUM(J40:L40)</f>
        <v>40203.692105400005</v>
      </c>
      <c r="N40" s="4">
        <f>+C40/M40</f>
        <v>0.99999999999999978</v>
      </c>
    </row>
    <row r="41" spans="1:14" x14ac:dyDescent="0.25">
      <c r="A41" s="19" t="s">
        <v>10</v>
      </c>
      <c r="B41" s="11">
        <f>B40/360*B39/100</f>
        <v>1.3500000000000001E-3</v>
      </c>
      <c r="D41" s="10">
        <f>D40-C40</f>
        <v>6432.5907368639964</v>
      </c>
      <c r="M41" s="32">
        <f>C40/M40</f>
        <v>0.99999999999999978</v>
      </c>
    </row>
    <row r="45" spans="1:14" x14ac:dyDescent="0.25">
      <c r="M45" s="10"/>
    </row>
  </sheetData>
  <mergeCells count="1">
    <mergeCell ref="A6:C6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D5ED-58E8-4D51-852B-26296F8BD51B}">
  <dimension ref="A1:N47"/>
  <sheetViews>
    <sheetView zoomScaleNormal="100" workbookViewId="0">
      <selection activeCell="F15" sqref="F15"/>
    </sheetView>
  </sheetViews>
  <sheetFormatPr baseColWidth="10" defaultRowHeight="15" x14ac:dyDescent="0.25"/>
  <cols>
    <col min="3" max="3" width="15.140625" bestFit="1" customWidth="1"/>
    <col min="6" max="6" width="14.140625" bestFit="1" customWidth="1"/>
    <col min="8" max="9" width="14.140625" bestFit="1" customWidth="1"/>
    <col min="10" max="12" width="17" bestFit="1" customWidth="1"/>
    <col min="13" max="14" width="15.140625" bestFit="1" customWidth="1"/>
  </cols>
  <sheetData>
    <row r="1" spans="1:14" x14ac:dyDescent="0.25">
      <c r="D1" s="38" t="s">
        <v>15</v>
      </c>
      <c r="E1" s="35">
        <v>45930</v>
      </c>
      <c r="F1" s="36">
        <v>16129691.73</v>
      </c>
      <c r="G1" s="36">
        <v>60995.88</v>
      </c>
      <c r="H1" s="36">
        <v>13631978.189999999</v>
      </c>
      <c r="I1" s="37">
        <f>+F1+G1+H1</f>
        <v>29822665.800000001</v>
      </c>
    </row>
    <row r="2" spans="1:14" x14ac:dyDescent="0.25">
      <c r="D2" s="38" t="s">
        <v>16</v>
      </c>
      <c r="E2" s="35">
        <v>45961</v>
      </c>
      <c r="F2" s="36">
        <v>16185517.140000001</v>
      </c>
      <c r="G2" s="36">
        <v>61167.82</v>
      </c>
      <c r="H2" s="36">
        <v>13646433.699999999</v>
      </c>
      <c r="I2" s="37">
        <f>+F2+G2+H2</f>
        <v>29893118.66</v>
      </c>
    </row>
    <row r="3" spans="1:14" x14ac:dyDescent="0.25">
      <c r="E3" s="38"/>
      <c r="F3" s="37"/>
    </row>
    <row r="4" spans="1:14" x14ac:dyDescent="0.25">
      <c r="E4" s="35">
        <f>+E1</f>
        <v>45930</v>
      </c>
      <c r="F4" s="13">
        <f t="shared" ref="F4:H5" si="0">+F1/$I1</f>
        <v>0.54085345147112907</v>
      </c>
      <c r="G4" s="13">
        <f t="shared" si="0"/>
        <v>2.0452859717188659E-3</v>
      </c>
      <c r="H4" s="13">
        <f t="shared" si="0"/>
        <v>0.45710126255715205</v>
      </c>
      <c r="I4" s="12">
        <f>+F4+G4+H4</f>
        <v>1</v>
      </c>
    </row>
    <row r="5" spans="1:14" x14ac:dyDescent="0.25">
      <c r="E5" s="35">
        <f>+E2</f>
        <v>45961</v>
      </c>
      <c r="F5" s="13">
        <f t="shared" si="0"/>
        <v>0.5414462547080392</v>
      </c>
      <c r="G5" s="13">
        <f t="shared" si="0"/>
        <v>2.0462174153093198E-3</v>
      </c>
      <c r="H5" s="13">
        <f t="shared" si="0"/>
        <v>0.45650752787665144</v>
      </c>
      <c r="I5" s="12">
        <f>+F5+G5+H5</f>
        <v>1</v>
      </c>
    </row>
    <row r="6" spans="1:14" x14ac:dyDescent="0.25">
      <c r="A6" s="46" t="s">
        <v>0</v>
      </c>
      <c r="B6" s="46"/>
      <c r="C6" s="46"/>
      <c r="E6" s="39" t="s">
        <v>17</v>
      </c>
      <c r="F6" s="40">
        <f>AVERAGE(F4:F5)</f>
        <v>0.54114985308958419</v>
      </c>
      <c r="G6" s="40">
        <f>AVERAGE(G4:G5)</f>
        <v>2.0457516935140927E-3</v>
      </c>
      <c r="H6" s="40">
        <f>AVERAGE(H4:H5)</f>
        <v>0.45680439521690175</v>
      </c>
      <c r="I6" s="12"/>
    </row>
    <row r="7" spans="1:14" x14ac:dyDescent="0.25">
      <c r="A7" s="16" t="s">
        <v>1</v>
      </c>
      <c r="B7" s="17" t="s">
        <v>2</v>
      </c>
      <c r="C7" s="18" t="s">
        <v>3</v>
      </c>
      <c r="E7" s="35"/>
      <c r="F7" s="13"/>
      <c r="G7" s="13"/>
      <c r="H7" s="13"/>
      <c r="I7" s="12"/>
      <c r="J7" s="28" t="s">
        <v>4</v>
      </c>
      <c r="K7" s="14" t="s">
        <v>5</v>
      </c>
      <c r="L7" s="15" t="s">
        <v>6</v>
      </c>
    </row>
    <row r="8" spans="1:14" x14ac:dyDescent="0.25">
      <c r="A8" s="25">
        <v>105433</v>
      </c>
      <c r="B8" s="2">
        <v>45931</v>
      </c>
      <c r="C8" s="33">
        <v>29746546.48</v>
      </c>
      <c r="J8" s="3">
        <v>16097339.257574487</v>
      </c>
      <c r="K8" s="3">
        <v>60854.047837655671</v>
      </c>
      <c r="L8" s="3">
        <v>13588353.174587857</v>
      </c>
      <c r="M8" s="4">
        <f>SUM(J8:L8)</f>
        <v>29746546.48</v>
      </c>
      <c r="N8" s="4">
        <f>+C8-M8</f>
        <v>0</v>
      </c>
    </row>
    <row r="9" spans="1:14" x14ac:dyDescent="0.25">
      <c r="A9" s="25">
        <v>105433</v>
      </c>
      <c r="B9" s="2">
        <v>45932</v>
      </c>
      <c r="C9" s="33">
        <v>29872582.550000001</v>
      </c>
      <c r="J9" s="3">
        <v>16165543.658338977</v>
      </c>
      <c r="K9" s="3">
        <v>61111.886341302037</v>
      </c>
      <c r="L9" s="3">
        <v>13645927.005319724</v>
      </c>
      <c r="M9" s="4">
        <f>SUM(J9:L9)</f>
        <v>29872582.550000004</v>
      </c>
      <c r="N9" s="4">
        <f t="shared" ref="N9:N38" si="1">+C9-M9</f>
        <v>0</v>
      </c>
    </row>
    <row r="10" spans="1:14" x14ac:dyDescent="0.25">
      <c r="A10" s="25">
        <v>105433</v>
      </c>
      <c r="B10" s="2">
        <v>45933</v>
      </c>
      <c r="C10" s="33">
        <v>29767830.739999998</v>
      </c>
      <c r="J10" s="3">
        <v>16108857.231746607</v>
      </c>
      <c r="K10" s="3">
        <v>60897.59014859586</v>
      </c>
      <c r="L10" s="3">
        <v>13598075.918104796</v>
      </c>
      <c r="M10" s="4">
        <f>SUM(J10:L10)</f>
        <v>29767830.739999998</v>
      </c>
      <c r="N10" s="4">
        <f t="shared" si="1"/>
        <v>0</v>
      </c>
    </row>
    <row r="11" spans="1:14" x14ac:dyDescent="0.25">
      <c r="A11" s="42">
        <v>105433</v>
      </c>
      <c r="B11" s="43">
        <v>45934</v>
      </c>
      <c r="C11" s="44">
        <v>29767830.739999998</v>
      </c>
      <c r="J11" s="3">
        <v>16108857.231746607</v>
      </c>
      <c r="K11" s="3">
        <v>60897.59014859586</v>
      </c>
      <c r="L11" s="3">
        <v>13598075.918104796</v>
      </c>
      <c r="M11" s="4">
        <f t="shared" ref="M11:M38" si="2">SUM(J11:L11)</f>
        <v>29767830.739999998</v>
      </c>
      <c r="N11" s="4">
        <f t="shared" si="1"/>
        <v>0</v>
      </c>
    </row>
    <row r="12" spans="1:14" x14ac:dyDescent="0.25">
      <c r="A12" s="42">
        <v>105433</v>
      </c>
      <c r="B12" s="43">
        <v>45935</v>
      </c>
      <c r="C12" s="44">
        <v>29767830.739999998</v>
      </c>
      <c r="J12" s="3">
        <v>16108857.231746607</v>
      </c>
      <c r="K12" s="3">
        <v>60897.59014859586</v>
      </c>
      <c r="L12" s="3">
        <v>13598075.918104796</v>
      </c>
      <c r="M12" s="4">
        <f t="shared" si="2"/>
        <v>29767830.739999998</v>
      </c>
      <c r="N12" s="4">
        <f t="shared" si="1"/>
        <v>0</v>
      </c>
    </row>
    <row r="13" spans="1:14" x14ac:dyDescent="0.25">
      <c r="A13" s="25">
        <v>105433</v>
      </c>
      <c r="B13" s="2">
        <v>45936</v>
      </c>
      <c r="C13" s="33">
        <v>29601704.949999999</v>
      </c>
      <c r="E13" t="s">
        <v>7</v>
      </c>
      <c r="J13" s="3">
        <v>16018958.284893716</v>
      </c>
      <c r="K13" s="3">
        <v>60557.738032367</v>
      </c>
      <c r="L13" s="3">
        <v>13522188.927073916</v>
      </c>
      <c r="M13" s="4">
        <f t="shared" si="2"/>
        <v>29601704.949999999</v>
      </c>
      <c r="N13" s="4">
        <f t="shared" si="1"/>
        <v>0</v>
      </c>
    </row>
    <row r="14" spans="1:14" x14ac:dyDescent="0.25">
      <c r="A14" s="25">
        <v>105433</v>
      </c>
      <c r="B14" s="2">
        <v>45937</v>
      </c>
      <c r="C14" s="33">
        <v>29657004.829999998</v>
      </c>
      <c r="J14" s="3">
        <v>16048883.806831587</v>
      </c>
      <c r="K14" s="3">
        <v>60670.867855528122</v>
      </c>
      <c r="L14" s="3">
        <v>13547450.155312883</v>
      </c>
      <c r="M14" s="4">
        <f t="shared" si="2"/>
        <v>29657004.829999998</v>
      </c>
      <c r="N14" s="4">
        <f t="shared" si="1"/>
        <v>0</v>
      </c>
    </row>
    <row r="15" spans="1:14" x14ac:dyDescent="0.25">
      <c r="A15" s="25">
        <v>105433</v>
      </c>
      <c r="B15" s="2">
        <v>45938</v>
      </c>
      <c r="C15" s="33">
        <v>29644794.84</v>
      </c>
      <c r="J15" s="3">
        <v>16042276.372536864</v>
      </c>
      <c r="K15" s="3">
        <v>60645.889247807834</v>
      </c>
      <c r="L15" s="3">
        <v>13541872.578215329</v>
      </c>
      <c r="M15" s="4">
        <f t="shared" si="2"/>
        <v>29644794.840000004</v>
      </c>
      <c r="N15" s="4">
        <f t="shared" si="1"/>
        <v>0</v>
      </c>
    </row>
    <row r="16" spans="1:14" x14ac:dyDescent="0.25">
      <c r="A16" s="25">
        <v>105433</v>
      </c>
      <c r="B16" s="2">
        <v>45939</v>
      </c>
      <c r="C16" s="33">
        <v>29617350.149999999</v>
      </c>
      <c r="J16" s="3">
        <v>16027424.682575274</v>
      </c>
      <c r="K16" s="3">
        <v>60589.744226762363</v>
      </c>
      <c r="L16" s="3">
        <v>13529335.723197963</v>
      </c>
      <c r="M16" s="4">
        <f t="shared" si="2"/>
        <v>29617350.149999999</v>
      </c>
      <c r="N16" s="4">
        <f t="shared" si="1"/>
        <v>0</v>
      </c>
    </row>
    <row r="17" spans="1:14" x14ac:dyDescent="0.25">
      <c r="A17" s="25">
        <v>105433</v>
      </c>
      <c r="B17" s="2">
        <v>45940</v>
      </c>
      <c r="C17" s="33">
        <v>29735939.329999998</v>
      </c>
      <c r="J17" s="3">
        <v>16091599.199910287</v>
      </c>
      <c r="K17" s="3">
        <v>60832.348242579814</v>
      </c>
      <c r="L17" s="3">
        <v>13583507.781847132</v>
      </c>
      <c r="M17" s="4">
        <f t="shared" si="2"/>
        <v>29735939.329999998</v>
      </c>
      <c r="N17" s="4">
        <f t="shared" si="1"/>
        <v>0</v>
      </c>
    </row>
    <row r="18" spans="1:14" x14ac:dyDescent="0.25">
      <c r="A18" s="42">
        <v>105433</v>
      </c>
      <c r="B18" s="43">
        <v>45941</v>
      </c>
      <c r="C18" s="44">
        <v>29735939.329999998</v>
      </c>
      <c r="J18" s="3">
        <v>16091599.199910287</v>
      </c>
      <c r="K18" s="3">
        <v>60832.348242579814</v>
      </c>
      <c r="L18" s="3">
        <v>13583507.781847132</v>
      </c>
      <c r="M18" s="4">
        <f t="shared" si="2"/>
        <v>29735939.329999998</v>
      </c>
      <c r="N18" s="4">
        <f t="shared" si="1"/>
        <v>0</v>
      </c>
    </row>
    <row r="19" spans="1:14" x14ac:dyDescent="0.25">
      <c r="A19" s="42">
        <v>105433</v>
      </c>
      <c r="B19" s="43">
        <v>45942</v>
      </c>
      <c r="C19" s="44">
        <v>29735939.329999998</v>
      </c>
      <c r="J19" s="3">
        <v>16091599.199910287</v>
      </c>
      <c r="K19" s="3">
        <v>60832.348242579814</v>
      </c>
      <c r="L19" s="3">
        <v>13583507.781847132</v>
      </c>
      <c r="M19" s="4">
        <f t="shared" si="2"/>
        <v>29735939.329999998</v>
      </c>
      <c r="N19" s="4">
        <f t="shared" si="1"/>
        <v>0</v>
      </c>
    </row>
    <row r="20" spans="1:14" x14ac:dyDescent="0.25">
      <c r="A20" s="25">
        <v>105433</v>
      </c>
      <c r="B20" s="2">
        <v>45943</v>
      </c>
      <c r="C20" s="33">
        <v>29696790.710000001</v>
      </c>
      <c r="J20" s="3">
        <v>16070413.92994863</v>
      </c>
      <c r="K20" s="3">
        <v>60752.259886916079</v>
      </c>
      <c r="L20" s="3">
        <v>13565624.520164456</v>
      </c>
      <c r="M20" s="4">
        <f t="shared" si="2"/>
        <v>29696790.710000001</v>
      </c>
      <c r="N20" s="4">
        <f t="shared" si="1"/>
        <v>0</v>
      </c>
    </row>
    <row r="21" spans="1:14" x14ac:dyDescent="0.25">
      <c r="A21" s="25">
        <v>105433</v>
      </c>
      <c r="B21" s="2">
        <v>45944</v>
      </c>
      <c r="C21" s="33">
        <v>29747472.609999999</v>
      </c>
      <c r="G21" s="34"/>
      <c r="H21" s="34"/>
      <c r="I21" s="34"/>
      <c r="J21" s="3">
        <v>16097840.432687929</v>
      </c>
      <c r="K21" s="3">
        <v>60855.942469671587</v>
      </c>
      <c r="L21" s="3">
        <v>13588776.234842399</v>
      </c>
      <c r="M21" s="4">
        <f t="shared" si="2"/>
        <v>29747472.609999999</v>
      </c>
      <c r="N21" s="4">
        <f t="shared" si="1"/>
        <v>0</v>
      </c>
    </row>
    <row r="22" spans="1:14" x14ac:dyDescent="0.25">
      <c r="A22" s="25">
        <v>105433</v>
      </c>
      <c r="B22" s="2">
        <v>45945</v>
      </c>
      <c r="C22" s="33">
        <v>29744784.109999999</v>
      </c>
      <c r="G22" s="34"/>
      <c r="H22" s="34"/>
      <c r="I22" s="34"/>
      <c r="J22" s="3">
        <v>16096385.551307898</v>
      </c>
      <c r="K22" s="3">
        <v>60850.44246624357</v>
      </c>
      <c r="L22" s="3">
        <v>13587548.116225859</v>
      </c>
      <c r="M22" s="4">
        <f t="shared" si="2"/>
        <v>29744784.109999999</v>
      </c>
      <c r="N22" s="4">
        <f t="shared" si="1"/>
        <v>0</v>
      </c>
    </row>
    <row r="23" spans="1:14" x14ac:dyDescent="0.25">
      <c r="A23" s="25">
        <v>105433</v>
      </c>
      <c r="B23" s="2">
        <v>45946</v>
      </c>
      <c r="C23" s="33">
        <v>29663406.34</v>
      </c>
      <c r="G23" s="34"/>
      <c r="H23" s="34"/>
      <c r="I23" s="34"/>
      <c r="J23" s="3">
        <v>16052347.983027641</v>
      </c>
      <c r="K23" s="3">
        <v>60683.963755451674</v>
      </c>
      <c r="L23" s="3">
        <v>13550374.39321691</v>
      </c>
      <c r="M23" s="4">
        <f t="shared" si="2"/>
        <v>29663406.340000004</v>
      </c>
      <c r="N23" s="4">
        <f t="shared" si="1"/>
        <v>0</v>
      </c>
    </row>
    <row r="24" spans="1:14" x14ac:dyDescent="0.25">
      <c r="A24" s="25">
        <v>105433</v>
      </c>
      <c r="B24" s="2">
        <v>45947</v>
      </c>
      <c r="C24" s="33">
        <v>29629157.260000002</v>
      </c>
      <c r="G24" s="34"/>
      <c r="H24" s="34"/>
      <c r="I24" s="34"/>
      <c r="J24" s="3">
        <v>16033814.098417187</v>
      </c>
      <c r="K24" s="3">
        <v>60613.898642040374</v>
      </c>
      <c r="L24" s="3">
        <v>13534729.262940774</v>
      </c>
      <c r="M24" s="4">
        <f t="shared" si="2"/>
        <v>29629157.260000002</v>
      </c>
      <c r="N24" s="4">
        <f t="shared" si="1"/>
        <v>0</v>
      </c>
    </row>
    <row r="25" spans="1:14" x14ac:dyDescent="0.25">
      <c r="A25" s="42">
        <v>105433</v>
      </c>
      <c r="B25" s="43">
        <v>45948</v>
      </c>
      <c r="C25" s="44">
        <v>29629157.260000002</v>
      </c>
      <c r="G25" s="34"/>
      <c r="H25" s="34"/>
      <c r="I25" s="34"/>
      <c r="J25" s="3">
        <v>16033814.098417187</v>
      </c>
      <c r="K25" s="3">
        <v>60613.898642040374</v>
      </c>
      <c r="L25" s="3">
        <v>13534729.262940774</v>
      </c>
      <c r="M25" s="4">
        <f t="shared" si="2"/>
        <v>29629157.260000002</v>
      </c>
      <c r="N25" s="4">
        <f t="shared" si="1"/>
        <v>0</v>
      </c>
    </row>
    <row r="26" spans="1:14" x14ac:dyDescent="0.25">
      <c r="A26" s="42">
        <v>105433</v>
      </c>
      <c r="B26" s="43">
        <v>45949</v>
      </c>
      <c r="C26" s="44">
        <v>29629157.260000002</v>
      </c>
      <c r="G26" s="34"/>
      <c r="H26" s="34"/>
      <c r="I26" s="34"/>
      <c r="J26" s="3">
        <v>16033814.098417187</v>
      </c>
      <c r="K26" s="3">
        <v>60613.898642040374</v>
      </c>
      <c r="L26" s="3">
        <v>13534729.262940774</v>
      </c>
      <c r="M26" s="4">
        <f t="shared" si="2"/>
        <v>29629157.260000002</v>
      </c>
      <c r="N26" s="4">
        <f t="shared" si="1"/>
        <v>0</v>
      </c>
    </row>
    <row r="27" spans="1:14" x14ac:dyDescent="0.25">
      <c r="A27" s="25">
        <v>105433</v>
      </c>
      <c r="B27" s="2">
        <v>45950</v>
      </c>
      <c r="C27" s="33">
        <v>29642973.539999999</v>
      </c>
      <c r="G27" s="10"/>
      <c r="J27" s="3">
        <v>16041290.776309431</v>
      </c>
      <c r="K27" s="3">
        <v>60642.163320248437</v>
      </c>
      <c r="L27" s="3">
        <v>13541040.600370321</v>
      </c>
      <c r="M27" s="4">
        <f t="shared" si="2"/>
        <v>29642973.539999999</v>
      </c>
      <c r="N27" s="4">
        <f t="shared" si="1"/>
        <v>0</v>
      </c>
    </row>
    <row r="28" spans="1:14" x14ac:dyDescent="0.25">
      <c r="A28" s="25">
        <v>105433</v>
      </c>
      <c r="B28" s="2">
        <v>45951</v>
      </c>
      <c r="C28" s="33">
        <v>29598535.98</v>
      </c>
      <c r="G28" s="34"/>
      <c r="H28" s="34"/>
      <c r="I28" s="34"/>
      <c r="J28" s="3">
        <v>16017243.397243772</v>
      </c>
      <c r="K28" s="3">
        <v>60551.255106622804</v>
      </c>
      <c r="L28" s="3">
        <v>13520741.327649606</v>
      </c>
      <c r="M28" s="4">
        <f t="shared" si="2"/>
        <v>29598535.98</v>
      </c>
      <c r="N28" s="4">
        <f t="shared" si="1"/>
        <v>0</v>
      </c>
    </row>
    <row r="29" spans="1:14" x14ac:dyDescent="0.25">
      <c r="A29" s="25">
        <v>105433</v>
      </c>
      <c r="B29" s="2">
        <v>45952</v>
      </c>
      <c r="C29" s="33">
        <v>29651568.98</v>
      </c>
      <c r="G29" s="34"/>
      <c r="H29" s="34"/>
      <c r="I29" s="34"/>
      <c r="J29" s="3">
        <v>16045942.197402671</v>
      </c>
      <c r="K29" s="3">
        <v>60659.747456184938</v>
      </c>
      <c r="L29" s="3">
        <v>13544967.035141144</v>
      </c>
      <c r="M29" s="4">
        <f t="shared" si="2"/>
        <v>29651568.98</v>
      </c>
      <c r="N29" s="4">
        <f t="shared" si="1"/>
        <v>0</v>
      </c>
    </row>
    <row r="30" spans="1:14" x14ac:dyDescent="0.25">
      <c r="A30" s="25">
        <v>105433</v>
      </c>
      <c r="B30" s="2">
        <v>45953</v>
      </c>
      <c r="C30" s="33">
        <v>29618236.43</v>
      </c>
      <c r="G30" s="10"/>
      <c r="H30" s="34"/>
      <c r="I30" s="34"/>
      <c r="J30" s="3">
        <v>16027904.29286707</v>
      </c>
      <c r="K30" s="3">
        <v>60591.557335573292</v>
      </c>
      <c r="L30" s="3">
        <v>13529740.579797357</v>
      </c>
      <c r="M30" s="4">
        <f t="shared" si="2"/>
        <v>29618236.43</v>
      </c>
      <c r="N30" s="4">
        <f t="shared" si="1"/>
        <v>0</v>
      </c>
    </row>
    <row r="31" spans="1:14" x14ac:dyDescent="0.25">
      <c r="A31" s="25">
        <v>105433</v>
      </c>
      <c r="B31" s="2">
        <v>45954</v>
      </c>
      <c r="C31" s="33">
        <v>29615911.16</v>
      </c>
      <c r="G31" s="34"/>
      <c r="H31" s="34"/>
      <c r="I31" s="34"/>
      <c r="J31" s="3">
        <v>16026645.973348176</v>
      </c>
      <c r="K31" s="3">
        <v>60586.800410532916</v>
      </c>
      <c r="L31" s="3">
        <v>13528678.386241291</v>
      </c>
      <c r="M31" s="4">
        <f t="shared" si="2"/>
        <v>29615911.16</v>
      </c>
      <c r="N31" s="4">
        <f t="shared" si="1"/>
        <v>0</v>
      </c>
    </row>
    <row r="32" spans="1:14" x14ac:dyDescent="0.25">
      <c r="A32" s="42">
        <v>105433</v>
      </c>
      <c r="B32" s="43">
        <v>45955</v>
      </c>
      <c r="C32" s="44">
        <v>29615911.16</v>
      </c>
      <c r="G32" s="34"/>
      <c r="H32" s="34"/>
      <c r="I32" s="34"/>
      <c r="J32" s="3">
        <v>16026645.973348176</v>
      </c>
      <c r="K32" s="3">
        <v>60586.800410532916</v>
      </c>
      <c r="L32" s="3">
        <v>13528678.386241291</v>
      </c>
      <c r="M32" s="4">
        <f t="shared" si="2"/>
        <v>29615911.16</v>
      </c>
      <c r="N32" s="4">
        <f t="shared" si="1"/>
        <v>0</v>
      </c>
    </row>
    <row r="33" spans="1:14" x14ac:dyDescent="0.25">
      <c r="A33" s="42">
        <v>105433</v>
      </c>
      <c r="B33" s="43">
        <v>45956</v>
      </c>
      <c r="C33" s="44">
        <v>29615911.16</v>
      </c>
      <c r="G33" s="34"/>
      <c r="H33" s="34"/>
      <c r="I33" s="34"/>
      <c r="J33" s="3">
        <v>16026645.973348176</v>
      </c>
      <c r="K33" s="3">
        <v>60586.800410532916</v>
      </c>
      <c r="L33" s="3">
        <v>13528678.386241291</v>
      </c>
      <c r="M33" s="4">
        <f t="shared" si="2"/>
        <v>29615911.16</v>
      </c>
      <c r="N33" s="4">
        <f t="shared" si="1"/>
        <v>0</v>
      </c>
    </row>
    <row r="34" spans="1:14" x14ac:dyDescent="0.25">
      <c r="A34" s="25">
        <v>105433</v>
      </c>
      <c r="B34" s="2">
        <v>45957</v>
      </c>
      <c r="C34" s="33">
        <v>29729639.719999999</v>
      </c>
      <c r="G34" s="34"/>
      <c r="H34" s="34"/>
      <c r="I34" s="34"/>
      <c r="J34" s="3">
        <v>16088190.166884266</v>
      </c>
      <c r="K34" s="3">
        <v>60819.460804753835</v>
      </c>
      <c r="L34" s="3">
        <v>13580630.09231098</v>
      </c>
      <c r="M34" s="4">
        <f t="shared" si="2"/>
        <v>29729639.719999999</v>
      </c>
      <c r="N34" s="4">
        <f t="shared" si="1"/>
        <v>0</v>
      </c>
    </row>
    <row r="35" spans="1:14" x14ac:dyDescent="0.25">
      <c r="A35" s="25">
        <v>105433</v>
      </c>
      <c r="B35" s="2">
        <v>45958</v>
      </c>
      <c r="C35" s="33">
        <v>29765619.280000001</v>
      </c>
      <c r="G35" s="34"/>
      <c r="H35" s="34"/>
      <c r="I35" s="34"/>
      <c r="J35" s="3">
        <v>16107660.500492495</v>
      </c>
      <c r="K35" s="3">
        <v>60893.066050555732</v>
      </c>
      <c r="L35" s="3">
        <v>13597065.713456951</v>
      </c>
      <c r="M35" s="4">
        <f t="shared" si="2"/>
        <v>29765619.280000001</v>
      </c>
      <c r="N35" s="4">
        <f t="shared" si="1"/>
        <v>0</v>
      </c>
    </row>
    <row r="36" spans="1:14" x14ac:dyDescent="0.25">
      <c r="A36" s="25">
        <v>105433</v>
      </c>
      <c r="B36" s="2">
        <v>45959</v>
      </c>
      <c r="C36" s="33">
        <v>29685986</v>
      </c>
      <c r="G36" s="34"/>
      <c r="H36" s="34"/>
      <c r="I36" s="34"/>
      <c r="J36" s="3">
        <v>16064566.962719453</v>
      </c>
      <c r="K36" s="3">
        <v>60730.156133135642</v>
      </c>
      <c r="L36" s="3">
        <v>13560688.881147413</v>
      </c>
      <c r="M36" s="4">
        <f t="shared" si="2"/>
        <v>29685986</v>
      </c>
      <c r="N36" s="4">
        <f t="shared" si="1"/>
        <v>0</v>
      </c>
    </row>
    <row r="37" spans="1:14" x14ac:dyDescent="0.25">
      <c r="A37" s="25">
        <v>105433</v>
      </c>
      <c r="B37" s="2">
        <v>45960</v>
      </c>
      <c r="C37" s="33">
        <v>29817385.629999999</v>
      </c>
      <c r="G37" s="34"/>
      <c r="H37" s="34"/>
      <c r="I37" s="34"/>
      <c r="J37" s="3">
        <v>16135673.853189979</v>
      </c>
      <c r="K37" s="3">
        <v>60998.967148735268</v>
      </c>
      <c r="L37" s="3">
        <v>13620712.809661286</v>
      </c>
      <c r="M37" s="4">
        <f t="shared" si="2"/>
        <v>29817385.630000003</v>
      </c>
      <c r="N37" s="4">
        <f t="shared" si="1"/>
        <v>0</v>
      </c>
    </row>
    <row r="38" spans="1:14" x14ac:dyDescent="0.25">
      <c r="A38" s="25">
        <v>105433</v>
      </c>
      <c r="B38" s="2">
        <v>45961</v>
      </c>
      <c r="C38" s="33">
        <v>29893118.68</v>
      </c>
      <c r="J38" s="3">
        <v>16176656.782071505</v>
      </c>
      <c r="K38" s="3">
        <v>61153.898164027756</v>
      </c>
      <c r="L38" s="3">
        <v>13655307.999764469</v>
      </c>
      <c r="M38" s="4">
        <f t="shared" si="2"/>
        <v>29893118.68</v>
      </c>
      <c r="N38" s="4">
        <f t="shared" si="1"/>
        <v>0</v>
      </c>
    </row>
    <row r="39" spans="1:14" x14ac:dyDescent="0.25">
      <c r="A39" s="5"/>
      <c r="B39" s="6"/>
      <c r="C39" s="45"/>
      <c r="J39" s="7"/>
      <c r="K39" s="7"/>
      <c r="L39" s="7"/>
      <c r="M39" s="10"/>
      <c r="N39" s="10"/>
    </row>
    <row r="40" spans="1:14" x14ac:dyDescent="0.25">
      <c r="A40" s="5"/>
      <c r="B40" s="6"/>
      <c r="J40" s="7"/>
    </row>
    <row r="41" spans="1:14" x14ac:dyDescent="0.25">
      <c r="A41" s="19" t="s">
        <v>8</v>
      </c>
      <c r="B41" s="8">
        <f>COUNT(B8:B38)</f>
        <v>31</v>
      </c>
      <c r="C41" s="4">
        <f>AVERAGE(C8:C38)</f>
        <v>29698129.589677412</v>
      </c>
      <c r="J41" s="4">
        <f>AVERAGE(J8:J38)</f>
        <v>16071138.464489369</v>
      </c>
      <c r="K41" s="4">
        <f>AVERAGE(K8:K38)</f>
        <v>60754.998902283565</v>
      </c>
      <c r="L41" s="4">
        <f>AVERAGE(L8:L38)</f>
        <v>13566236.126285765</v>
      </c>
      <c r="M41" s="4">
        <f>SUM(J41:L41)</f>
        <v>29698129.589677416</v>
      </c>
      <c r="N41" s="4">
        <f>M41-C41</f>
        <v>0</v>
      </c>
    </row>
    <row r="42" spans="1:14" x14ac:dyDescent="0.25">
      <c r="A42" s="19" t="s">
        <v>9</v>
      </c>
      <c r="B42" s="8">
        <v>1.62</v>
      </c>
      <c r="C42" s="9">
        <f>+C41*$B$43</f>
        <v>41428.890777599998</v>
      </c>
      <c r="D42" s="10">
        <f>C42*1.16</f>
        <v>48057.513302015992</v>
      </c>
      <c r="J42" s="20">
        <f>(+J41*$B$43)</f>
        <v>22419.238157962671</v>
      </c>
      <c r="K42" s="20">
        <f>(+K41*$B$43)</f>
        <v>84.75322346868559</v>
      </c>
      <c r="L42" s="20">
        <f>(+L41*$B$43)</f>
        <v>18924.899396168646</v>
      </c>
      <c r="M42" s="4">
        <f>SUM(J42:L42)</f>
        <v>41428.890777599998</v>
      </c>
      <c r="N42" s="4">
        <f>+C42/M42</f>
        <v>1</v>
      </c>
    </row>
    <row r="43" spans="1:14" x14ac:dyDescent="0.25">
      <c r="A43" s="19" t="s">
        <v>10</v>
      </c>
      <c r="B43" s="11">
        <f>B42/360*B41/100</f>
        <v>1.3950000000000002E-3</v>
      </c>
      <c r="D43" s="10">
        <f>D42-C42</f>
        <v>6628.6225244159941</v>
      </c>
      <c r="M43" s="32">
        <f>C42/M42</f>
        <v>1</v>
      </c>
    </row>
    <row r="47" spans="1:14" x14ac:dyDescent="0.25">
      <c r="M47" s="10"/>
    </row>
  </sheetData>
  <mergeCells count="1">
    <mergeCell ref="A6:C6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3D64-A1C5-4095-8B06-4679636FDBB8}">
  <dimension ref="A1:N46"/>
  <sheetViews>
    <sheetView topLeftCell="A25" zoomScaleNormal="100" workbookViewId="0">
      <selection activeCell="A28" sqref="A28"/>
    </sheetView>
  </sheetViews>
  <sheetFormatPr baseColWidth="10" defaultRowHeight="15" x14ac:dyDescent="0.25"/>
  <cols>
    <col min="3" max="3" width="15.140625" bestFit="1" customWidth="1"/>
    <col min="6" max="6" width="14.140625" bestFit="1" customWidth="1"/>
    <col min="8" max="9" width="14.140625" bestFit="1" customWidth="1"/>
    <col min="10" max="12" width="17" bestFit="1" customWidth="1"/>
    <col min="13" max="14" width="15.140625" bestFit="1" customWidth="1"/>
  </cols>
  <sheetData>
    <row r="1" spans="1:14" x14ac:dyDescent="0.25">
      <c r="D1" s="38" t="s">
        <v>15</v>
      </c>
      <c r="E1" s="35">
        <v>45961</v>
      </c>
      <c r="F1" s="36">
        <v>16185517.140000001</v>
      </c>
      <c r="G1" s="36">
        <v>61167.82</v>
      </c>
      <c r="H1" s="36">
        <v>13646433.699999999</v>
      </c>
      <c r="I1" s="37">
        <f>+F1+G1+H1</f>
        <v>29893118.66</v>
      </c>
    </row>
    <row r="2" spans="1:14" x14ac:dyDescent="0.25">
      <c r="D2" s="38" t="s">
        <v>16</v>
      </c>
      <c r="E2" s="35">
        <v>45991</v>
      </c>
      <c r="F2" s="36">
        <v>16088583.640000001</v>
      </c>
      <c r="G2" s="36">
        <v>61392.03</v>
      </c>
      <c r="H2" s="36">
        <v>13599176.310000001</v>
      </c>
      <c r="I2" s="37">
        <f>+F2+G2+H2</f>
        <v>29749151.98</v>
      </c>
    </row>
    <row r="3" spans="1:14" x14ac:dyDescent="0.25">
      <c r="E3" s="38"/>
      <c r="F3" s="37"/>
    </row>
    <row r="4" spans="1:14" x14ac:dyDescent="0.25">
      <c r="E4" s="35">
        <f>+E1</f>
        <v>45961</v>
      </c>
      <c r="F4" s="13">
        <f t="shared" ref="F4:H5" si="0">+F1/$I1</f>
        <v>0.5414462547080392</v>
      </c>
      <c r="G4" s="13">
        <f t="shared" si="0"/>
        <v>2.0462174153093198E-3</v>
      </c>
      <c r="H4" s="13">
        <f t="shared" si="0"/>
        <v>0.45650752787665144</v>
      </c>
      <c r="I4" s="12">
        <f>+F4+G4+H4</f>
        <v>1</v>
      </c>
    </row>
    <row r="5" spans="1:14" x14ac:dyDescent="0.25">
      <c r="E5" s="35">
        <f>+E2</f>
        <v>45991</v>
      </c>
      <c r="F5" s="13">
        <f t="shared" si="0"/>
        <v>0.54080814306290692</v>
      </c>
      <c r="G5" s="13">
        <f t="shared" si="0"/>
        <v>2.0636564713264137E-3</v>
      </c>
      <c r="H5" s="13">
        <f t="shared" si="0"/>
        <v>0.45712820046576669</v>
      </c>
      <c r="I5" s="12">
        <f>+F5+G5+H5</f>
        <v>1</v>
      </c>
    </row>
    <row r="6" spans="1:14" x14ac:dyDescent="0.25">
      <c r="A6" s="46" t="s">
        <v>0</v>
      </c>
      <c r="B6" s="46"/>
      <c r="C6" s="46"/>
      <c r="E6" s="39" t="s">
        <v>17</v>
      </c>
      <c r="F6" s="40">
        <f>AVERAGE(F4:F5)</f>
        <v>0.54112719888547312</v>
      </c>
      <c r="G6" s="40">
        <f>AVERAGE(G4:G5)</f>
        <v>2.0549369433178668E-3</v>
      </c>
      <c r="H6" s="40">
        <f>AVERAGE(H4:H5)</f>
        <v>0.45681786417120906</v>
      </c>
      <c r="I6" s="12"/>
    </row>
    <row r="7" spans="1:14" x14ac:dyDescent="0.25">
      <c r="A7" s="16" t="s">
        <v>1</v>
      </c>
      <c r="B7" s="17" t="s">
        <v>2</v>
      </c>
      <c r="C7" s="18" t="s">
        <v>3</v>
      </c>
      <c r="E7" s="35"/>
      <c r="F7" s="13"/>
      <c r="G7" s="13"/>
      <c r="H7" s="13"/>
      <c r="I7" s="12"/>
      <c r="J7" s="28" t="s">
        <v>4</v>
      </c>
      <c r="K7" s="14" t="s">
        <v>5</v>
      </c>
      <c r="L7" s="15" t="s">
        <v>6</v>
      </c>
    </row>
    <row r="8" spans="1:14" x14ac:dyDescent="0.25">
      <c r="A8" s="42">
        <v>105433</v>
      </c>
      <c r="B8" s="43">
        <v>45962</v>
      </c>
      <c r="C8" s="44">
        <v>29893118.68</v>
      </c>
      <c r="J8" s="3">
        <v>16175979.577259412</v>
      </c>
      <c r="K8" s="3">
        <v>61428.473926517421</v>
      </c>
      <c r="L8" s="3">
        <v>13655710.628814071</v>
      </c>
      <c r="M8" s="4">
        <f>SUM(J8:L8)</f>
        <v>29893118.68</v>
      </c>
      <c r="N8" s="4">
        <f>+C8-M8</f>
        <v>0</v>
      </c>
    </row>
    <row r="9" spans="1:14" x14ac:dyDescent="0.25">
      <c r="A9" s="42">
        <v>105433</v>
      </c>
      <c r="B9" s="43">
        <v>45963</v>
      </c>
      <c r="C9" s="44">
        <v>29893118.68</v>
      </c>
      <c r="J9" s="3">
        <v>16175979.577259412</v>
      </c>
      <c r="K9" s="3">
        <v>61428.473926517421</v>
      </c>
      <c r="L9" s="3">
        <v>13655710.628814071</v>
      </c>
      <c r="M9" s="4">
        <f>SUM(J9:L9)</f>
        <v>29893118.68</v>
      </c>
      <c r="N9" s="4">
        <f t="shared" ref="N9:N37" si="1">+C9-M9</f>
        <v>0</v>
      </c>
    </row>
    <row r="10" spans="1:14" x14ac:dyDescent="0.25">
      <c r="A10" s="25">
        <v>105433</v>
      </c>
      <c r="B10" s="2">
        <v>45964</v>
      </c>
      <c r="C10" s="33">
        <v>29659368.940000001</v>
      </c>
      <c r="J10" s="3">
        <v>16049491.235213004</v>
      </c>
      <c r="K10" s="3">
        <v>60948.132950300482</v>
      </c>
      <c r="L10" s="3">
        <v>13548929.571836697</v>
      </c>
      <c r="M10" s="4">
        <f>SUM(J10:L10)</f>
        <v>29659368.940000001</v>
      </c>
      <c r="N10" s="4">
        <f t="shared" si="1"/>
        <v>0</v>
      </c>
    </row>
    <row r="11" spans="1:14" x14ac:dyDescent="0.25">
      <c r="A11" s="25">
        <v>105433</v>
      </c>
      <c r="B11" s="2">
        <v>45965</v>
      </c>
      <c r="C11" s="33">
        <v>29798628.940000001</v>
      </c>
      <c r="J11" s="3">
        <v>16124848.608929796</v>
      </c>
      <c r="K11" s="3">
        <v>61234.303469026927</v>
      </c>
      <c r="L11" s="3">
        <v>13612546.027601181</v>
      </c>
      <c r="M11" s="4">
        <f t="shared" ref="M11:M37" si="2">SUM(J11:L11)</f>
        <v>29798628.940000005</v>
      </c>
      <c r="N11" s="4">
        <f t="shared" si="1"/>
        <v>0</v>
      </c>
    </row>
    <row r="12" spans="1:14" x14ac:dyDescent="0.25">
      <c r="A12" s="25">
        <v>105433</v>
      </c>
      <c r="B12" s="2">
        <v>45966</v>
      </c>
      <c r="C12" s="33">
        <v>29858428.48</v>
      </c>
      <c r="J12" s="3">
        <v>16157207.766504634</v>
      </c>
      <c r="K12" s="3">
        <v>61357.18775296634</v>
      </c>
      <c r="L12" s="3">
        <v>13639863.5257424</v>
      </c>
      <c r="M12" s="4">
        <f t="shared" si="2"/>
        <v>29858428.48</v>
      </c>
      <c r="N12" s="4">
        <f t="shared" si="1"/>
        <v>0</v>
      </c>
    </row>
    <row r="13" spans="1:14" x14ac:dyDescent="0.25">
      <c r="A13" s="25">
        <v>105433</v>
      </c>
      <c r="B13" s="2">
        <v>45967</v>
      </c>
      <c r="C13" s="33">
        <v>29894222.789999999</v>
      </c>
      <c r="E13" t="s">
        <v>7</v>
      </c>
      <c r="J13" s="3">
        <v>16176577.041210972</v>
      </c>
      <c r="K13" s="3">
        <v>61430.742802945912</v>
      </c>
      <c r="L13" s="3">
        <v>13656215.005986081</v>
      </c>
      <c r="M13" s="4">
        <f t="shared" si="2"/>
        <v>29894222.789999999</v>
      </c>
      <c r="N13" s="4">
        <f t="shared" si="1"/>
        <v>0</v>
      </c>
    </row>
    <row r="14" spans="1:14" x14ac:dyDescent="0.25">
      <c r="A14" s="25">
        <v>105433</v>
      </c>
      <c r="B14" s="2">
        <v>45968</v>
      </c>
      <c r="C14" s="33">
        <v>29753322.510000002</v>
      </c>
      <c r="J14" s="3">
        <v>16100332.067372395</v>
      </c>
      <c r="K14" s="3">
        <v>61141.201612250086</v>
      </c>
      <c r="L14" s="3">
        <v>13591849.241015358</v>
      </c>
      <c r="M14" s="4">
        <f t="shared" si="2"/>
        <v>29753322.510000005</v>
      </c>
      <c r="N14" s="4">
        <f t="shared" si="1"/>
        <v>0</v>
      </c>
    </row>
    <row r="15" spans="1:14" x14ac:dyDescent="0.25">
      <c r="A15" s="42">
        <v>105433</v>
      </c>
      <c r="B15" s="43">
        <v>45969</v>
      </c>
      <c r="C15" s="44">
        <v>29753322.510000002</v>
      </c>
      <c r="J15" s="3">
        <v>16100332.067372395</v>
      </c>
      <c r="K15" s="3">
        <v>61141.201612250086</v>
      </c>
      <c r="L15" s="3">
        <v>13591849.241015358</v>
      </c>
      <c r="M15" s="4">
        <f t="shared" si="2"/>
        <v>29753322.510000005</v>
      </c>
      <c r="N15" s="4">
        <f t="shared" si="1"/>
        <v>0</v>
      </c>
    </row>
    <row r="16" spans="1:14" x14ac:dyDescent="0.25">
      <c r="A16" s="42">
        <v>105433</v>
      </c>
      <c r="B16" s="43">
        <v>45970</v>
      </c>
      <c r="C16" s="44">
        <v>29753322.510000002</v>
      </c>
      <c r="J16" s="3">
        <v>16100332.067372395</v>
      </c>
      <c r="K16" s="3">
        <v>61141.201612250086</v>
      </c>
      <c r="L16" s="3">
        <v>13591849.241015358</v>
      </c>
      <c r="M16" s="4">
        <f t="shared" si="2"/>
        <v>29753322.510000005</v>
      </c>
      <c r="N16" s="4">
        <f t="shared" si="1"/>
        <v>0</v>
      </c>
    </row>
    <row r="17" spans="1:14" x14ac:dyDescent="0.25">
      <c r="A17" s="25">
        <v>105433</v>
      </c>
      <c r="B17" s="2">
        <v>45971</v>
      </c>
      <c r="C17" s="33">
        <v>29702233.140000001</v>
      </c>
      <c r="J17" s="3">
        <v>16072686.21969147</v>
      </c>
      <c r="K17" s="3">
        <v>61036.216178426243</v>
      </c>
      <c r="L17" s="3">
        <v>13568510.704130106</v>
      </c>
      <c r="M17" s="4">
        <f t="shared" si="2"/>
        <v>29702233.140000001</v>
      </c>
      <c r="N17" s="4">
        <f t="shared" si="1"/>
        <v>0</v>
      </c>
    </row>
    <row r="18" spans="1:14" x14ac:dyDescent="0.25">
      <c r="A18" s="25">
        <v>105433</v>
      </c>
      <c r="B18" s="2">
        <v>45972</v>
      </c>
      <c r="C18" s="33">
        <v>29761570.370000001</v>
      </c>
      <c r="J18" s="3">
        <v>16104795.208750995</v>
      </c>
      <c r="K18" s="3">
        <v>61158.150444467399</v>
      </c>
      <c r="L18" s="3">
        <v>13595617.010804541</v>
      </c>
      <c r="M18" s="4">
        <f t="shared" si="2"/>
        <v>29761570.370000005</v>
      </c>
      <c r="N18" s="4">
        <f t="shared" si="1"/>
        <v>0</v>
      </c>
    </row>
    <row r="19" spans="1:14" x14ac:dyDescent="0.25">
      <c r="A19" s="25">
        <v>105433</v>
      </c>
      <c r="B19" s="2">
        <v>45973</v>
      </c>
      <c r="C19" s="33">
        <v>29691487.109999999</v>
      </c>
      <c r="J19" s="3">
        <v>16066871.250578431</v>
      </c>
      <c r="K19" s="3">
        <v>61014.133764385238</v>
      </c>
      <c r="L19" s="3">
        <v>13563601.725657184</v>
      </c>
      <c r="M19" s="4">
        <f t="shared" si="2"/>
        <v>29691487.109999999</v>
      </c>
      <c r="N19" s="4">
        <f t="shared" si="1"/>
        <v>0</v>
      </c>
    </row>
    <row r="20" spans="1:14" x14ac:dyDescent="0.25">
      <c r="A20" s="25">
        <v>105433</v>
      </c>
      <c r="B20" s="2">
        <v>45974</v>
      </c>
      <c r="C20" s="33">
        <v>29595173.68</v>
      </c>
      <c r="J20" s="3">
        <v>16014753.43398748</v>
      </c>
      <c r="K20" s="3">
        <v>60816.215738940584</v>
      </c>
      <c r="L20" s="3">
        <v>13519604.030273581</v>
      </c>
      <c r="M20" s="4">
        <f t="shared" si="2"/>
        <v>29595173.68</v>
      </c>
      <c r="N20" s="4">
        <f t="shared" si="1"/>
        <v>0</v>
      </c>
    </row>
    <row r="21" spans="1:14" x14ac:dyDescent="0.25">
      <c r="A21" s="25">
        <v>105433</v>
      </c>
      <c r="B21" s="2">
        <v>45975</v>
      </c>
      <c r="C21" s="33">
        <v>29575288.140000001</v>
      </c>
      <c r="G21" s="34"/>
      <c r="H21" s="34"/>
      <c r="I21" s="34"/>
      <c r="J21" s="3">
        <v>16003992.827428954</v>
      </c>
      <c r="K21" s="3">
        <v>60775.352208156757</v>
      </c>
      <c r="L21" s="3">
        <v>13510519.960362891</v>
      </c>
      <c r="M21" s="4">
        <f t="shared" si="2"/>
        <v>29575288.140000001</v>
      </c>
      <c r="N21" s="4">
        <f t="shared" si="1"/>
        <v>0</v>
      </c>
    </row>
    <row r="22" spans="1:14" x14ac:dyDescent="0.25">
      <c r="A22" s="42">
        <v>105433</v>
      </c>
      <c r="B22" s="43">
        <v>45976</v>
      </c>
      <c r="C22" s="44">
        <v>29575288.140000001</v>
      </c>
      <c r="G22" s="34"/>
      <c r="H22" s="34"/>
      <c r="I22" s="34"/>
      <c r="J22" s="3">
        <v>16003992.827428954</v>
      </c>
      <c r="K22" s="3">
        <v>60775.352208156757</v>
      </c>
      <c r="L22" s="3">
        <v>13510519.960362891</v>
      </c>
      <c r="M22" s="4">
        <f t="shared" si="2"/>
        <v>29575288.140000001</v>
      </c>
      <c r="N22" s="4">
        <f t="shared" si="1"/>
        <v>0</v>
      </c>
    </row>
    <row r="23" spans="1:14" x14ac:dyDescent="0.25">
      <c r="A23" s="42">
        <v>105433</v>
      </c>
      <c r="B23" s="43">
        <v>45977</v>
      </c>
      <c r="C23" s="44">
        <v>29575288.140000001</v>
      </c>
      <c r="G23" s="34"/>
      <c r="H23" s="34"/>
      <c r="I23" s="34"/>
      <c r="J23" s="3">
        <v>16003992.827428954</v>
      </c>
      <c r="K23" s="3">
        <v>60775.352208156757</v>
      </c>
      <c r="L23" s="3">
        <v>13510519.960362891</v>
      </c>
      <c r="M23" s="4">
        <f t="shared" si="2"/>
        <v>29575288.140000001</v>
      </c>
      <c r="N23" s="4">
        <f t="shared" si="1"/>
        <v>0</v>
      </c>
    </row>
    <row r="24" spans="1:14" x14ac:dyDescent="0.25">
      <c r="A24" s="42">
        <v>105433</v>
      </c>
      <c r="B24" s="43">
        <v>45978</v>
      </c>
      <c r="C24" s="44">
        <v>29575288.140000001</v>
      </c>
      <c r="G24" s="34"/>
      <c r="H24" s="34"/>
      <c r="I24" s="34"/>
      <c r="J24" s="3">
        <v>16003992.827428954</v>
      </c>
      <c r="K24" s="3">
        <v>60775.352208156757</v>
      </c>
      <c r="L24" s="3">
        <v>13510519.960362891</v>
      </c>
      <c r="M24" s="4">
        <f t="shared" si="2"/>
        <v>29575288.140000001</v>
      </c>
      <c r="N24" s="4">
        <f t="shared" si="1"/>
        <v>0</v>
      </c>
    </row>
    <row r="25" spans="1:14" x14ac:dyDescent="0.25">
      <c r="A25" s="25">
        <v>105433</v>
      </c>
      <c r="B25" s="2">
        <v>45979</v>
      </c>
      <c r="C25" s="33">
        <v>29642552.850000001</v>
      </c>
      <c r="G25" s="34"/>
      <c r="H25" s="34"/>
      <c r="I25" s="34"/>
      <c r="J25" s="3">
        <v>16040391.591535099</v>
      </c>
      <c r="K25" s="3">
        <v>60913.576945717323</v>
      </c>
      <c r="L25" s="3">
        <v>13541247.681519186</v>
      </c>
      <c r="M25" s="4">
        <f t="shared" si="2"/>
        <v>29642552.850000001</v>
      </c>
      <c r="N25" s="4">
        <f t="shared" si="1"/>
        <v>0</v>
      </c>
    </row>
    <row r="26" spans="1:14" x14ac:dyDescent="0.25">
      <c r="A26" s="25">
        <v>105433</v>
      </c>
      <c r="B26" s="2">
        <v>45980</v>
      </c>
      <c r="C26" s="33">
        <v>29559088.420000002</v>
      </c>
      <c r="G26" s="34"/>
      <c r="H26" s="34"/>
      <c r="I26" s="34"/>
      <c r="J26" s="3">
        <v>15995226.718322625</v>
      </c>
      <c r="K26" s="3">
        <v>60742.062805057358</v>
      </c>
      <c r="L26" s="3">
        <v>13503119.63887232</v>
      </c>
      <c r="M26" s="4">
        <f t="shared" si="2"/>
        <v>29559088.420000002</v>
      </c>
      <c r="N26" s="4">
        <f t="shared" si="1"/>
        <v>0</v>
      </c>
    </row>
    <row r="27" spans="1:14" x14ac:dyDescent="0.25">
      <c r="A27" s="25">
        <v>105433</v>
      </c>
      <c r="B27" s="2">
        <v>45981</v>
      </c>
      <c r="C27" s="33">
        <v>29560867.510000002</v>
      </c>
      <c r="G27" s="10"/>
      <c r="J27" s="3">
        <v>15996189.43231089</v>
      </c>
      <c r="K27" s="3">
        <v>60745.71872282384</v>
      </c>
      <c r="L27" s="3">
        <v>13503932.358966287</v>
      </c>
      <c r="M27" s="4">
        <f t="shared" si="2"/>
        <v>29560867.510000002</v>
      </c>
      <c r="N27" s="4">
        <f t="shared" si="1"/>
        <v>0</v>
      </c>
    </row>
    <row r="28" spans="1:14" x14ac:dyDescent="0.25">
      <c r="A28" s="25">
        <v>105433</v>
      </c>
      <c r="B28" s="2">
        <v>45982</v>
      </c>
      <c r="C28" s="33">
        <v>29818407.899999999</v>
      </c>
      <c r="G28" s="34"/>
      <c r="H28" s="34"/>
      <c r="I28" s="34"/>
      <c r="J28" s="3">
        <v>16135551.542151462</v>
      </c>
      <c r="K28" s="3">
        <v>61274.947984631326</v>
      </c>
      <c r="L28" s="3">
        <v>13621581.409863906</v>
      </c>
      <c r="M28" s="4">
        <f t="shared" si="2"/>
        <v>29818407.899999999</v>
      </c>
      <c r="N28" s="4">
        <f t="shared" si="1"/>
        <v>0</v>
      </c>
    </row>
    <row r="29" spans="1:14" x14ac:dyDescent="0.25">
      <c r="A29" s="42">
        <v>105433</v>
      </c>
      <c r="B29" s="43">
        <v>45983</v>
      </c>
      <c r="C29" s="44">
        <v>29818407.899999999</v>
      </c>
      <c r="G29" s="34"/>
      <c r="H29" s="34"/>
      <c r="I29" s="34"/>
      <c r="J29" s="3">
        <v>16135551.542151462</v>
      </c>
      <c r="K29" s="3">
        <v>61274.947984631326</v>
      </c>
      <c r="L29" s="3">
        <v>13621581.409863906</v>
      </c>
      <c r="M29" s="4">
        <f t="shared" si="2"/>
        <v>29818407.899999999</v>
      </c>
      <c r="N29" s="4">
        <f t="shared" si="1"/>
        <v>0</v>
      </c>
    </row>
    <row r="30" spans="1:14" x14ac:dyDescent="0.25">
      <c r="A30" s="42">
        <v>105433</v>
      </c>
      <c r="B30" s="43">
        <v>45984</v>
      </c>
      <c r="C30" s="44">
        <v>29818407.899999999</v>
      </c>
      <c r="G30" s="10"/>
      <c r="H30" s="34"/>
      <c r="I30" s="34"/>
      <c r="J30" s="3">
        <v>16135551.542151462</v>
      </c>
      <c r="K30" s="3">
        <v>61274.947984631326</v>
      </c>
      <c r="L30" s="3">
        <v>13621581.409863906</v>
      </c>
      <c r="M30" s="4">
        <f t="shared" si="2"/>
        <v>29818407.899999999</v>
      </c>
      <c r="N30" s="4">
        <f t="shared" si="1"/>
        <v>0</v>
      </c>
    </row>
    <row r="31" spans="1:14" x14ac:dyDescent="0.25">
      <c r="A31" s="25">
        <v>105433</v>
      </c>
      <c r="B31" s="2">
        <v>45985</v>
      </c>
      <c r="C31" s="33">
        <v>29820380.780000001</v>
      </c>
      <c r="G31" s="34"/>
      <c r="H31" s="34"/>
      <c r="I31" s="34"/>
      <c r="J31" s="3">
        <v>16136619.121179601</v>
      </c>
      <c r="K31" s="3">
        <v>61279.002128628068</v>
      </c>
      <c r="L31" s="3">
        <v>13622482.656691775</v>
      </c>
      <c r="M31" s="4">
        <f t="shared" si="2"/>
        <v>29820380.780000001</v>
      </c>
      <c r="N31" s="4">
        <f t="shared" si="1"/>
        <v>0</v>
      </c>
    </row>
    <row r="32" spans="1:14" x14ac:dyDescent="0.25">
      <c r="A32" s="25">
        <v>105433</v>
      </c>
      <c r="B32" s="2">
        <v>45986</v>
      </c>
      <c r="C32" s="33">
        <v>29868447.859999999</v>
      </c>
      <c r="G32" s="34"/>
      <c r="H32" s="34"/>
      <c r="I32" s="34"/>
      <c r="J32" s="3">
        <v>16162629.525538603</v>
      </c>
      <c r="K32" s="3">
        <v>61377.77694707748</v>
      </c>
      <c r="L32" s="3">
        <v>13644440.557514319</v>
      </c>
      <c r="M32" s="4">
        <f t="shared" si="2"/>
        <v>29868447.859999999</v>
      </c>
      <c r="N32" s="4">
        <f t="shared" si="1"/>
        <v>0</v>
      </c>
    </row>
    <row r="33" spans="1:14" x14ac:dyDescent="0.25">
      <c r="A33" s="25">
        <v>105433</v>
      </c>
      <c r="B33" s="2">
        <v>45987</v>
      </c>
      <c r="C33" s="33">
        <v>29797764.25</v>
      </c>
      <c r="G33" s="34"/>
      <c r="H33" s="34"/>
      <c r="I33" s="34"/>
      <c r="J33" s="3">
        <v>16124380.70165219</v>
      </c>
      <c r="K33" s="3">
        <v>61232.526585601408</v>
      </c>
      <c r="L33" s="3">
        <v>13612151.021762209</v>
      </c>
      <c r="M33" s="4">
        <f t="shared" si="2"/>
        <v>29797764.25</v>
      </c>
      <c r="N33" s="4">
        <f t="shared" si="1"/>
        <v>0</v>
      </c>
    </row>
    <row r="34" spans="1:14" x14ac:dyDescent="0.25">
      <c r="A34" s="25">
        <v>105433</v>
      </c>
      <c r="B34" s="2">
        <v>45988</v>
      </c>
      <c r="C34" s="33">
        <v>29759144.77</v>
      </c>
      <c r="G34" s="34"/>
      <c r="H34" s="34"/>
      <c r="I34" s="34"/>
      <c r="J34" s="3">
        <v>16103482.650617376</v>
      </c>
      <c r="K34" s="3">
        <v>61153.165989417685</v>
      </c>
      <c r="L34" s="3">
        <v>13594508.953393206</v>
      </c>
      <c r="M34" s="4">
        <f t="shared" si="2"/>
        <v>29759144.77</v>
      </c>
      <c r="N34" s="4">
        <f t="shared" si="1"/>
        <v>0</v>
      </c>
    </row>
    <row r="35" spans="1:14" x14ac:dyDescent="0.25">
      <c r="A35" s="25">
        <v>105433</v>
      </c>
      <c r="B35" s="2">
        <v>45989</v>
      </c>
      <c r="C35" s="33">
        <v>29749151.969999999</v>
      </c>
      <c r="G35" s="34"/>
      <c r="H35" s="34"/>
      <c r="I35" s="34"/>
      <c r="J35" s="3">
        <v>16098075.274744354</v>
      </c>
      <c r="K35" s="3">
        <v>61132.631415530494</v>
      </c>
      <c r="L35" s="3">
        <v>13589944.063840115</v>
      </c>
      <c r="M35" s="4">
        <f t="shared" si="2"/>
        <v>29749151.969999999</v>
      </c>
      <c r="N35" s="4">
        <f t="shared" si="1"/>
        <v>0</v>
      </c>
    </row>
    <row r="36" spans="1:14" x14ac:dyDescent="0.25">
      <c r="A36" s="42">
        <v>105433</v>
      </c>
      <c r="B36" s="43">
        <v>45990</v>
      </c>
      <c r="C36" s="44">
        <v>29818407.899999999</v>
      </c>
      <c r="G36" s="34"/>
      <c r="H36" s="34"/>
      <c r="I36" s="34"/>
      <c r="J36" s="3">
        <v>16135551.542151462</v>
      </c>
      <c r="K36" s="3">
        <v>61274.947984631326</v>
      </c>
      <c r="L36" s="3">
        <v>13621581.409863906</v>
      </c>
      <c r="M36" s="4">
        <f t="shared" si="2"/>
        <v>29818407.899999999</v>
      </c>
      <c r="N36" s="4">
        <f t="shared" si="1"/>
        <v>0</v>
      </c>
    </row>
    <row r="37" spans="1:14" x14ac:dyDescent="0.25">
      <c r="A37" s="42">
        <v>105433</v>
      </c>
      <c r="B37" s="43">
        <v>45991</v>
      </c>
      <c r="C37" s="44">
        <v>29818407.899999999</v>
      </c>
      <c r="J37" s="3">
        <v>16135551.542151462</v>
      </c>
      <c r="K37" s="3">
        <v>61274.947984631326</v>
      </c>
      <c r="L37" s="3">
        <v>13621581.409863906</v>
      </c>
      <c r="M37" s="4">
        <f t="shared" si="2"/>
        <v>29818407.899999999</v>
      </c>
      <c r="N37" s="4">
        <f t="shared" si="1"/>
        <v>0</v>
      </c>
    </row>
    <row r="38" spans="1:14" x14ac:dyDescent="0.25">
      <c r="A38" s="5"/>
      <c r="B38" s="6"/>
      <c r="C38" s="45"/>
      <c r="J38" s="7"/>
      <c r="K38" s="7"/>
      <c r="L38" s="7"/>
      <c r="M38" s="10"/>
      <c r="N38" s="10"/>
    </row>
    <row r="39" spans="1:14" x14ac:dyDescent="0.25">
      <c r="A39" s="5"/>
      <c r="B39" s="6"/>
      <c r="J39" s="7"/>
    </row>
    <row r="40" spans="1:14" x14ac:dyDescent="0.25">
      <c r="A40" s="19" t="s">
        <v>8</v>
      </c>
      <c r="B40" s="8">
        <f>COUNT(B8:B37)</f>
        <v>30</v>
      </c>
      <c r="C40" s="4">
        <f>AVERAGE(C8:C37)</f>
        <v>29738596.960333329</v>
      </c>
      <c r="J40" s="4">
        <f>AVERAGE(J8:J37)</f>
        <v>16092363.671929218</v>
      </c>
      <c r="K40" s="4">
        <f>AVERAGE(K8:K37)</f>
        <v>61110.941536229388</v>
      </c>
      <c r="L40" s="4">
        <f>AVERAGE(L8:L37)</f>
        <v>13585122.34686788</v>
      </c>
      <c r="M40" s="4">
        <f>SUM(J40:L40)</f>
        <v>29738596.960333325</v>
      </c>
      <c r="N40" s="4">
        <f>M40-C40</f>
        <v>0</v>
      </c>
    </row>
    <row r="41" spans="1:14" x14ac:dyDescent="0.25">
      <c r="A41" s="19" t="s">
        <v>9</v>
      </c>
      <c r="B41" s="8">
        <v>1.62</v>
      </c>
      <c r="C41" s="9">
        <f>+C40*$B$42</f>
        <v>40147.105896449997</v>
      </c>
      <c r="D41" s="10">
        <f>C41*1.16</f>
        <v>46570.642839881992</v>
      </c>
      <c r="J41" s="20">
        <f>(+J40*$B$42)</f>
        <v>21724.690957104445</v>
      </c>
      <c r="K41" s="20">
        <f>(+K40*$B$42)</f>
        <v>82.499771073909685</v>
      </c>
      <c r="L41" s="20">
        <f>(+L40*$B$42)</f>
        <v>18339.91516827164</v>
      </c>
      <c r="M41" s="4">
        <f>SUM(J41:L41)</f>
        <v>40147.105896449997</v>
      </c>
      <c r="N41" s="4">
        <f>+C41/M41</f>
        <v>1</v>
      </c>
    </row>
    <row r="42" spans="1:14" x14ac:dyDescent="0.25">
      <c r="A42" s="19" t="s">
        <v>10</v>
      </c>
      <c r="B42" s="11">
        <f>B41/360*B40/100</f>
        <v>1.3500000000000001E-3</v>
      </c>
      <c r="D42" s="10">
        <f>D41-C41</f>
        <v>6423.5369434319946</v>
      </c>
      <c r="M42" s="32">
        <f>C41/M41</f>
        <v>1</v>
      </c>
    </row>
    <row r="46" spans="1:14" x14ac:dyDescent="0.25">
      <c r="M46" s="10"/>
    </row>
  </sheetData>
  <mergeCells count="1">
    <mergeCell ref="A6:C6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73DE-6881-4BA0-97F1-B2FEF73C27D3}">
  <dimension ref="A1:N47"/>
  <sheetViews>
    <sheetView tabSelected="1" topLeftCell="A20" zoomScaleNormal="100" workbookViewId="0">
      <selection activeCell="E29" sqref="E29"/>
    </sheetView>
  </sheetViews>
  <sheetFormatPr baseColWidth="10" defaultRowHeight="15" x14ac:dyDescent="0.25"/>
  <cols>
    <col min="3" max="3" width="15.140625" bestFit="1" customWidth="1"/>
    <col min="6" max="6" width="14.140625" bestFit="1" customWidth="1"/>
    <col min="8" max="9" width="14.140625" bestFit="1" customWidth="1"/>
    <col min="10" max="12" width="17" bestFit="1" customWidth="1"/>
    <col min="13" max="14" width="15.140625" bestFit="1" customWidth="1"/>
  </cols>
  <sheetData>
    <row r="1" spans="1:14" x14ac:dyDescent="0.25">
      <c r="D1" s="38" t="s">
        <v>15</v>
      </c>
      <c r="E1" s="35">
        <v>45961</v>
      </c>
      <c r="F1" s="36">
        <v>16185517.140000001</v>
      </c>
      <c r="G1" s="36">
        <v>61167.82</v>
      </c>
      <c r="H1" s="36">
        <v>13646433.699999999</v>
      </c>
      <c r="I1" s="37">
        <f>+F1+G1+H1</f>
        <v>29893118.66</v>
      </c>
    </row>
    <row r="2" spans="1:14" x14ac:dyDescent="0.25">
      <c r="D2" s="38" t="s">
        <v>16</v>
      </c>
      <c r="E2" s="35">
        <v>45991</v>
      </c>
      <c r="F2" s="36">
        <v>16088583.640000001</v>
      </c>
      <c r="G2" s="36">
        <v>61392.03</v>
      </c>
      <c r="H2" s="36">
        <v>13599176.310000001</v>
      </c>
      <c r="I2" s="37">
        <f>+F2+G2+H2</f>
        <v>29749151.98</v>
      </c>
    </row>
    <row r="3" spans="1:14" x14ac:dyDescent="0.25">
      <c r="E3" s="38"/>
      <c r="F3" s="37"/>
    </row>
    <row r="4" spans="1:14" x14ac:dyDescent="0.25">
      <c r="E4" s="35">
        <f>+E1</f>
        <v>45961</v>
      </c>
      <c r="F4" s="13">
        <f t="shared" ref="F4:H5" si="0">+F1/$I1</f>
        <v>0.5414462547080392</v>
      </c>
      <c r="G4" s="13">
        <f t="shared" si="0"/>
        <v>2.0462174153093198E-3</v>
      </c>
      <c r="H4" s="13">
        <f t="shared" si="0"/>
        <v>0.45650752787665144</v>
      </c>
      <c r="I4" s="12">
        <f>+F4+G4+H4</f>
        <v>1</v>
      </c>
    </row>
    <row r="5" spans="1:14" x14ac:dyDescent="0.25">
      <c r="E5" s="35">
        <f>+E2</f>
        <v>45991</v>
      </c>
      <c r="F5" s="13">
        <f t="shared" si="0"/>
        <v>0.54080814306290692</v>
      </c>
      <c r="G5" s="13">
        <f t="shared" si="0"/>
        <v>2.0636564713264137E-3</v>
      </c>
      <c r="H5" s="13">
        <f t="shared" si="0"/>
        <v>0.45712820046576669</v>
      </c>
      <c r="I5" s="12">
        <f>+F5+G5+H5</f>
        <v>1</v>
      </c>
    </row>
    <row r="6" spans="1:14" x14ac:dyDescent="0.25">
      <c r="A6" s="46" t="s">
        <v>0</v>
      </c>
      <c r="B6" s="46"/>
      <c r="C6" s="46"/>
      <c r="E6" s="39" t="s">
        <v>17</v>
      </c>
      <c r="F6" s="40">
        <f>AVERAGE(F4:F5)</f>
        <v>0.54112719888547312</v>
      </c>
      <c r="G6" s="40">
        <f>AVERAGE(G4:G5)</f>
        <v>2.0549369433178668E-3</v>
      </c>
      <c r="H6" s="40">
        <f>AVERAGE(H4:H5)</f>
        <v>0.45681786417120906</v>
      </c>
      <c r="I6" s="12"/>
    </row>
    <row r="7" spans="1:14" x14ac:dyDescent="0.25">
      <c r="A7" s="16" t="s">
        <v>1</v>
      </c>
      <c r="B7" s="17" t="s">
        <v>2</v>
      </c>
      <c r="C7" s="18" t="s">
        <v>3</v>
      </c>
      <c r="E7" s="35"/>
      <c r="F7" s="13"/>
      <c r="G7" s="13"/>
      <c r="H7" s="13"/>
      <c r="I7" s="12"/>
      <c r="J7" s="28" t="s">
        <v>4</v>
      </c>
      <c r="K7" s="14" t="s">
        <v>5</v>
      </c>
      <c r="L7" s="15" t="s">
        <v>6</v>
      </c>
    </row>
    <row r="8" spans="1:14" x14ac:dyDescent="0.25">
      <c r="A8" s="25">
        <v>105433</v>
      </c>
      <c r="B8" s="2">
        <v>45992</v>
      </c>
      <c r="C8" s="33">
        <v>29638613.489999998</v>
      </c>
      <c r="J8" s="3">
        <v>29638613.489999998</v>
      </c>
      <c r="K8" s="3">
        <v>29638613.489999998</v>
      </c>
      <c r="L8" s="3">
        <v>29638613.489999998</v>
      </c>
      <c r="M8" s="4">
        <f>SUM(J8:L8)</f>
        <v>88915840.469999999</v>
      </c>
      <c r="N8" s="4">
        <f>+C8-M8</f>
        <v>-59277226.980000004</v>
      </c>
    </row>
    <row r="9" spans="1:14" x14ac:dyDescent="0.25">
      <c r="A9" s="25">
        <v>105433</v>
      </c>
      <c r="B9" s="2">
        <v>45993</v>
      </c>
      <c r="C9" s="33">
        <v>29650538.23</v>
      </c>
      <c r="J9" s="3">
        <v>29650538.23</v>
      </c>
      <c r="K9" s="3">
        <v>29650538.23</v>
      </c>
      <c r="L9" s="3">
        <v>29650538.23</v>
      </c>
      <c r="M9" s="4">
        <f>SUM(J9:L9)</f>
        <v>88951614.689999998</v>
      </c>
      <c r="N9" s="4">
        <f t="shared" ref="N9:N38" si="1">+C9-M9</f>
        <v>-59301076.459999993</v>
      </c>
    </row>
    <row r="10" spans="1:14" x14ac:dyDescent="0.25">
      <c r="A10" s="25">
        <v>105433</v>
      </c>
      <c r="B10" s="2">
        <v>45994</v>
      </c>
      <c r="C10" s="33">
        <v>29664568.609999999</v>
      </c>
      <c r="J10" s="3">
        <v>29664568.609999999</v>
      </c>
      <c r="K10" s="3">
        <v>29664568.609999999</v>
      </c>
      <c r="L10" s="3">
        <v>29664568.609999999</v>
      </c>
      <c r="M10" s="4">
        <f>SUM(J10:L10)</f>
        <v>88993705.829999998</v>
      </c>
      <c r="N10" s="4">
        <f t="shared" si="1"/>
        <v>-59329137.219999999</v>
      </c>
    </row>
    <row r="11" spans="1:14" x14ac:dyDescent="0.25">
      <c r="A11" s="25">
        <v>105433</v>
      </c>
      <c r="B11" s="2">
        <v>45995</v>
      </c>
      <c r="C11" s="33">
        <v>29612656.25</v>
      </c>
      <c r="J11" s="3">
        <v>29612656.25</v>
      </c>
      <c r="K11" s="3">
        <v>29612656.25</v>
      </c>
      <c r="L11" s="3">
        <v>29612656.25</v>
      </c>
      <c r="M11" s="4">
        <f t="shared" ref="M11:M38" si="2">SUM(J11:L11)</f>
        <v>88837968.75</v>
      </c>
      <c r="N11" s="4">
        <f t="shared" si="1"/>
        <v>-59225312.5</v>
      </c>
    </row>
    <row r="12" spans="1:14" x14ac:dyDescent="0.25">
      <c r="A12" s="25">
        <v>105433</v>
      </c>
      <c r="B12" s="2">
        <v>45996</v>
      </c>
      <c r="C12" s="33">
        <v>29576813.34</v>
      </c>
      <c r="J12" s="3">
        <v>29576813.34</v>
      </c>
      <c r="K12" s="3">
        <v>29576813.34</v>
      </c>
      <c r="L12" s="3">
        <v>29576813.34</v>
      </c>
      <c r="M12" s="4">
        <f t="shared" si="2"/>
        <v>88730440.019999996</v>
      </c>
      <c r="N12" s="4">
        <f t="shared" si="1"/>
        <v>-59153626.679999992</v>
      </c>
    </row>
    <row r="13" spans="1:14" x14ac:dyDescent="0.25">
      <c r="A13" s="42">
        <v>105433</v>
      </c>
      <c r="B13" s="43">
        <v>45997</v>
      </c>
      <c r="C13" s="44">
        <v>29576813.34</v>
      </c>
      <c r="E13" t="s">
        <v>7</v>
      </c>
      <c r="J13" s="3">
        <v>29576813.34</v>
      </c>
      <c r="K13" s="3">
        <v>29576813.34</v>
      </c>
      <c r="L13" s="3">
        <v>29576813.34</v>
      </c>
      <c r="M13" s="4">
        <f t="shared" si="2"/>
        <v>88730440.019999996</v>
      </c>
      <c r="N13" s="4">
        <f t="shared" si="1"/>
        <v>-59153626.679999992</v>
      </c>
    </row>
    <row r="14" spans="1:14" x14ac:dyDescent="0.25">
      <c r="A14" s="42">
        <v>105433</v>
      </c>
      <c r="B14" s="43">
        <v>45998</v>
      </c>
      <c r="C14" s="44">
        <v>29576813.34</v>
      </c>
      <c r="J14" s="3">
        <v>29576813.34</v>
      </c>
      <c r="K14" s="3">
        <v>29576813.34</v>
      </c>
      <c r="L14" s="3">
        <v>29576813.34</v>
      </c>
      <c r="M14" s="4">
        <f t="shared" si="2"/>
        <v>88730440.019999996</v>
      </c>
      <c r="N14" s="4">
        <f t="shared" si="1"/>
        <v>-59153626.679999992</v>
      </c>
    </row>
    <row r="15" spans="1:14" x14ac:dyDescent="0.25">
      <c r="A15" s="25">
        <v>105433</v>
      </c>
      <c r="B15" s="2">
        <v>45999</v>
      </c>
      <c r="C15" s="33">
        <v>29657773.890000001</v>
      </c>
      <c r="J15" s="3">
        <v>29657773.890000001</v>
      </c>
      <c r="K15" s="3">
        <v>29657773.890000001</v>
      </c>
      <c r="L15" s="3">
        <v>29657773.890000001</v>
      </c>
      <c r="M15" s="4">
        <f t="shared" si="2"/>
        <v>88973321.670000002</v>
      </c>
      <c r="N15" s="4">
        <f t="shared" si="1"/>
        <v>-59315547.780000001</v>
      </c>
    </row>
    <row r="16" spans="1:14" x14ac:dyDescent="0.25">
      <c r="A16" s="25">
        <v>105433</v>
      </c>
      <c r="B16" s="2">
        <v>46000</v>
      </c>
      <c r="C16" s="33">
        <v>29659057.559999999</v>
      </c>
      <c r="J16" s="3">
        <v>29659057.559999999</v>
      </c>
      <c r="K16" s="3">
        <v>29659057.559999999</v>
      </c>
      <c r="L16" s="3">
        <v>29659057.559999999</v>
      </c>
      <c r="M16" s="4">
        <f t="shared" si="2"/>
        <v>88977172.679999992</v>
      </c>
      <c r="N16" s="4">
        <f t="shared" si="1"/>
        <v>-59318115.11999999</v>
      </c>
    </row>
    <row r="17" spans="1:14" x14ac:dyDescent="0.25">
      <c r="A17" s="25">
        <v>105433</v>
      </c>
      <c r="B17" s="2">
        <v>46001</v>
      </c>
      <c r="C17" s="33">
        <v>29686408.07</v>
      </c>
      <c r="J17" s="3">
        <v>29686408.07</v>
      </c>
      <c r="K17" s="3">
        <v>29686408.07</v>
      </c>
      <c r="L17" s="3">
        <v>29686408.07</v>
      </c>
      <c r="M17" s="4">
        <f t="shared" si="2"/>
        <v>89059224.210000008</v>
      </c>
      <c r="N17" s="4">
        <f t="shared" si="1"/>
        <v>-59372816.140000008</v>
      </c>
    </row>
    <row r="18" spans="1:14" x14ac:dyDescent="0.25">
      <c r="A18" s="25">
        <v>105433</v>
      </c>
      <c r="B18" s="2">
        <v>46002</v>
      </c>
      <c r="C18" s="33">
        <v>29612788.289999999</v>
      </c>
      <c r="J18" s="3">
        <v>29612788.289999999</v>
      </c>
      <c r="K18" s="3">
        <v>29612788.289999999</v>
      </c>
      <c r="L18" s="3">
        <v>29612788.289999999</v>
      </c>
      <c r="M18" s="4">
        <f t="shared" si="2"/>
        <v>88838364.870000005</v>
      </c>
      <c r="N18" s="4">
        <f t="shared" si="1"/>
        <v>-59225576.580000006</v>
      </c>
    </row>
    <row r="19" spans="1:14" x14ac:dyDescent="0.25">
      <c r="A19" s="42">
        <v>105433</v>
      </c>
      <c r="B19" s="43">
        <v>46003</v>
      </c>
      <c r="C19" s="44">
        <v>29612788.289999999</v>
      </c>
      <c r="J19" s="3">
        <v>29612788.289999999</v>
      </c>
      <c r="K19" s="3">
        <v>29612788.289999999</v>
      </c>
      <c r="L19" s="3">
        <v>29612788.289999999</v>
      </c>
      <c r="M19" s="4">
        <f t="shared" si="2"/>
        <v>88838364.870000005</v>
      </c>
      <c r="N19" s="4">
        <f t="shared" si="1"/>
        <v>-59225576.580000006</v>
      </c>
    </row>
    <row r="20" spans="1:14" x14ac:dyDescent="0.25">
      <c r="A20" s="42">
        <v>105433</v>
      </c>
      <c r="B20" s="43">
        <v>46004</v>
      </c>
      <c r="C20" s="44">
        <v>29612788.289999999</v>
      </c>
      <c r="J20" s="3">
        <v>29612788.289999999</v>
      </c>
      <c r="K20" s="3">
        <v>29612788.289999999</v>
      </c>
      <c r="L20" s="3">
        <v>29612788.289999999</v>
      </c>
      <c r="M20" s="4">
        <f t="shared" si="2"/>
        <v>88838364.870000005</v>
      </c>
      <c r="N20" s="4">
        <f t="shared" si="1"/>
        <v>-59225576.580000006</v>
      </c>
    </row>
    <row r="21" spans="1:14" x14ac:dyDescent="0.25">
      <c r="A21" s="42">
        <v>105433</v>
      </c>
      <c r="B21" s="43">
        <v>46005</v>
      </c>
      <c r="C21" s="44">
        <v>29612788.289999999</v>
      </c>
      <c r="G21" s="34"/>
      <c r="H21" s="34"/>
      <c r="I21" s="34"/>
      <c r="J21" s="3">
        <v>29612788.289999999</v>
      </c>
      <c r="K21" s="3">
        <v>29612788.289999999</v>
      </c>
      <c r="L21" s="3">
        <v>29612788.289999999</v>
      </c>
      <c r="M21" s="4">
        <f t="shared" si="2"/>
        <v>88838364.870000005</v>
      </c>
      <c r="N21" s="4">
        <f t="shared" si="1"/>
        <v>-59225576.580000006</v>
      </c>
    </row>
    <row r="22" spans="1:14" x14ac:dyDescent="0.25">
      <c r="A22" s="25">
        <v>105433</v>
      </c>
      <c r="B22" s="2">
        <v>46006</v>
      </c>
      <c r="C22" s="33">
        <v>29534102.77</v>
      </c>
      <c r="G22" s="34"/>
      <c r="H22" s="34"/>
      <c r="I22" s="34"/>
      <c r="J22" s="3">
        <v>29534102.77</v>
      </c>
      <c r="K22" s="3">
        <v>29534102.77</v>
      </c>
      <c r="L22" s="3">
        <v>29534102.77</v>
      </c>
      <c r="M22" s="4">
        <f t="shared" si="2"/>
        <v>88602308.310000002</v>
      </c>
      <c r="N22" s="4">
        <f t="shared" si="1"/>
        <v>-59068205.540000007</v>
      </c>
    </row>
    <row r="23" spans="1:14" x14ac:dyDescent="0.25">
      <c r="A23" s="25">
        <v>105433</v>
      </c>
      <c r="B23" s="2">
        <v>46007</v>
      </c>
      <c r="C23" s="33">
        <v>29384018.149999999</v>
      </c>
      <c r="G23" s="34"/>
      <c r="H23" s="34"/>
      <c r="I23" s="34"/>
      <c r="J23" s="3">
        <v>29384018.149999999</v>
      </c>
      <c r="K23" s="3">
        <v>29384018.149999999</v>
      </c>
      <c r="L23" s="3">
        <v>29384018.149999999</v>
      </c>
      <c r="M23" s="4">
        <f t="shared" si="2"/>
        <v>88152054.449999988</v>
      </c>
      <c r="N23" s="4">
        <f t="shared" si="1"/>
        <v>-58768036.29999999</v>
      </c>
    </row>
    <row r="24" spans="1:14" x14ac:dyDescent="0.25">
      <c r="A24" s="25">
        <v>105433</v>
      </c>
      <c r="B24" s="2">
        <v>46008</v>
      </c>
      <c r="C24" s="33">
        <v>29423974.559999999</v>
      </c>
      <c r="G24" s="34"/>
      <c r="H24" s="34"/>
      <c r="I24" s="34"/>
      <c r="J24" s="3">
        <v>29423974.559999999</v>
      </c>
      <c r="K24" s="3">
        <v>29423974.559999999</v>
      </c>
      <c r="L24" s="3">
        <v>29423974.559999999</v>
      </c>
      <c r="M24" s="4">
        <f t="shared" si="2"/>
        <v>88271923.679999992</v>
      </c>
      <c r="N24" s="4">
        <f t="shared" si="1"/>
        <v>-58847949.11999999</v>
      </c>
    </row>
    <row r="25" spans="1:14" x14ac:dyDescent="0.25">
      <c r="A25" s="25">
        <v>105433</v>
      </c>
      <c r="B25" s="2">
        <v>46009</v>
      </c>
      <c r="C25" s="33">
        <v>29459954.469999999</v>
      </c>
      <c r="G25" s="34"/>
      <c r="H25" s="34"/>
      <c r="I25" s="34"/>
      <c r="J25" s="3">
        <v>29459954.469999999</v>
      </c>
      <c r="K25" s="3">
        <v>29459954.469999999</v>
      </c>
      <c r="L25" s="3">
        <v>29459954.469999999</v>
      </c>
      <c r="M25" s="4">
        <f t="shared" si="2"/>
        <v>88379863.409999996</v>
      </c>
      <c r="N25" s="4">
        <f t="shared" si="1"/>
        <v>-58919908.939999998</v>
      </c>
    </row>
    <row r="26" spans="1:14" x14ac:dyDescent="0.25">
      <c r="A26" s="25">
        <v>105433</v>
      </c>
      <c r="B26" s="2">
        <v>46010</v>
      </c>
      <c r="C26" s="33">
        <v>29488067.77</v>
      </c>
      <c r="G26" s="34"/>
      <c r="H26" s="34"/>
      <c r="I26" s="34"/>
      <c r="J26" s="3">
        <v>29488067.77</v>
      </c>
      <c r="K26" s="3">
        <v>29488067.77</v>
      </c>
      <c r="L26" s="3">
        <v>29488067.77</v>
      </c>
      <c r="M26" s="4">
        <f t="shared" si="2"/>
        <v>88464203.310000002</v>
      </c>
      <c r="N26" s="4">
        <f t="shared" si="1"/>
        <v>-58976135.540000007</v>
      </c>
    </row>
    <row r="27" spans="1:14" x14ac:dyDescent="0.25">
      <c r="A27" s="42">
        <v>105433</v>
      </c>
      <c r="B27" s="43">
        <v>46011</v>
      </c>
      <c r="C27" s="44">
        <v>29488067.77</v>
      </c>
      <c r="G27" s="10"/>
      <c r="J27" s="3">
        <v>29488067.77</v>
      </c>
      <c r="K27" s="3">
        <v>29488067.77</v>
      </c>
      <c r="L27" s="3">
        <v>29488067.77</v>
      </c>
      <c r="M27" s="4">
        <f t="shared" si="2"/>
        <v>88464203.310000002</v>
      </c>
      <c r="N27" s="4">
        <f t="shared" si="1"/>
        <v>-58976135.540000007</v>
      </c>
    </row>
    <row r="28" spans="1:14" x14ac:dyDescent="0.25">
      <c r="A28" s="42">
        <v>105433</v>
      </c>
      <c r="B28" s="43">
        <v>46012</v>
      </c>
      <c r="C28" s="44">
        <v>29488067.77</v>
      </c>
      <c r="G28" s="34"/>
      <c r="H28" s="34"/>
      <c r="I28" s="34"/>
      <c r="J28" s="3">
        <v>29488067.77</v>
      </c>
      <c r="K28" s="3">
        <v>29488067.77</v>
      </c>
      <c r="L28" s="3">
        <v>29488067.77</v>
      </c>
      <c r="M28" s="4">
        <f t="shared" si="2"/>
        <v>88464203.310000002</v>
      </c>
      <c r="N28" s="4">
        <f t="shared" si="1"/>
        <v>-58976135.540000007</v>
      </c>
    </row>
    <row r="29" spans="1:14" x14ac:dyDescent="0.25">
      <c r="A29" s="25">
        <v>105433</v>
      </c>
      <c r="B29" s="2">
        <v>46013</v>
      </c>
      <c r="C29" s="33">
        <v>29489157.829999998</v>
      </c>
      <c r="G29" s="34"/>
      <c r="H29" s="34"/>
      <c r="I29" s="34"/>
      <c r="J29" s="3">
        <v>29489157.829999998</v>
      </c>
      <c r="K29" s="3">
        <v>29489157.829999998</v>
      </c>
      <c r="L29" s="3">
        <v>29489157.829999998</v>
      </c>
      <c r="M29" s="4">
        <f t="shared" si="2"/>
        <v>88467473.489999995</v>
      </c>
      <c r="N29" s="4">
        <f t="shared" si="1"/>
        <v>-58978315.659999996</v>
      </c>
    </row>
    <row r="30" spans="1:14" x14ac:dyDescent="0.25">
      <c r="A30" s="25">
        <v>105433</v>
      </c>
      <c r="B30" s="2">
        <v>46014</v>
      </c>
      <c r="C30" s="33">
        <v>29497304.329999998</v>
      </c>
      <c r="G30" s="10"/>
      <c r="H30" s="34"/>
      <c r="I30" s="34"/>
      <c r="J30" s="3">
        <v>29497304.329999998</v>
      </c>
      <c r="K30" s="3">
        <v>29497304.329999998</v>
      </c>
      <c r="L30" s="3">
        <v>29497304.329999998</v>
      </c>
      <c r="M30" s="4">
        <f t="shared" si="2"/>
        <v>88491912.989999995</v>
      </c>
      <c r="N30" s="4">
        <f t="shared" si="1"/>
        <v>-58994608.659999996</v>
      </c>
    </row>
    <row r="31" spans="1:14" x14ac:dyDescent="0.25">
      <c r="A31" s="25">
        <v>105433</v>
      </c>
      <c r="B31" s="2">
        <v>46015</v>
      </c>
      <c r="C31" s="33">
        <v>29530712.52</v>
      </c>
      <c r="G31" s="34"/>
      <c r="H31" s="34"/>
      <c r="I31" s="34"/>
      <c r="J31" s="3">
        <v>29530712.52</v>
      </c>
      <c r="K31" s="3">
        <v>29530712.52</v>
      </c>
      <c r="L31" s="3">
        <v>29530712.52</v>
      </c>
      <c r="M31" s="4">
        <f t="shared" si="2"/>
        <v>88592137.560000002</v>
      </c>
      <c r="N31" s="4">
        <f t="shared" si="1"/>
        <v>-59061425.040000007</v>
      </c>
    </row>
    <row r="32" spans="1:14" x14ac:dyDescent="0.25">
      <c r="A32" s="42">
        <v>105433</v>
      </c>
      <c r="B32" s="43">
        <v>46016</v>
      </c>
      <c r="C32" s="44">
        <v>29530712.52</v>
      </c>
      <c r="G32" s="34"/>
      <c r="H32" s="34"/>
      <c r="I32" s="34"/>
      <c r="J32" s="3">
        <v>29530712.52</v>
      </c>
      <c r="K32" s="3">
        <v>29530712.52</v>
      </c>
      <c r="L32" s="3">
        <v>29530712.52</v>
      </c>
      <c r="M32" s="4">
        <f t="shared" si="2"/>
        <v>88592137.560000002</v>
      </c>
      <c r="N32" s="4">
        <f t="shared" si="1"/>
        <v>-59061425.040000007</v>
      </c>
    </row>
    <row r="33" spans="1:14" x14ac:dyDescent="0.25">
      <c r="A33" s="25">
        <v>105433</v>
      </c>
      <c r="B33" s="2">
        <v>46017</v>
      </c>
      <c r="C33" s="33">
        <v>29551621.300000001</v>
      </c>
      <c r="G33" s="34"/>
      <c r="H33" s="34"/>
      <c r="I33" s="34"/>
      <c r="J33" s="3">
        <v>29551621.300000001</v>
      </c>
      <c r="K33" s="3">
        <v>29551621.300000001</v>
      </c>
      <c r="L33" s="3">
        <v>29551621.300000001</v>
      </c>
      <c r="M33" s="4">
        <f t="shared" si="2"/>
        <v>88654863.900000006</v>
      </c>
      <c r="N33" s="4">
        <f t="shared" si="1"/>
        <v>-59103242.600000009</v>
      </c>
    </row>
    <row r="34" spans="1:14" x14ac:dyDescent="0.25">
      <c r="A34" s="42">
        <v>105433</v>
      </c>
      <c r="B34" s="43">
        <v>46018</v>
      </c>
      <c r="C34" s="44">
        <v>29551621.300000001</v>
      </c>
      <c r="G34" s="34"/>
      <c r="H34" s="34"/>
      <c r="I34" s="34"/>
      <c r="J34" s="3">
        <v>29551621.300000001</v>
      </c>
      <c r="K34" s="3">
        <v>29551621.300000001</v>
      </c>
      <c r="L34" s="3">
        <v>29551621.300000001</v>
      </c>
      <c r="M34" s="4">
        <f t="shared" si="2"/>
        <v>88654863.900000006</v>
      </c>
      <c r="N34" s="4">
        <f t="shared" si="1"/>
        <v>-59103242.600000009</v>
      </c>
    </row>
    <row r="35" spans="1:14" x14ac:dyDescent="0.25">
      <c r="A35" s="42">
        <v>105433</v>
      </c>
      <c r="B35" s="43">
        <v>46019</v>
      </c>
      <c r="C35" s="44">
        <v>29551621.300000001</v>
      </c>
      <c r="G35" s="34"/>
      <c r="H35" s="34"/>
      <c r="I35" s="34"/>
      <c r="J35" s="3">
        <v>29551621.300000001</v>
      </c>
      <c r="K35" s="3">
        <v>29551621.300000001</v>
      </c>
      <c r="L35" s="3">
        <v>29551621.300000001</v>
      </c>
      <c r="M35" s="4">
        <f t="shared" si="2"/>
        <v>88654863.900000006</v>
      </c>
      <c r="N35" s="4">
        <f t="shared" si="1"/>
        <v>-59103242.600000009</v>
      </c>
    </row>
    <row r="36" spans="1:14" x14ac:dyDescent="0.25">
      <c r="A36" s="25">
        <v>105433</v>
      </c>
      <c r="B36" s="2">
        <v>46020</v>
      </c>
      <c r="C36" s="33">
        <v>29628313.359999999</v>
      </c>
      <c r="G36" s="34"/>
      <c r="H36" s="34"/>
      <c r="I36" s="34"/>
      <c r="J36" s="3">
        <v>29628313.359999999</v>
      </c>
      <c r="K36" s="3">
        <v>29628313.359999999</v>
      </c>
      <c r="L36" s="3">
        <v>29628313.359999999</v>
      </c>
      <c r="M36" s="4">
        <f t="shared" si="2"/>
        <v>88884940.079999998</v>
      </c>
      <c r="N36" s="4">
        <f t="shared" si="1"/>
        <v>-59256626.719999999</v>
      </c>
    </row>
    <row r="37" spans="1:14" x14ac:dyDescent="0.25">
      <c r="A37" s="25">
        <v>105433</v>
      </c>
      <c r="B37" s="2">
        <v>46021</v>
      </c>
      <c r="C37" s="33">
        <v>29481225.289999999</v>
      </c>
      <c r="G37" s="34"/>
      <c r="H37" s="34"/>
      <c r="I37" s="34"/>
      <c r="J37" s="3">
        <v>29481225.289999999</v>
      </c>
      <c r="K37" s="3">
        <v>29481225.289999999</v>
      </c>
      <c r="L37" s="3">
        <v>29481225.289999999</v>
      </c>
      <c r="M37" s="4"/>
      <c r="N37" s="4"/>
    </row>
    <row r="38" spans="1:14" x14ac:dyDescent="0.25">
      <c r="A38" s="25">
        <v>105433</v>
      </c>
      <c r="B38" s="2">
        <v>46022</v>
      </c>
      <c r="C38" s="33">
        <v>29579661.300000001</v>
      </c>
      <c r="J38" s="3">
        <v>29579661.300000001</v>
      </c>
      <c r="K38" s="3">
        <v>29579661.300000001</v>
      </c>
      <c r="L38" s="3">
        <v>29579661.300000001</v>
      </c>
      <c r="M38" s="4">
        <f t="shared" si="2"/>
        <v>88738983.900000006</v>
      </c>
      <c r="N38" s="4">
        <f t="shared" si="1"/>
        <v>-59159322.600000009</v>
      </c>
    </row>
    <row r="39" spans="1:14" x14ac:dyDescent="0.25">
      <c r="A39" s="5"/>
      <c r="B39" s="6"/>
      <c r="C39" s="45"/>
      <c r="J39" s="7"/>
      <c r="K39" s="7"/>
      <c r="L39" s="7"/>
      <c r="M39" s="10"/>
      <c r="N39" s="10"/>
    </row>
    <row r="40" spans="1:14" x14ac:dyDescent="0.25">
      <c r="A40" s="5"/>
      <c r="B40" s="6"/>
      <c r="J40" s="7"/>
    </row>
    <row r="41" spans="1:14" x14ac:dyDescent="0.25">
      <c r="A41" s="19" t="s">
        <v>8</v>
      </c>
      <c r="B41" s="8">
        <f>COUNT(B8:B38)</f>
        <v>31</v>
      </c>
      <c r="C41" s="4">
        <f>AVERAGE(C8:C38)</f>
        <v>29561593.986774188</v>
      </c>
      <c r="J41" s="4">
        <f>AVERAGE(J8:J38)</f>
        <v>29561593.986774188</v>
      </c>
      <c r="K41" s="4">
        <f>AVERAGE(K8:K38)</f>
        <v>29561593.986774188</v>
      </c>
      <c r="L41" s="4">
        <f>AVERAGE(L8:L38)</f>
        <v>29561593.986774188</v>
      </c>
      <c r="M41" s="4">
        <f>SUM(J41:L41)</f>
        <v>88684781.960322559</v>
      </c>
      <c r="N41" s="4">
        <f>M41-C41</f>
        <v>59123187.973548368</v>
      </c>
    </row>
    <row r="42" spans="1:14" x14ac:dyDescent="0.25">
      <c r="A42" s="19" t="s">
        <v>9</v>
      </c>
      <c r="B42" s="8">
        <v>1.62</v>
      </c>
      <c r="C42" s="9">
        <f>+C41*$B$43</f>
        <v>41238.423611549995</v>
      </c>
      <c r="D42" s="10">
        <f>C42*1.16</f>
        <v>47836.571389397992</v>
      </c>
      <c r="J42" s="20">
        <f>(+J41*$B$43)</f>
        <v>41238.423611549995</v>
      </c>
      <c r="K42" s="20">
        <f>(+K41*$B$43)</f>
        <v>41238.423611549995</v>
      </c>
      <c r="L42" s="20">
        <f>(+L41*$B$43)</f>
        <v>41238.423611549995</v>
      </c>
      <c r="M42" s="4">
        <f>SUM(J42:L42)</f>
        <v>123715.27083464999</v>
      </c>
      <c r="N42" s="4">
        <f>+C42/M42</f>
        <v>0.33333333333333331</v>
      </c>
    </row>
    <row r="43" spans="1:14" x14ac:dyDescent="0.25">
      <c r="A43" s="19" t="s">
        <v>10</v>
      </c>
      <c r="B43" s="11">
        <f>B42/360*B41/100</f>
        <v>1.3950000000000002E-3</v>
      </c>
      <c r="D43" s="10">
        <f>D42-C42</f>
        <v>6598.1477778479966</v>
      </c>
      <c r="M43" s="32">
        <f>C42/M42</f>
        <v>0.33333333333333331</v>
      </c>
    </row>
    <row r="47" spans="1:14" x14ac:dyDescent="0.25">
      <c r="M47" s="10"/>
    </row>
  </sheetData>
  <mergeCells count="1"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ENE24</vt:lpstr>
      <vt:lpstr>FEB24</vt:lpstr>
      <vt:lpstr>MAR24</vt:lpstr>
      <vt:lpstr>ABR24</vt:lpstr>
      <vt:lpstr>MAY24</vt:lpstr>
      <vt:lpstr>JUN24</vt:lpstr>
      <vt:lpstr>JUL24</vt:lpstr>
      <vt:lpstr>AGO24</vt:lpstr>
      <vt:lpstr>SEP24</vt:lpstr>
      <vt:lpstr>OCT24</vt:lpstr>
      <vt:lpstr>NOV24</vt:lpstr>
      <vt:lpstr>DIC24</vt:lpstr>
      <vt:lpstr>ENE25</vt:lpstr>
      <vt:lpstr>FEB25</vt:lpstr>
      <vt:lpstr>MAR25</vt:lpstr>
      <vt:lpstr>ABR25</vt:lpstr>
      <vt:lpstr>MAY25</vt:lpstr>
      <vt:lpstr>JUN25</vt:lpstr>
      <vt:lpstr>JUL25</vt:lpstr>
      <vt:lpstr>AGO25</vt:lpstr>
      <vt:lpstr>SEP25</vt:lpstr>
      <vt:lpstr>OCT25</vt:lpstr>
      <vt:lpstr>NOV25</vt:lpstr>
      <vt:lpstr>DIC25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Valeria Hernandez War</dc:creator>
  <cp:lastModifiedBy>Miguel Angel Tebar Pedroza</cp:lastModifiedBy>
  <dcterms:created xsi:type="dcterms:W3CDTF">2024-02-01T17:56:13Z</dcterms:created>
  <dcterms:modified xsi:type="dcterms:W3CDTF">2026-01-30T19:21:33Z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e3a633-3d5f-462b-ba19-31157bb9a57b_Enabled">
    <vt:lpwstr>true</vt:lpwstr>
  </property>
  <property fmtid="{D5CDD505-2E9C-101B-9397-08002B2CF9AE}" pid="3" name="MSIP_Label_8ae3a633-3d5f-462b-ba19-31157bb9a57b_SetDate">
    <vt:lpwstr>2024-02-01T18:20:59Z</vt:lpwstr>
  </property>
  <property fmtid="{D5CDD505-2E9C-101B-9397-08002B2CF9AE}" pid="4" name="MSIP_Label_8ae3a633-3d5f-462b-ba19-31157bb9a57b_Method">
    <vt:lpwstr>Standard</vt:lpwstr>
  </property>
  <property fmtid="{D5CDD505-2E9C-101B-9397-08002B2CF9AE}" pid="5" name="MSIP_Label_8ae3a633-3d5f-462b-ba19-31157bb9a57b_Name">
    <vt:lpwstr>Uso interno</vt:lpwstr>
  </property>
  <property fmtid="{D5CDD505-2E9C-101B-9397-08002B2CF9AE}" pid="6" name="MSIP_Label_8ae3a633-3d5f-462b-ba19-31157bb9a57b_SiteId">
    <vt:lpwstr>5448d52d-fbb8-4285-8d6f-aa67453bc50c</vt:lpwstr>
  </property>
  <property fmtid="{D5CDD505-2E9C-101B-9397-08002B2CF9AE}" pid="7" name="MSIP_Label_8ae3a633-3d5f-462b-ba19-31157bb9a57b_ActionId">
    <vt:lpwstr>f571cc10-885f-44bc-a98b-c7ce1452464d</vt:lpwstr>
  </property>
  <property fmtid="{D5CDD505-2E9C-101B-9397-08002B2CF9AE}" pid="8" name="MSIP_Label_8ae3a633-3d5f-462b-ba19-31157bb9a57b_ContentBits">
    <vt:lpwstr>0</vt:lpwstr>
  </property>
</Properties>
</file>